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narla\Downloads\Finance &amp; Accounts project\Financial_Operations_Project\"/>
    </mc:Choice>
  </mc:AlternateContent>
  <xr:revisionPtr revIDLastSave="0" documentId="13_ncr:1_{9B78553E-F955-4AC8-83D1-A6F64FF4A776}" xr6:coauthVersionLast="47" xr6:coauthVersionMax="47" xr10:uidLastSave="{00000000-0000-0000-0000-000000000000}"/>
  <bookViews>
    <workbookView xWindow="-108" yWindow="-108" windowWidth="23256" windowHeight="12456" xr2:uid="{00000000-000D-0000-FFFF-FFFF00000000}"/>
  </bookViews>
  <sheets>
    <sheet name="Dashboard" sheetId="6" r:id="rId1"/>
    <sheet name="Accounts-Payable" sheetId="5" state="hidden" r:id="rId2"/>
    <sheet name="Accounts-Receivable" sheetId="3" state="hidden" r:id="rId3"/>
    <sheet name="Budget-Forcast" sheetId="4" state="hidden" r:id="rId4"/>
    <sheet name="Analysis" sheetId="1" state="hidden" r:id="rId5"/>
  </sheets>
  <definedNames>
    <definedName name="Slicer_Dept">#N/A</definedName>
    <definedName name="Slicer_Status">#N/A</definedName>
    <definedName name="Slicer_Vendor">#N/A</definedName>
    <definedName name="Slicer_Years__InvoiceDate">#N/A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2" i="5"/>
  <c r="J801" i="5"/>
</calcChain>
</file>

<file path=xl/sharedStrings.xml><?xml version="1.0" encoding="utf-8"?>
<sst xmlns="http://schemas.openxmlformats.org/spreadsheetml/2006/main" count="8626" uniqueCount="1763">
  <si>
    <t>ARID</t>
  </si>
  <si>
    <t>Customer</t>
  </si>
  <si>
    <t>InvoiceDate</t>
  </si>
  <si>
    <t>DueDate</t>
  </si>
  <si>
    <t>Amount</t>
  </si>
  <si>
    <t>Currency</t>
  </si>
  <si>
    <t>Status</t>
  </si>
  <si>
    <t>ReceivedDate</t>
  </si>
  <si>
    <t>Terms</t>
  </si>
  <si>
    <t>AR20000</t>
  </si>
  <si>
    <t>Soylent</t>
  </si>
  <si>
    <t>USD</t>
  </si>
  <si>
    <t>Partial</t>
  </si>
  <si>
    <t>Net 45</t>
  </si>
  <si>
    <t>AR20001</t>
  </si>
  <si>
    <t>Umbrella</t>
  </si>
  <si>
    <t>EUR</t>
  </si>
  <si>
    <t>Open</t>
  </si>
  <si>
    <t>AR20002</t>
  </si>
  <si>
    <t>GBP</t>
  </si>
  <si>
    <t>AR20003</t>
  </si>
  <si>
    <t>Received</t>
  </si>
  <si>
    <t>AR20004</t>
  </si>
  <si>
    <t>Acme</t>
  </si>
  <si>
    <t>AR20005</t>
  </si>
  <si>
    <t>Initech</t>
  </si>
  <si>
    <t>CAD</t>
  </si>
  <si>
    <t>AR20006</t>
  </si>
  <si>
    <t>AUD</t>
  </si>
  <si>
    <t>AR20007</t>
  </si>
  <si>
    <t>Globex</t>
  </si>
  <si>
    <t>AR20008</t>
  </si>
  <si>
    <t>AR20009</t>
  </si>
  <si>
    <t>AR20010</t>
  </si>
  <si>
    <t>AR20011</t>
  </si>
  <si>
    <t>AR20012</t>
  </si>
  <si>
    <t>AR20013</t>
  </si>
  <si>
    <t>AR20014</t>
  </si>
  <si>
    <t>AR20015</t>
  </si>
  <si>
    <t>AR20016</t>
  </si>
  <si>
    <t>AR20017</t>
  </si>
  <si>
    <t>AR20018</t>
  </si>
  <si>
    <t>AR20019</t>
  </si>
  <si>
    <t>AR20020</t>
  </si>
  <si>
    <t>AR20021</t>
  </si>
  <si>
    <t>AR20022</t>
  </si>
  <si>
    <t>AR20023</t>
  </si>
  <si>
    <t>AR20024</t>
  </si>
  <si>
    <t>AR20025</t>
  </si>
  <si>
    <t>AR20026</t>
  </si>
  <si>
    <t>AR20027</t>
  </si>
  <si>
    <t>AR20028</t>
  </si>
  <si>
    <t>AR20029</t>
  </si>
  <si>
    <t>AR20030</t>
  </si>
  <si>
    <t>AR20031</t>
  </si>
  <si>
    <t>AR20032</t>
  </si>
  <si>
    <t>AR20033</t>
  </si>
  <si>
    <t>AR20034</t>
  </si>
  <si>
    <t>AR20035</t>
  </si>
  <si>
    <t>AR20036</t>
  </si>
  <si>
    <t>AR20037</t>
  </si>
  <si>
    <t>AR20038</t>
  </si>
  <si>
    <t>AR20039</t>
  </si>
  <si>
    <t>AR20040</t>
  </si>
  <si>
    <t>AR20041</t>
  </si>
  <si>
    <t>AR20042</t>
  </si>
  <si>
    <t>AR20043</t>
  </si>
  <si>
    <t>AR20044</t>
  </si>
  <si>
    <t>AR20045</t>
  </si>
  <si>
    <t>AR20046</t>
  </si>
  <si>
    <t>AR20047</t>
  </si>
  <si>
    <t>AR20048</t>
  </si>
  <si>
    <t>AR20049</t>
  </si>
  <si>
    <t>AR20050</t>
  </si>
  <si>
    <t>AR20051</t>
  </si>
  <si>
    <t>AR20052</t>
  </si>
  <si>
    <t>AR20053</t>
  </si>
  <si>
    <t>AR20054</t>
  </si>
  <si>
    <t>AR20055</t>
  </si>
  <si>
    <t>AR20056</t>
  </si>
  <si>
    <t>AR20057</t>
  </si>
  <si>
    <t>AR20058</t>
  </si>
  <si>
    <t>AR20059</t>
  </si>
  <si>
    <t>AR20060</t>
  </si>
  <si>
    <t>AR20061</t>
  </si>
  <si>
    <t>AR20062</t>
  </si>
  <si>
    <t>AR20063</t>
  </si>
  <si>
    <t>AR20064</t>
  </si>
  <si>
    <t>AR20065</t>
  </si>
  <si>
    <t>AR20066</t>
  </si>
  <si>
    <t>AR20067</t>
  </si>
  <si>
    <t>AR20068</t>
  </si>
  <si>
    <t>AR20069</t>
  </si>
  <si>
    <t>AR20070</t>
  </si>
  <si>
    <t>AR20071</t>
  </si>
  <si>
    <t>AR20072</t>
  </si>
  <si>
    <t>AR20073</t>
  </si>
  <si>
    <t>AR20074</t>
  </si>
  <si>
    <t>AR20075</t>
  </si>
  <si>
    <t>AR20076</t>
  </si>
  <si>
    <t>AR20077</t>
  </si>
  <si>
    <t>AR20078</t>
  </si>
  <si>
    <t>AR20079</t>
  </si>
  <si>
    <t>AR20080</t>
  </si>
  <si>
    <t>AR20081</t>
  </si>
  <si>
    <t>AR20082</t>
  </si>
  <si>
    <t>AR20083</t>
  </si>
  <si>
    <t>AR20084</t>
  </si>
  <si>
    <t>AR20085</t>
  </si>
  <si>
    <t>AR20086</t>
  </si>
  <si>
    <t>AR20087</t>
  </si>
  <si>
    <t>AR20088</t>
  </si>
  <si>
    <t>AR20089</t>
  </si>
  <si>
    <t>AR20090</t>
  </si>
  <si>
    <t>AR20091</t>
  </si>
  <si>
    <t>AR20092</t>
  </si>
  <si>
    <t>AR20093</t>
  </si>
  <si>
    <t>AR20094</t>
  </si>
  <si>
    <t>AR20095</t>
  </si>
  <si>
    <t>AR20096</t>
  </si>
  <si>
    <t>AR20097</t>
  </si>
  <si>
    <t>AR20098</t>
  </si>
  <si>
    <t>AR20099</t>
  </si>
  <si>
    <t>AR20100</t>
  </si>
  <si>
    <t>AR20101</t>
  </si>
  <si>
    <t>AR20102</t>
  </si>
  <si>
    <t>AR20103</t>
  </si>
  <si>
    <t>AR20104</t>
  </si>
  <si>
    <t>AR20105</t>
  </si>
  <si>
    <t>AR20106</t>
  </si>
  <si>
    <t>AR20107</t>
  </si>
  <si>
    <t>AR20108</t>
  </si>
  <si>
    <t>AR20109</t>
  </si>
  <si>
    <t>AR20110</t>
  </si>
  <si>
    <t>AR20111</t>
  </si>
  <si>
    <t>AR20112</t>
  </si>
  <si>
    <t>AR20113</t>
  </si>
  <si>
    <t>AR20114</t>
  </si>
  <si>
    <t>AR20115</t>
  </si>
  <si>
    <t>AR20116</t>
  </si>
  <si>
    <t>AR20117</t>
  </si>
  <si>
    <t>AR20118</t>
  </si>
  <si>
    <t>AR20119</t>
  </si>
  <si>
    <t>AR20120</t>
  </si>
  <si>
    <t>AR20121</t>
  </si>
  <si>
    <t>AR20122</t>
  </si>
  <si>
    <t>AR20123</t>
  </si>
  <si>
    <t>AR20124</t>
  </si>
  <si>
    <t>AR20125</t>
  </si>
  <si>
    <t>AR20126</t>
  </si>
  <si>
    <t>AR20127</t>
  </si>
  <si>
    <t>AR20128</t>
  </si>
  <si>
    <t>AR20129</t>
  </si>
  <si>
    <t>AR20130</t>
  </si>
  <si>
    <t>AR20131</t>
  </si>
  <si>
    <t>AR20132</t>
  </si>
  <si>
    <t>AR20133</t>
  </si>
  <si>
    <t>AR20134</t>
  </si>
  <si>
    <t>AR20135</t>
  </si>
  <si>
    <t>AR20136</t>
  </si>
  <si>
    <t>AR20137</t>
  </si>
  <si>
    <t>AR20138</t>
  </si>
  <si>
    <t>AR20139</t>
  </si>
  <si>
    <t>AR20140</t>
  </si>
  <si>
    <t>AR20141</t>
  </si>
  <si>
    <t>AR20142</t>
  </si>
  <si>
    <t>AR20143</t>
  </si>
  <si>
    <t>AR20144</t>
  </si>
  <si>
    <t>AR20145</t>
  </si>
  <si>
    <t>AR20146</t>
  </si>
  <si>
    <t>AR20147</t>
  </si>
  <si>
    <t>AR20148</t>
  </si>
  <si>
    <t>AR20149</t>
  </si>
  <si>
    <t>AR20150</t>
  </si>
  <si>
    <t>AR20151</t>
  </si>
  <si>
    <t>AR20152</t>
  </si>
  <si>
    <t>AR20153</t>
  </si>
  <si>
    <t>AR20154</t>
  </si>
  <si>
    <t>AR20155</t>
  </si>
  <si>
    <t>AR20156</t>
  </si>
  <si>
    <t>AR20157</t>
  </si>
  <si>
    <t>AR20158</t>
  </si>
  <si>
    <t>AR20159</t>
  </si>
  <si>
    <t>AR20160</t>
  </si>
  <si>
    <t>AR20161</t>
  </si>
  <si>
    <t>AR20162</t>
  </si>
  <si>
    <t>AR20163</t>
  </si>
  <si>
    <t>AR20164</t>
  </si>
  <si>
    <t>AR20165</t>
  </si>
  <si>
    <t>AR20166</t>
  </si>
  <si>
    <t>AR20167</t>
  </si>
  <si>
    <t>AR20168</t>
  </si>
  <si>
    <t>AR20169</t>
  </si>
  <si>
    <t>AR20170</t>
  </si>
  <si>
    <t>AR20171</t>
  </si>
  <si>
    <t>AR20172</t>
  </si>
  <si>
    <t>AR20173</t>
  </si>
  <si>
    <t>AR20174</t>
  </si>
  <si>
    <t>AR20175</t>
  </si>
  <si>
    <t>AR20176</t>
  </si>
  <si>
    <t>AR20177</t>
  </si>
  <si>
    <t>AR20178</t>
  </si>
  <si>
    <t>AR20179</t>
  </si>
  <si>
    <t>AR20180</t>
  </si>
  <si>
    <t>AR20181</t>
  </si>
  <si>
    <t>AR20182</t>
  </si>
  <si>
    <t>AR20183</t>
  </si>
  <si>
    <t>AR20184</t>
  </si>
  <si>
    <t>AR20185</t>
  </si>
  <si>
    <t>AR20186</t>
  </si>
  <si>
    <t>AR20187</t>
  </si>
  <si>
    <t>AR20188</t>
  </si>
  <si>
    <t>AR20189</t>
  </si>
  <si>
    <t>AR20190</t>
  </si>
  <si>
    <t>AR20191</t>
  </si>
  <si>
    <t>AR20192</t>
  </si>
  <si>
    <t>AR20193</t>
  </si>
  <si>
    <t>AR20194</t>
  </si>
  <si>
    <t>AR20195</t>
  </si>
  <si>
    <t>AR20196</t>
  </si>
  <si>
    <t>AR20197</t>
  </si>
  <si>
    <t>AR20198</t>
  </si>
  <si>
    <t>AR20199</t>
  </si>
  <si>
    <t>AR20200</t>
  </si>
  <si>
    <t>AR20201</t>
  </si>
  <si>
    <t>AR20202</t>
  </si>
  <si>
    <t>AR20203</t>
  </si>
  <si>
    <t>AR20204</t>
  </si>
  <si>
    <t>AR20205</t>
  </si>
  <si>
    <t>AR20206</t>
  </si>
  <si>
    <t>AR20207</t>
  </si>
  <si>
    <t>AR20208</t>
  </si>
  <si>
    <t>AR20209</t>
  </si>
  <si>
    <t>AR20210</t>
  </si>
  <si>
    <t>AR20211</t>
  </si>
  <si>
    <t>AR20212</t>
  </si>
  <si>
    <t>AR20213</t>
  </si>
  <si>
    <t>AR20214</t>
  </si>
  <si>
    <t>AR20215</t>
  </si>
  <si>
    <t>AR20216</t>
  </si>
  <si>
    <t>AR20217</t>
  </si>
  <si>
    <t>AR20218</t>
  </si>
  <si>
    <t>AR20219</t>
  </si>
  <si>
    <t>AR20220</t>
  </si>
  <si>
    <t>AR20221</t>
  </si>
  <si>
    <t>AR20222</t>
  </si>
  <si>
    <t>AR20223</t>
  </si>
  <si>
    <t>AR20224</t>
  </si>
  <si>
    <t>AR20225</t>
  </si>
  <si>
    <t>AR20226</t>
  </si>
  <si>
    <t>AR20227</t>
  </si>
  <si>
    <t>AR20228</t>
  </si>
  <si>
    <t>AR20229</t>
  </si>
  <si>
    <t>AR20230</t>
  </si>
  <si>
    <t>AR20231</t>
  </si>
  <si>
    <t>AR20232</t>
  </si>
  <si>
    <t>AR20233</t>
  </si>
  <si>
    <t>AR20234</t>
  </si>
  <si>
    <t>AR20235</t>
  </si>
  <si>
    <t>AR20236</t>
  </si>
  <si>
    <t>AR20237</t>
  </si>
  <si>
    <t>AR20238</t>
  </si>
  <si>
    <t>AR20239</t>
  </si>
  <si>
    <t>AR20240</t>
  </si>
  <si>
    <t>AR20241</t>
  </si>
  <si>
    <t>AR20242</t>
  </si>
  <si>
    <t>AR20243</t>
  </si>
  <si>
    <t>AR20244</t>
  </si>
  <si>
    <t>AR20245</t>
  </si>
  <si>
    <t>AR20246</t>
  </si>
  <si>
    <t>AR20247</t>
  </si>
  <si>
    <t>AR20248</t>
  </si>
  <si>
    <t>AR20249</t>
  </si>
  <si>
    <t>AR20250</t>
  </si>
  <si>
    <t>AR20251</t>
  </si>
  <si>
    <t>AR20252</t>
  </si>
  <si>
    <t>AR20253</t>
  </si>
  <si>
    <t>AR20254</t>
  </si>
  <si>
    <t>AR20255</t>
  </si>
  <si>
    <t>AR20256</t>
  </si>
  <si>
    <t>AR20257</t>
  </si>
  <si>
    <t>AR20258</t>
  </si>
  <si>
    <t>AR20259</t>
  </si>
  <si>
    <t>AR20260</t>
  </si>
  <si>
    <t>AR20261</t>
  </si>
  <si>
    <t>AR20262</t>
  </si>
  <si>
    <t>AR20263</t>
  </si>
  <si>
    <t>AR20264</t>
  </si>
  <si>
    <t>AR20265</t>
  </si>
  <si>
    <t>AR20266</t>
  </si>
  <si>
    <t>AR20267</t>
  </si>
  <si>
    <t>AR20268</t>
  </si>
  <si>
    <t>AR20269</t>
  </si>
  <si>
    <t>AR20270</t>
  </si>
  <si>
    <t>AR20271</t>
  </si>
  <si>
    <t>AR20272</t>
  </si>
  <si>
    <t>AR20273</t>
  </si>
  <si>
    <t>AR20274</t>
  </si>
  <si>
    <t>AR20275</t>
  </si>
  <si>
    <t>AR20276</t>
  </si>
  <si>
    <t>AR20277</t>
  </si>
  <si>
    <t>AR20278</t>
  </si>
  <si>
    <t>AR20279</t>
  </si>
  <si>
    <t>AR20280</t>
  </si>
  <si>
    <t>AR20281</t>
  </si>
  <si>
    <t>AR20282</t>
  </si>
  <si>
    <t>AR20283</t>
  </si>
  <si>
    <t>AR20284</t>
  </si>
  <si>
    <t>AR20285</t>
  </si>
  <si>
    <t>AR20286</t>
  </si>
  <si>
    <t>AR20287</t>
  </si>
  <si>
    <t>AR20288</t>
  </si>
  <si>
    <t>AR20289</t>
  </si>
  <si>
    <t>AR20290</t>
  </si>
  <si>
    <t>AR20291</t>
  </si>
  <si>
    <t>AR20292</t>
  </si>
  <si>
    <t>AR20293</t>
  </si>
  <si>
    <t>AR20294</t>
  </si>
  <si>
    <t>AR20295</t>
  </si>
  <si>
    <t>AR20296</t>
  </si>
  <si>
    <t>AR20297</t>
  </si>
  <si>
    <t>AR20298</t>
  </si>
  <si>
    <t>AR20299</t>
  </si>
  <si>
    <t>AR20300</t>
  </si>
  <si>
    <t>AR20301</t>
  </si>
  <si>
    <t>AR20302</t>
  </si>
  <si>
    <t>AR20303</t>
  </si>
  <si>
    <t>AR20304</t>
  </si>
  <si>
    <t>AR20305</t>
  </si>
  <si>
    <t>AR20306</t>
  </si>
  <si>
    <t>AR20307</t>
  </si>
  <si>
    <t>AR20308</t>
  </si>
  <si>
    <t>AR20309</t>
  </si>
  <si>
    <t>AR20310</t>
  </si>
  <si>
    <t>AR20311</t>
  </si>
  <si>
    <t>AR20312</t>
  </si>
  <si>
    <t>AR20313</t>
  </si>
  <si>
    <t>AR20314</t>
  </si>
  <si>
    <t>AR20315</t>
  </si>
  <si>
    <t>AR20316</t>
  </si>
  <si>
    <t>AR20317</t>
  </si>
  <si>
    <t>AR20318</t>
  </si>
  <si>
    <t>AR20319</t>
  </si>
  <si>
    <t>AR20320</t>
  </si>
  <si>
    <t>AR20321</t>
  </si>
  <si>
    <t>AR20322</t>
  </si>
  <si>
    <t>AR20323</t>
  </si>
  <si>
    <t>AR20324</t>
  </si>
  <si>
    <t>AR20325</t>
  </si>
  <si>
    <t>AR20326</t>
  </si>
  <si>
    <t>AR20327</t>
  </si>
  <si>
    <t>AR20328</t>
  </si>
  <si>
    <t>AR20329</t>
  </si>
  <si>
    <t>AR20330</t>
  </si>
  <si>
    <t>AR20331</t>
  </si>
  <si>
    <t>AR20332</t>
  </si>
  <si>
    <t>AR20333</t>
  </si>
  <si>
    <t>AR20334</t>
  </si>
  <si>
    <t>AR20335</t>
  </si>
  <si>
    <t>AR20336</t>
  </si>
  <si>
    <t>AR20337</t>
  </si>
  <si>
    <t>AR20338</t>
  </si>
  <si>
    <t>AR20339</t>
  </si>
  <si>
    <t>AR20340</t>
  </si>
  <si>
    <t>AR20341</t>
  </si>
  <si>
    <t>AR20342</t>
  </si>
  <si>
    <t>AR20343</t>
  </si>
  <si>
    <t>AR20344</t>
  </si>
  <si>
    <t>AR20345</t>
  </si>
  <si>
    <t>AR20346</t>
  </si>
  <si>
    <t>AR20347</t>
  </si>
  <si>
    <t>AR20348</t>
  </si>
  <si>
    <t>AR20349</t>
  </si>
  <si>
    <t>AR20350</t>
  </si>
  <si>
    <t>AR20351</t>
  </si>
  <si>
    <t>AR20352</t>
  </si>
  <si>
    <t>AR20353</t>
  </si>
  <si>
    <t>AR20354</t>
  </si>
  <si>
    <t>AR20355</t>
  </si>
  <si>
    <t>AR20356</t>
  </si>
  <si>
    <t>AR20357</t>
  </si>
  <si>
    <t>AR20358</t>
  </si>
  <si>
    <t>AR20359</t>
  </si>
  <si>
    <t>AR20360</t>
  </si>
  <si>
    <t>AR20361</t>
  </si>
  <si>
    <t>AR20362</t>
  </si>
  <si>
    <t>AR20363</t>
  </si>
  <si>
    <t>AR20364</t>
  </si>
  <si>
    <t>AR20365</t>
  </si>
  <si>
    <t>AR20366</t>
  </si>
  <si>
    <t>AR20367</t>
  </si>
  <si>
    <t>AR20368</t>
  </si>
  <si>
    <t>AR20369</t>
  </si>
  <si>
    <t>AR20370</t>
  </si>
  <si>
    <t>AR20371</t>
  </si>
  <si>
    <t>AR20372</t>
  </si>
  <si>
    <t>AR20373</t>
  </si>
  <si>
    <t>AR20374</t>
  </si>
  <si>
    <t>AR20375</t>
  </si>
  <si>
    <t>AR20376</t>
  </si>
  <si>
    <t>AR20377</t>
  </si>
  <si>
    <t>AR20378</t>
  </si>
  <si>
    <t>AR20379</t>
  </si>
  <si>
    <t>AR20380</t>
  </si>
  <si>
    <t>AR20381</t>
  </si>
  <si>
    <t>AR20382</t>
  </si>
  <si>
    <t>AR20383</t>
  </si>
  <si>
    <t>AR20384</t>
  </si>
  <si>
    <t>AR20385</t>
  </si>
  <si>
    <t>AR20386</t>
  </si>
  <si>
    <t>AR20387</t>
  </si>
  <si>
    <t>AR20388</t>
  </si>
  <si>
    <t>AR20389</t>
  </si>
  <si>
    <t>AR20390</t>
  </si>
  <si>
    <t>AR20391</t>
  </si>
  <si>
    <t>AR20392</t>
  </si>
  <si>
    <t>AR20393</t>
  </si>
  <si>
    <t>AR20394</t>
  </si>
  <si>
    <t>AR20395</t>
  </si>
  <si>
    <t>AR20396</t>
  </si>
  <si>
    <t>AR20397</t>
  </si>
  <si>
    <t>AR20398</t>
  </si>
  <si>
    <t>AR20399</t>
  </si>
  <si>
    <t>AR20400</t>
  </si>
  <si>
    <t>AR20401</t>
  </si>
  <si>
    <t>AR20402</t>
  </si>
  <si>
    <t>AR20403</t>
  </si>
  <si>
    <t>AR20404</t>
  </si>
  <si>
    <t>AR20405</t>
  </si>
  <si>
    <t>AR20406</t>
  </si>
  <si>
    <t>AR20407</t>
  </si>
  <si>
    <t>AR20408</t>
  </si>
  <si>
    <t>AR20409</t>
  </si>
  <si>
    <t>AR20410</t>
  </si>
  <si>
    <t>AR20411</t>
  </si>
  <si>
    <t>AR20412</t>
  </si>
  <si>
    <t>AR20413</t>
  </si>
  <si>
    <t>AR20414</t>
  </si>
  <si>
    <t>AR20415</t>
  </si>
  <si>
    <t>AR20416</t>
  </si>
  <si>
    <t>AR20417</t>
  </si>
  <si>
    <t>AR20418</t>
  </si>
  <si>
    <t>AR20419</t>
  </si>
  <si>
    <t>AR20420</t>
  </si>
  <si>
    <t>AR20421</t>
  </si>
  <si>
    <t>AR20422</t>
  </si>
  <si>
    <t>AR20423</t>
  </si>
  <si>
    <t>AR20424</t>
  </si>
  <si>
    <t>AR20425</t>
  </si>
  <si>
    <t>AR20426</t>
  </si>
  <si>
    <t>AR20427</t>
  </si>
  <si>
    <t>AR20428</t>
  </si>
  <si>
    <t>AR20429</t>
  </si>
  <si>
    <t>AR20430</t>
  </si>
  <si>
    <t>AR20431</t>
  </si>
  <si>
    <t>AR20432</t>
  </si>
  <si>
    <t>AR20433</t>
  </si>
  <si>
    <t>AR20434</t>
  </si>
  <si>
    <t>AR20435</t>
  </si>
  <si>
    <t>AR20436</t>
  </si>
  <si>
    <t>AR20437</t>
  </si>
  <si>
    <t>AR20438</t>
  </si>
  <si>
    <t>AR20439</t>
  </si>
  <si>
    <t>AR20440</t>
  </si>
  <si>
    <t>AR20441</t>
  </si>
  <si>
    <t>AR20442</t>
  </si>
  <si>
    <t>AR20443</t>
  </si>
  <si>
    <t>AR20444</t>
  </si>
  <si>
    <t>AR20445</t>
  </si>
  <si>
    <t>AR20446</t>
  </si>
  <si>
    <t>AR20447</t>
  </si>
  <si>
    <t>AR20448</t>
  </si>
  <si>
    <t>AR20449</t>
  </si>
  <si>
    <t>AR20450</t>
  </si>
  <si>
    <t>AR20451</t>
  </si>
  <si>
    <t>AR20452</t>
  </si>
  <si>
    <t>AR20453</t>
  </si>
  <si>
    <t>AR20454</t>
  </si>
  <si>
    <t>AR20455</t>
  </si>
  <si>
    <t>AR20456</t>
  </si>
  <si>
    <t>AR20457</t>
  </si>
  <si>
    <t>AR20458</t>
  </si>
  <si>
    <t>AR20459</t>
  </si>
  <si>
    <t>AR20460</t>
  </si>
  <si>
    <t>AR20461</t>
  </si>
  <si>
    <t>AR20462</t>
  </si>
  <si>
    <t>AR20463</t>
  </si>
  <si>
    <t>AR20464</t>
  </si>
  <si>
    <t>AR20465</t>
  </si>
  <si>
    <t>AR20466</t>
  </si>
  <si>
    <t>AR20467</t>
  </si>
  <si>
    <t>AR20468</t>
  </si>
  <si>
    <t>AR20469</t>
  </si>
  <si>
    <t>AR20470</t>
  </si>
  <si>
    <t>AR20471</t>
  </si>
  <si>
    <t>AR20472</t>
  </si>
  <si>
    <t>AR20473</t>
  </si>
  <si>
    <t>AR20474</t>
  </si>
  <si>
    <t>AR20475</t>
  </si>
  <si>
    <t>AR20476</t>
  </si>
  <si>
    <t>AR20477</t>
  </si>
  <si>
    <t>AR20478</t>
  </si>
  <si>
    <t>AR20479</t>
  </si>
  <si>
    <t>AR20480</t>
  </si>
  <si>
    <t>AR20481</t>
  </si>
  <si>
    <t>AR20482</t>
  </si>
  <si>
    <t>AR20483</t>
  </si>
  <si>
    <t>AR20484</t>
  </si>
  <si>
    <t>AR20485</t>
  </si>
  <si>
    <t>AR20486</t>
  </si>
  <si>
    <t>AR20487</t>
  </si>
  <si>
    <t>AR20488</t>
  </si>
  <si>
    <t>AR20489</t>
  </si>
  <si>
    <t>AR20490</t>
  </si>
  <si>
    <t>AR20491</t>
  </si>
  <si>
    <t>AR20492</t>
  </si>
  <si>
    <t>AR20493</t>
  </si>
  <si>
    <t>AR20494</t>
  </si>
  <si>
    <t>AR20495</t>
  </si>
  <si>
    <t>AR20496</t>
  </si>
  <si>
    <t>AR20497</t>
  </si>
  <si>
    <t>AR20498</t>
  </si>
  <si>
    <t>AR20499</t>
  </si>
  <si>
    <t>AR20500</t>
  </si>
  <si>
    <t>AR20501</t>
  </si>
  <si>
    <t>AR20502</t>
  </si>
  <si>
    <t>AR20503</t>
  </si>
  <si>
    <t>AR20504</t>
  </si>
  <si>
    <t>AR20505</t>
  </si>
  <si>
    <t>AR20506</t>
  </si>
  <si>
    <t>AR20507</t>
  </si>
  <si>
    <t>AR20508</t>
  </si>
  <si>
    <t>AR20509</t>
  </si>
  <si>
    <t>AR20510</t>
  </si>
  <si>
    <t>AR20511</t>
  </si>
  <si>
    <t>AR20512</t>
  </si>
  <si>
    <t>AR20513</t>
  </si>
  <si>
    <t>AR20514</t>
  </si>
  <si>
    <t>AR20515</t>
  </si>
  <si>
    <t>AR20516</t>
  </si>
  <si>
    <t>AR20517</t>
  </si>
  <si>
    <t>AR20518</t>
  </si>
  <si>
    <t>AR20519</t>
  </si>
  <si>
    <t>AR20520</t>
  </si>
  <si>
    <t>AR20521</t>
  </si>
  <si>
    <t>AR20522</t>
  </si>
  <si>
    <t>AR20523</t>
  </si>
  <si>
    <t>AR20524</t>
  </si>
  <si>
    <t>AR20525</t>
  </si>
  <si>
    <t>AR20526</t>
  </si>
  <si>
    <t>AR20527</t>
  </si>
  <si>
    <t>AR20528</t>
  </si>
  <si>
    <t>AR20529</t>
  </si>
  <si>
    <t>AR20530</t>
  </si>
  <si>
    <t>AR20531</t>
  </si>
  <si>
    <t>AR20532</t>
  </si>
  <si>
    <t>AR20533</t>
  </si>
  <si>
    <t>AR20534</t>
  </si>
  <si>
    <t>AR20535</t>
  </si>
  <si>
    <t>AR20536</t>
  </si>
  <si>
    <t>AR20537</t>
  </si>
  <si>
    <t>AR20538</t>
  </si>
  <si>
    <t>AR20539</t>
  </si>
  <si>
    <t>AR20540</t>
  </si>
  <si>
    <t>AR20541</t>
  </si>
  <si>
    <t>AR20542</t>
  </si>
  <si>
    <t>AR20543</t>
  </si>
  <si>
    <t>AR20544</t>
  </si>
  <si>
    <t>AR20545</t>
  </si>
  <si>
    <t>AR20546</t>
  </si>
  <si>
    <t>AR20547</t>
  </si>
  <si>
    <t>AR20548</t>
  </si>
  <si>
    <t>AR20549</t>
  </si>
  <si>
    <t>AR20550</t>
  </si>
  <si>
    <t>AR20551</t>
  </si>
  <si>
    <t>AR20552</t>
  </si>
  <si>
    <t>AR20553</t>
  </si>
  <si>
    <t>AR20554</t>
  </si>
  <si>
    <t>AR20555</t>
  </si>
  <si>
    <t>AR20556</t>
  </si>
  <si>
    <t>AR20557</t>
  </si>
  <si>
    <t>AR20558</t>
  </si>
  <si>
    <t>AR20559</t>
  </si>
  <si>
    <t>AR20560</t>
  </si>
  <si>
    <t>AR20561</t>
  </si>
  <si>
    <t>AR20562</t>
  </si>
  <si>
    <t>AR20563</t>
  </si>
  <si>
    <t>AR20564</t>
  </si>
  <si>
    <t>AR20565</t>
  </si>
  <si>
    <t>AR20566</t>
  </si>
  <si>
    <t>AR20567</t>
  </si>
  <si>
    <t>AR20568</t>
  </si>
  <si>
    <t>AR20569</t>
  </si>
  <si>
    <t>AR20570</t>
  </si>
  <si>
    <t>AR20571</t>
  </si>
  <si>
    <t>AR20572</t>
  </si>
  <si>
    <t>AR20573</t>
  </si>
  <si>
    <t>AR20574</t>
  </si>
  <si>
    <t>AR20575</t>
  </si>
  <si>
    <t>AR20576</t>
  </si>
  <si>
    <t>AR20577</t>
  </si>
  <si>
    <t>AR20578</t>
  </si>
  <si>
    <t>AR20579</t>
  </si>
  <si>
    <t>AR20580</t>
  </si>
  <si>
    <t>AR20581</t>
  </si>
  <si>
    <t>AR20582</t>
  </si>
  <si>
    <t>AR20583</t>
  </si>
  <si>
    <t>AR20584</t>
  </si>
  <si>
    <t>AR20585</t>
  </si>
  <si>
    <t>AR20586</t>
  </si>
  <si>
    <t>AR20587</t>
  </si>
  <si>
    <t>AR20588</t>
  </si>
  <si>
    <t>AR20589</t>
  </si>
  <si>
    <t>AR20590</t>
  </si>
  <si>
    <t>AR20591</t>
  </si>
  <si>
    <t>AR20592</t>
  </si>
  <si>
    <t>AR20593</t>
  </si>
  <si>
    <t>AR20594</t>
  </si>
  <si>
    <t>AR20595</t>
  </si>
  <si>
    <t>AR20596</t>
  </si>
  <si>
    <t>AR20597</t>
  </si>
  <si>
    <t>AR20598</t>
  </si>
  <si>
    <t>AR20599</t>
  </si>
  <si>
    <t>AR20600</t>
  </si>
  <si>
    <t>AR20601</t>
  </si>
  <si>
    <t>AR20602</t>
  </si>
  <si>
    <t>AR20603</t>
  </si>
  <si>
    <t>AR20604</t>
  </si>
  <si>
    <t>AR20605</t>
  </si>
  <si>
    <t>AR20606</t>
  </si>
  <si>
    <t>AR20607</t>
  </si>
  <si>
    <t>AR20608</t>
  </si>
  <si>
    <t>AR20609</t>
  </si>
  <si>
    <t>AR20610</t>
  </si>
  <si>
    <t>AR20611</t>
  </si>
  <si>
    <t>AR20612</t>
  </si>
  <si>
    <t>AR20613</t>
  </si>
  <si>
    <t>AR20614</t>
  </si>
  <si>
    <t>AR20615</t>
  </si>
  <si>
    <t>AR20616</t>
  </si>
  <si>
    <t>AR20617</t>
  </si>
  <si>
    <t>AR20618</t>
  </si>
  <si>
    <t>AR20619</t>
  </si>
  <si>
    <t>AR20620</t>
  </si>
  <si>
    <t>AR20621</t>
  </si>
  <si>
    <t>AR20622</t>
  </si>
  <si>
    <t>AR20623</t>
  </si>
  <si>
    <t>AR20624</t>
  </si>
  <si>
    <t>AR20625</t>
  </si>
  <si>
    <t>AR20626</t>
  </si>
  <si>
    <t>AR20627</t>
  </si>
  <si>
    <t>AR20628</t>
  </si>
  <si>
    <t>AR20629</t>
  </si>
  <si>
    <t>AR20630</t>
  </si>
  <si>
    <t>AR20631</t>
  </si>
  <si>
    <t>AR20632</t>
  </si>
  <si>
    <t>AR20633</t>
  </si>
  <si>
    <t>AR20634</t>
  </si>
  <si>
    <t>AR20635</t>
  </si>
  <si>
    <t>AR20636</t>
  </si>
  <si>
    <t>AR20637</t>
  </si>
  <si>
    <t>AR20638</t>
  </si>
  <si>
    <t>AR20639</t>
  </si>
  <si>
    <t>AR20640</t>
  </si>
  <si>
    <t>AR20641</t>
  </si>
  <si>
    <t>AR20642</t>
  </si>
  <si>
    <t>AR20643</t>
  </si>
  <si>
    <t>AR20644</t>
  </si>
  <si>
    <t>AR20645</t>
  </si>
  <si>
    <t>AR20646</t>
  </si>
  <si>
    <t>AR20647</t>
  </si>
  <si>
    <t>AR20648</t>
  </si>
  <si>
    <t>AR20649</t>
  </si>
  <si>
    <t>AR20650</t>
  </si>
  <si>
    <t>AR20651</t>
  </si>
  <si>
    <t>AR20652</t>
  </si>
  <si>
    <t>AR20653</t>
  </si>
  <si>
    <t>AR20654</t>
  </si>
  <si>
    <t>AR20655</t>
  </si>
  <si>
    <t>AR20656</t>
  </si>
  <si>
    <t>AR20657</t>
  </si>
  <si>
    <t>AR20658</t>
  </si>
  <si>
    <t>AR20659</t>
  </si>
  <si>
    <t>AR20660</t>
  </si>
  <si>
    <t>AR20661</t>
  </si>
  <si>
    <t>AR20662</t>
  </si>
  <si>
    <t>AR20663</t>
  </si>
  <si>
    <t>AR20664</t>
  </si>
  <si>
    <t>AR20665</t>
  </si>
  <si>
    <t>AR20666</t>
  </si>
  <si>
    <t>AR20667</t>
  </si>
  <si>
    <t>AR20668</t>
  </si>
  <si>
    <t>AR20669</t>
  </si>
  <si>
    <t>AR20670</t>
  </si>
  <si>
    <t>AR20671</t>
  </si>
  <si>
    <t>AR20672</t>
  </si>
  <si>
    <t>AR20673</t>
  </si>
  <si>
    <t>AR20674</t>
  </si>
  <si>
    <t>AR20675</t>
  </si>
  <si>
    <t>AR20676</t>
  </si>
  <si>
    <t>AR20677</t>
  </si>
  <si>
    <t>AR20678</t>
  </si>
  <si>
    <t>AR20679</t>
  </si>
  <si>
    <t>AR20680</t>
  </si>
  <si>
    <t>AR20681</t>
  </si>
  <si>
    <t>AR20682</t>
  </si>
  <si>
    <t>AR20683</t>
  </si>
  <si>
    <t>AR20684</t>
  </si>
  <si>
    <t>AR20685</t>
  </si>
  <si>
    <t>AR20686</t>
  </si>
  <si>
    <t>AR20687</t>
  </si>
  <si>
    <t>AR20688</t>
  </si>
  <si>
    <t>AR20689</t>
  </si>
  <si>
    <t>AR20690</t>
  </si>
  <si>
    <t>AR20691</t>
  </si>
  <si>
    <t>AR20692</t>
  </si>
  <si>
    <t>AR20693</t>
  </si>
  <si>
    <t>AR20694</t>
  </si>
  <si>
    <t>AR20695</t>
  </si>
  <si>
    <t>AR20696</t>
  </si>
  <si>
    <t>AR20697</t>
  </si>
  <si>
    <t>AR20698</t>
  </si>
  <si>
    <t>AR20699</t>
  </si>
  <si>
    <t>AR20700</t>
  </si>
  <si>
    <t>AR20701</t>
  </si>
  <si>
    <t>AR20702</t>
  </si>
  <si>
    <t>AR20703</t>
  </si>
  <si>
    <t>AR20704</t>
  </si>
  <si>
    <t>AR20705</t>
  </si>
  <si>
    <t>AR20706</t>
  </si>
  <si>
    <t>AR20707</t>
  </si>
  <si>
    <t>AR20708</t>
  </si>
  <si>
    <t>AR20709</t>
  </si>
  <si>
    <t>AR20710</t>
  </si>
  <si>
    <t>AR20711</t>
  </si>
  <si>
    <t>AR20712</t>
  </si>
  <si>
    <t>AR20713</t>
  </si>
  <si>
    <t>AR20714</t>
  </si>
  <si>
    <t>AR20715</t>
  </si>
  <si>
    <t>AR20716</t>
  </si>
  <si>
    <t>AR20717</t>
  </si>
  <si>
    <t>AR20718</t>
  </si>
  <si>
    <t>AR20719</t>
  </si>
  <si>
    <t>AR20720</t>
  </si>
  <si>
    <t>AR20721</t>
  </si>
  <si>
    <t>AR20722</t>
  </si>
  <si>
    <t>AR20723</t>
  </si>
  <si>
    <t>AR20724</t>
  </si>
  <si>
    <t>AR20725</t>
  </si>
  <si>
    <t>AR20726</t>
  </si>
  <si>
    <t>AR20727</t>
  </si>
  <si>
    <t>AR20728</t>
  </si>
  <si>
    <t>AR20729</t>
  </si>
  <si>
    <t>AR20730</t>
  </si>
  <si>
    <t>AR20731</t>
  </si>
  <si>
    <t>AR20732</t>
  </si>
  <si>
    <t>AR20733</t>
  </si>
  <si>
    <t>AR20734</t>
  </si>
  <si>
    <t>AR20735</t>
  </si>
  <si>
    <t>AR20736</t>
  </si>
  <si>
    <t>AR20737</t>
  </si>
  <si>
    <t>AR20738</t>
  </si>
  <si>
    <t>AR20739</t>
  </si>
  <si>
    <t>AR20740</t>
  </si>
  <si>
    <t>AR20741</t>
  </si>
  <si>
    <t>AR20742</t>
  </si>
  <si>
    <t>AR20743</t>
  </si>
  <si>
    <t>AR20744</t>
  </si>
  <si>
    <t>AR20745</t>
  </si>
  <si>
    <t>AR20746</t>
  </si>
  <si>
    <t>AR20747</t>
  </si>
  <si>
    <t>AR20748</t>
  </si>
  <si>
    <t>AR20749</t>
  </si>
  <si>
    <t>AR20750</t>
  </si>
  <si>
    <t>AR20751</t>
  </si>
  <si>
    <t>AR20752</t>
  </si>
  <si>
    <t>AR20753</t>
  </si>
  <si>
    <t>AR20754</t>
  </si>
  <si>
    <t>AR20755</t>
  </si>
  <si>
    <t>AR20756</t>
  </si>
  <si>
    <t>AR20757</t>
  </si>
  <si>
    <t>AR20758</t>
  </si>
  <si>
    <t>AR20759</t>
  </si>
  <si>
    <t>AR20760</t>
  </si>
  <si>
    <t>AR20761</t>
  </si>
  <si>
    <t>AR20762</t>
  </si>
  <si>
    <t>AR20763</t>
  </si>
  <si>
    <t>AR20764</t>
  </si>
  <si>
    <t>AR20765</t>
  </si>
  <si>
    <t>AR20766</t>
  </si>
  <si>
    <t>AR20767</t>
  </si>
  <si>
    <t>AR20768</t>
  </si>
  <si>
    <t>AR20769</t>
  </si>
  <si>
    <t>AR20770</t>
  </si>
  <si>
    <t>AR20771</t>
  </si>
  <si>
    <t>AR20772</t>
  </si>
  <si>
    <t>AR20773</t>
  </si>
  <si>
    <t>AR20774</t>
  </si>
  <si>
    <t>AR20775</t>
  </si>
  <si>
    <t>AR20776</t>
  </si>
  <si>
    <t>AR20777</t>
  </si>
  <si>
    <t>AR20778</t>
  </si>
  <si>
    <t>AR20779</t>
  </si>
  <si>
    <t>AR20780</t>
  </si>
  <si>
    <t>AR20781</t>
  </si>
  <si>
    <t>AR20782</t>
  </si>
  <si>
    <t>AR20783</t>
  </si>
  <si>
    <t>AR20784</t>
  </si>
  <si>
    <t>AR20785</t>
  </si>
  <si>
    <t>AR20786</t>
  </si>
  <si>
    <t>AR20787</t>
  </si>
  <si>
    <t>AR20788</t>
  </si>
  <si>
    <t>AR20789</t>
  </si>
  <si>
    <t>AR20790</t>
  </si>
  <si>
    <t>AR20791</t>
  </si>
  <si>
    <t>AR20792</t>
  </si>
  <si>
    <t>AR20793</t>
  </si>
  <si>
    <t>AR20794</t>
  </si>
  <si>
    <t>AR20795</t>
  </si>
  <si>
    <t>AR20796</t>
  </si>
  <si>
    <t>AR20797</t>
  </si>
  <si>
    <t>AR20798</t>
  </si>
  <si>
    <t>AR20799</t>
  </si>
  <si>
    <t>AR20800</t>
  </si>
  <si>
    <t>AR20801</t>
  </si>
  <si>
    <t>AR20802</t>
  </si>
  <si>
    <t>AR20803</t>
  </si>
  <si>
    <t>AR20804</t>
  </si>
  <si>
    <t>AR20805</t>
  </si>
  <si>
    <t>AR20806</t>
  </si>
  <si>
    <t>AR20807</t>
  </si>
  <si>
    <t>AR20808</t>
  </si>
  <si>
    <t>AR20809</t>
  </si>
  <si>
    <t>AR20810</t>
  </si>
  <si>
    <t>AR20811</t>
  </si>
  <si>
    <t>AR20812</t>
  </si>
  <si>
    <t>AR20813</t>
  </si>
  <si>
    <t>AR20814</t>
  </si>
  <si>
    <t>AR20815</t>
  </si>
  <si>
    <t>AR20816</t>
  </si>
  <si>
    <t>AR20817</t>
  </si>
  <si>
    <t>AR20818</t>
  </si>
  <si>
    <t>AR20819</t>
  </si>
  <si>
    <t>AR20820</t>
  </si>
  <si>
    <t>AR20821</t>
  </si>
  <si>
    <t>AR20822</t>
  </si>
  <si>
    <t>AR20823</t>
  </si>
  <si>
    <t>AR20824</t>
  </si>
  <si>
    <t>AR20825</t>
  </si>
  <si>
    <t>AR20826</t>
  </si>
  <si>
    <t>AR20827</t>
  </si>
  <si>
    <t>AR20828</t>
  </si>
  <si>
    <t>AR20829</t>
  </si>
  <si>
    <t>AR20830</t>
  </si>
  <si>
    <t>AR20831</t>
  </si>
  <si>
    <t>AR20832</t>
  </si>
  <si>
    <t>AR20833</t>
  </si>
  <si>
    <t>AR20834</t>
  </si>
  <si>
    <t>AR20835</t>
  </si>
  <si>
    <t>AR20836</t>
  </si>
  <si>
    <t>AR20837</t>
  </si>
  <si>
    <t>AR20838</t>
  </si>
  <si>
    <t>AR20839</t>
  </si>
  <si>
    <t>AR20840</t>
  </si>
  <si>
    <t>AR20841</t>
  </si>
  <si>
    <t>AR20842</t>
  </si>
  <si>
    <t>AR20843</t>
  </si>
  <si>
    <t>AR20844</t>
  </si>
  <si>
    <t>AR20845</t>
  </si>
  <si>
    <t>AR20846</t>
  </si>
  <si>
    <t>AR20847</t>
  </si>
  <si>
    <t>AR20848</t>
  </si>
  <si>
    <t>AR20849</t>
  </si>
  <si>
    <t>AR20850</t>
  </si>
  <si>
    <t>AR20851</t>
  </si>
  <si>
    <t>AR20852</t>
  </si>
  <si>
    <t>AR20853</t>
  </si>
  <si>
    <t>AR20854</t>
  </si>
  <si>
    <t>AR20855</t>
  </si>
  <si>
    <t>AR20856</t>
  </si>
  <si>
    <t>AR20857</t>
  </si>
  <si>
    <t>AR20858</t>
  </si>
  <si>
    <t>AR20859</t>
  </si>
  <si>
    <t>AR20860</t>
  </si>
  <si>
    <t>AR20861</t>
  </si>
  <si>
    <t>AR20862</t>
  </si>
  <si>
    <t>AR20863</t>
  </si>
  <si>
    <t>AR20864</t>
  </si>
  <si>
    <t>AR20865</t>
  </si>
  <si>
    <t>AR20866</t>
  </si>
  <si>
    <t>AR20867</t>
  </si>
  <si>
    <t>AR20868</t>
  </si>
  <si>
    <t>AR20869</t>
  </si>
  <si>
    <t>AR20870</t>
  </si>
  <si>
    <t>AR20871</t>
  </si>
  <si>
    <t>AR20872</t>
  </si>
  <si>
    <t>AR20873</t>
  </si>
  <si>
    <t>AR20874</t>
  </si>
  <si>
    <t>AR20875</t>
  </si>
  <si>
    <t>AR20876</t>
  </si>
  <si>
    <t>AR20877</t>
  </si>
  <si>
    <t>AR20878</t>
  </si>
  <si>
    <t>AR20879</t>
  </si>
  <si>
    <t>AR20880</t>
  </si>
  <si>
    <t>AR20881</t>
  </si>
  <si>
    <t>AR20882</t>
  </si>
  <si>
    <t>AR20883</t>
  </si>
  <si>
    <t>AR20884</t>
  </si>
  <si>
    <t>AR20885</t>
  </si>
  <si>
    <t>AR20886</t>
  </si>
  <si>
    <t>AR20887</t>
  </si>
  <si>
    <t>AR20888</t>
  </si>
  <si>
    <t>AR20889</t>
  </si>
  <si>
    <t>AR20890</t>
  </si>
  <si>
    <t>AR20891</t>
  </si>
  <si>
    <t>AR20892</t>
  </si>
  <si>
    <t>AR20893</t>
  </si>
  <si>
    <t>AR20894</t>
  </si>
  <si>
    <t>AR20895</t>
  </si>
  <si>
    <t>AR20896</t>
  </si>
  <si>
    <t>AR20897</t>
  </si>
  <si>
    <t>AR20898</t>
  </si>
  <si>
    <t>AR20899</t>
  </si>
  <si>
    <t>FiscalYear</t>
  </si>
  <si>
    <t>Dept</t>
  </si>
  <si>
    <t>Quarter</t>
  </si>
  <si>
    <t>BudgetUSD</t>
  </si>
  <si>
    <t>ForecastUSD</t>
  </si>
  <si>
    <t>ActualUSD</t>
  </si>
  <si>
    <t>VarianceUSD</t>
  </si>
  <si>
    <t>Finance</t>
  </si>
  <si>
    <t>HR</t>
  </si>
  <si>
    <t>IT</t>
  </si>
  <si>
    <t>Sales</t>
  </si>
  <si>
    <t>Marketing</t>
  </si>
  <si>
    <t>Operations</t>
  </si>
  <si>
    <t>APID</t>
  </si>
  <si>
    <t>Vendor</t>
  </si>
  <si>
    <t>PaidDate</t>
  </si>
  <si>
    <t>AP10000</t>
  </si>
  <si>
    <t>BluePrints</t>
  </si>
  <si>
    <t>Net 30</t>
  </si>
  <si>
    <t>AP10001</t>
  </si>
  <si>
    <t>AP10002</t>
  </si>
  <si>
    <t>Fast Travel</t>
  </si>
  <si>
    <t>AP10003</t>
  </si>
  <si>
    <t>ABC Supplies</t>
  </si>
  <si>
    <t>AP10004</t>
  </si>
  <si>
    <t>AP10005</t>
  </si>
  <si>
    <t>AP10006</t>
  </si>
  <si>
    <t>AP10007</t>
  </si>
  <si>
    <t>Paid</t>
  </si>
  <si>
    <t>AP10008</t>
  </si>
  <si>
    <t>AP10009</t>
  </si>
  <si>
    <t>AP10010</t>
  </si>
  <si>
    <t>AP10011</t>
  </si>
  <si>
    <t>AP10012</t>
  </si>
  <si>
    <t>AP10013</t>
  </si>
  <si>
    <t>AP10014</t>
  </si>
  <si>
    <t>AP10015</t>
  </si>
  <si>
    <t>AP10016</t>
  </si>
  <si>
    <t>AP10017</t>
  </si>
  <si>
    <t>Global Office</t>
  </si>
  <si>
    <t>AP10018</t>
  </si>
  <si>
    <t>AP10019</t>
  </si>
  <si>
    <t>AP10020</t>
  </si>
  <si>
    <t>TechMart</t>
  </si>
  <si>
    <t>AP10021</t>
  </si>
  <si>
    <t>AP10022</t>
  </si>
  <si>
    <t>AP10023</t>
  </si>
  <si>
    <t>AP10024</t>
  </si>
  <si>
    <t>AP10025</t>
  </si>
  <si>
    <t>AP10026</t>
  </si>
  <si>
    <t>AP10027</t>
  </si>
  <si>
    <t>AP10028</t>
  </si>
  <si>
    <t>AP10029</t>
  </si>
  <si>
    <t>AP10030</t>
  </si>
  <si>
    <t>AP10031</t>
  </si>
  <si>
    <t>AP10032</t>
  </si>
  <si>
    <t>AP10033</t>
  </si>
  <si>
    <t>AP10034</t>
  </si>
  <si>
    <t>AP10035</t>
  </si>
  <si>
    <t>AP10036</t>
  </si>
  <si>
    <t>AP10037</t>
  </si>
  <si>
    <t>AP10038</t>
  </si>
  <si>
    <t>AP10039</t>
  </si>
  <si>
    <t>AP10040</t>
  </si>
  <si>
    <t>AP10041</t>
  </si>
  <si>
    <t>AP10042</t>
  </si>
  <si>
    <t>AP10043</t>
  </si>
  <si>
    <t>AP10044</t>
  </si>
  <si>
    <t>AP10045</t>
  </si>
  <si>
    <t>AP10046</t>
  </si>
  <si>
    <t>AP10047</t>
  </si>
  <si>
    <t>AP10048</t>
  </si>
  <si>
    <t>AP10049</t>
  </si>
  <si>
    <t>AP10050</t>
  </si>
  <si>
    <t>AP10051</t>
  </si>
  <si>
    <t>AP10052</t>
  </si>
  <si>
    <t>AP10053</t>
  </si>
  <si>
    <t>AP10054</t>
  </si>
  <si>
    <t>AP10055</t>
  </si>
  <si>
    <t>AP10056</t>
  </si>
  <si>
    <t>AP10057</t>
  </si>
  <si>
    <t>AP10058</t>
  </si>
  <si>
    <t>AP10059</t>
  </si>
  <si>
    <t>AP10060</t>
  </si>
  <si>
    <t>AP10061</t>
  </si>
  <si>
    <t>AP10062</t>
  </si>
  <si>
    <t>AP10063</t>
  </si>
  <si>
    <t>AP10064</t>
  </si>
  <si>
    <t>AP10065</t>
  </si>
  <si>
    <t>AP10066</t>
  </si>
  <si>
    <t>AP10067</t>
  </si>
  <si>
    <t>AP10068</t>
  </si>
  <si>
    <t>AP10069</t>
  </si>
  <si>
    <t>AP10070</t>
  </si>
  <si>
    <t>AP10071</t>
  </si>
  <si>
    <t>AP10072</t>
  </si>
  <si>
    <t>AP10073</t>
  </si>
  <si>
    <t>AP10074</t>
  </si>
  <si>
    <t>AP10075</t>
  </si>
  <si>
    <t>AP10076</t>
  </si>
  <si>
    <t>AP10077</t>
  </si>
  <si>
    <t>AP10078</t>
  </si>
  <si>
    <t>AP10079</t>
  </si>
  <si>
    <t>AP10080</t>
  </si>
  <si>
    <t>AP10081</t>
  </si>
  <si>
    <t>AP10082</t>
  </si>
  <si>
    <t>AP10083</t>
  </si>
  <si>
    <t>AP10084</t>
  </si>
  <si>
    <t>AP10085</t>
  </si>
  <si>
    <t>AP10086</t>
  </si>
  <si>
    <t>AP10087</t>
  </si>
  <si>
    <t>AP10088</t>
  </si>
  <si>
    <t>AP10089</t>
  </si>
  <si>
    <t>AP10090</t>
  </si>
  <si>
    <t>AP10091</t>
  </si>
  <si>
    <t>AP10092</t>
  </si>
  <si>
    <t>AP10093</t>
  </si>
  <si>
    <t>AP10094</t>
  </si>
  <si>
    <t>AP10095</t>
  </si>
  <si>
    <t>AP10096</t>
  </si>
  <si>
    <t>AP10097</t>
  </si>
  <si>
    <t>AP10098</t>
  </si>
  <si>
    <t>AP10099</t>
  </si>
  <si>
    <t>AP10100</t>
  </si>
  <si>
    <t>AP10101</t>
  </si>
  <si>
    <t>AP10102</t>
  </si>
  <si>
    <t>AP10103</t>
  </si>
  <si>
    <t>AP10104</t>
  </si>
  <si>
    <t>AP10105</t>
  </si>
  <si>
    <t>AP10106</t>
  </si>
  <si>
    <t>AP10107</t>
  </si>
  <si>
    <t>AP10108</t>
  </si>
  <si>
    <t>AP10109</t>
  </si>
  <si>
    <t>AP10110</t>
  </si>
  <si>
    <t>AP10111</t>
  </si>
  <si>
    <t>AP10112</t>
  </si>
  <si>
    <t>AP10113</t>
  </si>
  <si>
    <t>AP10114</t>
  </si>
  <si>
    <t>AP10115</t>
  </si>
  <si>
    <t>AP10116</t>
  </si>
  <si>
    <t>AP10117</t>
  </si>
  <si>
    <t>AP10118</t>
  </si>
  <si>
    <t>AP10119</t>
  </si>
  <si>
    <t>AP10120</t>
  </si>
  <si>
    <t>AP10121</t>
  </si>
  <si>
    <t>AP10122</t>
  </si>
  <si>
    <t>AP10123</t>
  </si>
  <si>
    <t>AP10124</t>
  </si>
  <si>
    <t>AP10125</t>
  </si>
  <si>
    <t>AP10126</t>
  </si>
  <si>
    <t>AP10127</t>
  </si>
  <si>
    <t>AP10128</t>
  </si>
  <si>
    <t>AP10129</t>
  </si>
  <si>
    <t>AP10130</t>
  </si>
  <si>
    <t>AP10131</t>
  </si>
  <si>
    <t>AP10132</t>
  </si>
  <si>
    <t>AP10133</t>
  </si>
  <si>
    <t>AP10134</t>
  </si>
  <si>
    <t>AP10135</t>
  </si>
  <si>
    <t>AP10136</t>
  </si>
  <si>
    <t>AP10137</t>
  </si>
  <si>
    <t>AP10138</t>
  </si>
  <si>
    <t>AP10139</t>
  </si>
  <si>
    <t>AP10140</t>
  </si>
  <si>
    <t>AP10141</t>
  </si>
  <si>
    <t>AP10142</t>
  </si>
  <si>
    <t>AP10143</t>
  </si>
  <si>
    <t>AP10144</t>
  </si>
  <si>
    <t>AP10145</t>
  </si>
  <si>
    <t>AP10146</t>
  </si>
  <si>
    <t>AP10147</t>
  </si>
  <si>
    <t>AP10148</t>
  </si>
  <si>
    <t>AP10149</t>
  </si>
  <si>
    <t>AP10150</t>
  </si>
  <si>
    <t>AP10151</t>
  </si>
  <si>
    <t>AP10152</t>
  </si>
  <si>
    <t>AP10153</t>
  </si>
  <si>
    <t>AP10154</t>
  </si>
  <si>
    <t>AP10155</t>
  </si>
  <si>
    <t>AP10156</t>
  </si>
  <si>
    <t>AP10157</t>
  </si>
  <si>
    <t>AP10158</t>
  </si>
  <si>
    <t>AP10159</t>
  </si>
  <si>
    <t>AP10160</t>
  </si>
  <si>
    <t>AP10161</t>
  </si>
  <si>
    <t>AP10162</t>
  </si>
  <si>
    <t>AP10163</t>
  </si>
  <si>
    <t>AP10164</t>
  </si>
  <si>
    <t>AP10165</t>
  </si>
  <si>
    <t>AP10166</t>
  </si>
  <si>
    <t>AP10167</t>
  </si>
  <si>
    <t>AP10168</t>
  </si>
  <si>
    <t>AP10169</t>
  </si>
  <si>
    <t>AP10170</t>
  </si>
  <si>
    <t>AP10171</t>
  </si>
  <si>
    <t>AP10172</t>
  </si>
  <si>
    <t>AP10173</t>
  </si>
  <si>
    <t>AP10174</t>
  </si>
  <si>
    <t>AP10175</t>
  </si>
  <si>
    <t>AP10176</t>
  </si>
  <si>
    <t>AP10177</t>
  </si>
  <si>
    <t>AP10178</t>
  </si>
  <si>
    <t>AP10179</t>
  </si>
  <si>
    <t>AP10180</t>
  </si>
  <si>
    <t>AP10181</t>
  </si>
  <si>
    <t>AP10182</t>
  </si>
  <si>
    <t>AP10183</t>
  </si>
  <si>
    <t>AP10184</t>
  </si>
  <si>
    <t>AP10185</t>
  </si>
  <si>
    <t>AP10186</t>
  </si>
  <si>
    <t>AP10187</t>
  </si>
  <si>
    <t>AP10188</t>
  </si>
  <si>
    <t>AP10189</t>
  </si>
  <si>
    <t>AP10190</t>
  </si>
  <si>
    <t>AP10191</t>
  </si>
  <si>
    <t>AP10192</t>
  </si>
  <si>
    <t>AP10193</t>
  </si>
  <si>
    <t>AP10194</t>
  </si>
  <si>
    <t>AP10195</t>
  </si>
  <si>
    <t>AP10196</t>
  </si>
  <si>
    <t>AP10197</t>
  </si>
  <si>
    <t>AP10198</t>
  </si>
  <si>
    <t>AP10199</t>
  </si>
  <si>
    <t>AP10200</t>
  </si>
  <si>
    <t>AP10201</t>
  </si>
  <si>
    <t>AP10202</t>
  </si>
  <si>
    <t>AP10203</t>
  </si>
  <si>
    <t>AP10204</t>
  </si>
  <si>
    <t>AP10205</t>
  </si>
  <si>
    <t>AP10206</t>
  </si>
  <si>
    <t>AP10207</t>
  </si>
  <si>
    <t>AP10208</t>
  </si>
  <si>
    <t>AP10209</t>
  </si>
  <si>
    <t>AP10210</t>
  </si>
  <si>
    <t>AP10211</t>
  </si>
  <si>
    <t>AP10212</t>
  </si>
  <si>
    <t>AP10213</t>
  </si>
  <si>
    <t>AP10214</t>
  </si>
  <si>
    <t>AP10215</t>
  </si>
  <si>
    <t>AP10216</t>
  </si>
  <si>
    <t>AP10217</t>
  </si>
  <si>
    <t>AP10218</t>
  </si>
  <si>
    <t>AP10219</t>
  </si>
  <si>
    <t>AP10220</t>
  </si>
  <si>
    <t>AP10221</t>
  </si>
  <si>
    <t>AP10222</t>
  </si>
  <si>
    <t>AP10223</t>
  </si>
  <si>
    <t>AP10224</t>
  </si>
  <si>
    <t>AP10225</t>
  </si>
  <si>
    <t>AP10226</t>
  </si>
  <si>
    <t>AP10227</t>
  </si>
  <si>
    <t>AP10228</t>
  </si>
  <si>
    <t>AP10229</t>
  </si>
  <si>
    <t>AP10230</t>
  </si>
  <si>
    <t>AP10231</t>
  </si>
  <si>
    <t>AP10232</t>
  </si>
  <si>
    <t>AP10233</t>
  </si>
  <si>
    <t>AP10234</t>
  </si>
  <si>
    <t>AP10235</t>
  </si>
  <si>
    <t>AP10236</t>
  </si>
  <si>
    <t>AP10237</t>
  </si>
  <si>
    <t>AP10238</t>
  </si>
  <si>
    <t>AP10239</t>
  </si>
  <si>
    <t>AP10240</t>
  </si>
  <si>
    <t>AP10241</t>
  </si>
  <si>
    <t>AP10242</t>
  </si>
  <si>
    <t>AP10243</t>
  </si>
  <si>
    <t>AP10244</t>
  </si>
  <si>
    <t>AP10245</t>
  </si>
  <si>
    <t>AP10246</t>
  </si>
  <si>
    <t>AP10247</t>
  </si>
  <si>
    <t>AP10248</t>
  </si>
  <si>
    <t>AP10249</t>
  </si>
  <si>
    <t>AP10250</t>
  </si>
  <si>
    <t>AP10251</t>
  </si>
  <si>
    <t>AP10252</t>
  </si>
  <si>
    <t>AP10253</t>
  </si>
  <si>
    <t>AP10254</t>
  </si>
  <si>
    <t>AP10255</t>
  </si>
  <si>
    <t>AP10256</t>
  </si>
  <si>
    <t>AP10257</t>
  </si>
  <si>
    <t>AP10258</t>
  </si>
  <si>
    <t>AP10259</t>
  </si>
  <si>
    <t>AP10260</t>
  </si>
  <si>
    <t>AP10261</t>
  </si>
  <si>
    <t>AP10262</t>
  </si>
  <si>
    <t>AP10263</t>
  </si>
  <si>
    <t>AP10264</t>
  </si>
  <si>
    <t>AP10265</t>
  </si>
  <si>
    <t>AP10266</t>
  </si>
  <si>
    <t>AP10267</t>
  </si>
  <si>
    <t>AP10268</t>
  </si>
  <si>
    <t>AP10269</t>
  </si>
  <si>
    <t>AP10270</t>
  </si>
  <si>
    <t>AP10271</t>
  </si>
  <si>
    <t>AP10272</t>
  </si>
  <si>
    <t>AP10273</t>
  </si>
  <si>
    <t>AP10274</t>
  </si>
  <si>
    <t>AP10275</t>
  </si>
  <si>
    <t>AP10276</t>
  </si>
  <si>
    <t>AP10277</t>
  </si>
  <si>
    <t>AP10278</t>
  </si>
  <si>
    <t>AP10279</t>
  </si>
  <si>
    <t>AP10280</t>
  </si>
  <si>
    <t>AP10281</t>
  </si>
  <si>
    <t>AP10282</t>
  </si>
  <si>
    <t>AP10283</t>
  </si>
  <si>
    <t>AP10284</t>
  </si>
  <si>
    <t>AP10285</t>
  </si>
  <si>
    <t>AP10286</t>
  </si>
  <si>
    <t>AP10287</t>
  </si>
  <si>
    <t>AP10288</t>
  </si>
  <si>
    <t>AP10289</t>
  </si>
  <si>
    <t>AP10290</t>
  </si>
  <si>
    <t>AP10291</t>
  </si>
  <si>
    <t>AP10292</t>
  </si>
  <si>
    <t>AP10293</t>
  </si>
  <si>
    <t>AP10294</t>
  </si>
  <si>
    <t>AP10295</t>
  </si>
  <si>
    <t>AP10296</t>
  </si>
  <si>
    <t>AP10297</t>
  </si>
  <si>
    <t>AP10298</t>
  </si>
  <si>
    <t>AP10299</t>
  </si>
  <si>
    <t>AP10300</t>
  </si>
  <si>
    <t>AP10301</t>
  </si>
  <si>
    <t>AP10302</t>
  </si>
  <si>
    <t>AP10303</t>
  </si>
  <si>
    <t>AP10304</t>
  </si>
  <si>
    <t>AP10305</t>
  </si>
  <si>
    <t>AP10306</t>
  </si>
  <si>
    <t>AP10307</t>
  </si>
  <si>
    <t>AP10308</t>
  </si>
  <si>
    <t>AP10309</t>
  </si>
  <si>
    <t>AP10310</t>
  </si>
  <si>
    <t>AP10311</t>
  </si>
  <si>
    <t>AP10312</t>
  </si>
  <si>
    <t>AP10313</t>
  </si>
  <si>
    <t>AP10314</t>
  </si>
  <si>
    <t>AP10315</t>
  </si>
  <si>
    <t>AP10316</t>
  </si>
  <si>
    <t>AP10317</t>
  </si>
  <si>
    <t>AP10318</t>
  </si>
  <si>
    <t>AP10319</t>
  </si>
  <si>
    <t>AP10320</t>
  </si>
  <si>
    <t>AP10321</t>
  </si>
  <si>
    <t>AP10322</t>
  </si>
  <si>
    <t>AP10323</t>
  </si>
  <si>
    <t>AP10324</t>
  </si>
  <si>
    <t>AP10325</t>
  </si>
  <si>
    <t>AP10326</t>
  </si>
  <si>
    <t>AP10327</t>
  </si>
  <si>
    <t>AP10328</t>
  </si>
  <si>
    <t>AP10329</t>
  </si>
  <si>
    <t>AP10330</t>
  </si>
  <si>
    <t>AP10331</t>
  </si>
  <si>
    <t>AP10332</t>
  </si>
  <si>
    <t>AP10333</t>
  </si>
  <si>
    <t>AP10334</t>
  </si>
  <si>
    <t>AP10335</t>
  </si>
  <si>
    <t>AP10336</t>
  </si>
  <si>
    <t>AP10337</t>
  </si>
  <si>
    <t>AP10338</t>
  </si>
  <si>
    <t>AP10339</t>
  </si>
  <si>
    <t>AP10340</t>
  </si>
  <si>
    <t>AP10341</t>
  </si>
  <si>
    <t>AP10342</t>
  </si>
  <si>
    <t>AP10343</t>
  </si>
  <si>
    <t>AP10344</t>
  </si>
  <si>
    <t>AP10345</t>
  </si>
  <si>
    <t>AP10346</t>
  </si>
  <si>
    <t>AP10347</t>
  </si>
  <si>
    <t>AP10348</t>
  </si>
  <si>
    <t>AP10349</t>
  </si>
  <si>
    <t>AP10350</t>
  </si>
  <si>
    <t>AP10351</t>
  </si>
  <si>
    <t>AP10352</t>
  </si>
  <si>
    <t>AP10353</t>
  </si>
  <si>
    <t>AP10354</t>
  </si>
  <si>
    <t>AP10355</t>
  </si>
  <si>
    <t>AP10356</t>
  </si>
  <si>
    <t>AP10357</t>
  </si>
  <si>
    <t>AP10358</t>
  </si>
  <si>
    <t>AP10359</t>
  </si>
  <si>
    <t>AP10360</t>
  </si>
  <si>
    <t>AP10361</t>
  </si>
  <si>
    <t>AP10362</t>
  </si>
  <si>
    <t>AP10363</t>
  </si>
  <si>
    <t>AP10364</t>
  </si>
  <si>
    <t>AP10365</t>
  </si>
  <si>
    <t>AP10366</t>
  </si>
  <si>
    <t>AP10367</t>
  </si>
  <si>
    <t>AP10368</t>
  </si>
  <si>
    <t>AP10369</t>
  </si>
  <si>
    <t>AP10370</t>
  </si>
  <si>
    <t>AP10371</t>
  </si>
  <si>
    <t>AP10372</t>
  </si>
  <si>
    <t>AP10373</t>
  </si>
  <si>
    <t>AP10374</t>
  </si>
  <si>
    <t>AP10375</t>
  </si>
  <si>
    <t>AP10376</t>
  </si>
  <si>
    <t>AP10377</t>
  </si>
  <si>
    <t>AP10378</t>
  </si>
  <si>
    <t>AP10379</t>
  </si>
  <si>
    <t>AP10380</t>
  </si>
  <si>
    <t>AP10381</t>
  </si>
  <si>
    <t>AP10382</t>
  </si>
  <si>
    <t>AP10383</t>
  </si>
  <si>
    <t>AP10384</t>
  </si>
  <si>
    <t>AP10385</t>
  </si>
  <si>
    <t>AP10386</t>
  </si>
  <si>
    <t>AP10387</t>
  </si>
  <si>
    <t>AP10388</t>
  </si>
  <si>
    <t>AP10389</t>
  </si>
  <si>
    <t>AP10390</t>
  </si>
  <si>
    <t>AP10391</t>
  </si>
  <si>
    <t>AP10392</t>
  </si>
  <si>
    <t>AP10393</t>
  </si>
  <si>
    <t>AP10394</t>
  </si>
  <si>
    <t>AP10395</t>
  </si>
  <si>
    <t>AP10396</t>
  </si>
  <si>
    <t>AP10397</t>
  </si>
  <si>
    <t>AP10398</t>
  </si>
  <si>
    <t>AP10399</t>
  </si>
  <si>
    <t>AP10400</t>
  </si>
  <si>
    <t>AP10401</t>
  </si>
  <si>
    <t>AP10402</t>
  </si>
  <si>
    <t>AP10403</t>
  </si>
  <si>
    <t>AP10404</t>
  </si>
  <si>
    <t>AP10405</t>
  </si>
  <si>
    <t>AP10406</t>
  </si>
  <si>
    <t>AP10407</t>
  </si>
  <si>
    <t>AP10408</t>
  </si>
  <si>
    <t>AP10409</t>
  </si>
  <si>
    <t>AP10410</t>
  </si>
  <si>
    <t>AP10411</t>
  </si>
  <si>
    <t>AP10412</t>
  </si>
  <si>
    <t>AP10413</t>
  </si>
  <si>
    <t>AP10414</t>
  </si>
  <si>
    <t>AP10415</t>
  </si>
  <si>
    <t>AP10416</t>
  </si>
  <si>
    <t>AP10417</t>
  </si>
  <si>
    <t>AP10418</t>
  </si>
  <si>
    <t>AP10419</t>
  </si>
  <si>
    <t>AP10420</t>
  </si>
  <si>
    <t>AP10421</t>
  </si>
  <si>
    <t>AP10422</t>
  </si>
  <si>
    <t>AP10423</t>
  </si>
  <si>
    <t>AP10424</t>
  </si>
  <si>
    <t>AP10425</t>
  </si>
  <si>
    <t>AP10426</t>
  </si>
  <si>
    <t>AP10427</t>
  </si>
  <si>
    <t>AP10428</t>
  </si>
  <si>
    <t>AP10429</t>
  </si>
  <si>
    <t>AP10430</t>
  </si>
  <si>
    <t>AP10431</t>
  </si>
  <si>
    <t>AP10432</t>
  </si>
  <si>
    <t>AP10433</t>
  </si>
  <si>
    <t>AP10434</t>
  </si>
  <si>
    <t>AP10435</t>
  </si>
  <si>
    <t>AP10436</t>
  </si>
  <si>
    <t>AP10437</t>
  </si>
  <si>
    <t>AP10438</t>
  </si>
  <si>
    <t>AP10439</t>
  </si>
  <si>
    <t>AP10440</t>
  </si>
  <si>
    <t>AP10441</t>
  </si>
  <si>
    <t>AP10442</t>
  </si>
  <si>
    <t>AP10443</t>
  </si>
  <si>
    <t>AP10444</t>
  </si>
  <si>
    <t>AP10445</t>
  </si>
  <si>
    <t>AP10446</t>
  </si>
  <si>
    <t>AP10447</t>
  </si>
  <si>
    <t>AP10448</t>
  </si>
  <si>
    <t>AP10449</t>
  </si>
  <si>
    <t>AP10450</t>
  </si>
  <si>
    <t>AP10451</t>
  </si>
  <si>
    <t>AP10452</t>
  </si>
  <si>
    <t>AP10453</t>
  </si>
  <si>
    <t>AP10454</t>
  </si>
  <si>
    <t>AP10455</t>
  </si>
  <si>
    <t>AP10456</t>
  </si>
  <si>
    <t>AP10457</t>
  </si>
  <si>
    <t>AP10458</t>
  </si>
  <si>
    <t>AP10459</t>
  </si>
  <si>
    <t>AP10460</t>
  </si>
  <si>
    <t>AP10461</t>
  </si>
  <si>
    <t>AP10462</t>
  </si>
  <si>
    <t>AP10463</t>
  </si>
  <si>
    <t>AP10464</t>
  </si>
  <si>
    <t>AP10465</t>
  </si>
  <si>
    <t>AP10466</t>
  </si>
  <si>
    <t>AP10467</t>
  </si>
  <si>
    <t>AP10468</t>
  </si>
  <si>
    <t>AP10469</t>
  </si>
  <si>
    <t>AP10470</t>
  </si>
  <si>
    <t>AP10471</t>
  </si>
  <si>
    <t>AP10472</t>
  </si>
  <si>
    <t>AP10473</t>
  </si>
  <si>
    <t>AP10474</t>
  </si>
  <si>
    <t>AP10475</t>
  </si>
  <si>
    <t>AP10476</t>
  </si>
  <si>
    <t>AP10477</t>
  </si>
  <si>
    <t>AP10478</t>
  </si>
  <si>
    <t>AP10479</t>
  </si>
  <si>
    <t>AP10480</t>
  </si>
  <si>
    <t>AP10481</t>
  </si>
  <si>
    <t>AP10482</t>
  </si>
  <si>
    <t>AP10483</t>
  </si>
  <si>
    <t>AP10484</t>
  </si>
  <si>
    <t>AP10485</t>
  </si>
  <si>
    <t>AP10486</t>
  </si>
  <si>
    <t>AP10487</t>
  </si>
  <si>
    <t>AP10488</t>
  </si>
  <si>
    <t>AP10489</t>
  </si>
  <si>
    <t>AP10490</t>
  </si>
  <si>
    <t>AP10491</t>
  </si>
  <si>
    <t>AP10492</t>
  </si>
  <si>
    <t>AP10493</t>
  </si>
  <si>
    <t>AP10494</t>
  </si>
  <si>
    <t>AP10495</t>
  </si>
  <si>
    <t>AP10496</t>
  </si>
  <si>
    <t>AP10497</t>
  </si>
  <si>
    <t>AP10498</t>
  </si>
  <si>
    <t>AP10499</t>
  </si>
  <si>
    <t>AP10500</t>
  </si>
  <si>
    <t>AP10501</t>
  </si>
  <si>
    <t>AP10502</t>
  </si>
  <si>
    <t>AP10503</t>
  </si>
  <si>
    <t>AP10504</t>
  </si>
  <si>
    <t>AP10505</t>
  </si>
  <si>
    <t>AP10506</t>
  </si>
  <si>
    <t>AP10507</t>
  </si>
  <si>
    <t>AP10508</t>
  </si>
  <si>
    <t>AP10509</t>
  </si>
  <si>
    <t>AP10510</t>
  </si>
  <si>
    <t>AP10511</t>
  </si>
  <si>
    <t>AP10512</t>
  </si>
  <si>
    <t>AP10513</t>
  </si>
  <si>
    <t>AP10514</t>
  </si>
  <si>
    <t>AP10515</t>
  </si>
  <si>
    <t>AP10516</t>
  </si>
  <si>
    <t>AP10517</t>
  </si>
  <si>
    <t>AP10518</t>
  </si>
  <si>
    <t>AP10519</t>
  </si>
  <si>
    <t>AP10520</t>
  </si>
  <si>
    <t>AP10521</t>
  </si>
  <si>
    <t>AP10522</t>
  </si>
  <si>
    <t>AP10523</t>
  </si>
  <si>
    <t>AP10524</t>
  </si>
  <si>
    <t>AP10525</t>
  </si>
  <si>
    <t>AP10526</t>
  </si>
  <si>
    <t>AP10527</t>
  </si>
  <si>
    <t>AP10528</t>
  </si>
  <si>
    <t>AP10529</t>
  </si>
  <si>
    <t>AP10530</t>
  </si>
  <si>
    <t>AP10531</t>
  </si>
  <si>
    <t>AP10532</t>
  </si>
  <si>
    <t>AP10533</t>
  </si>
  <si>
    <t>AP10534</t>
  </si>
  <si>
    <t>AP10535</t>
  </si>
  <si>
    <t>AP10536</t>
  </si>
  <si>
    <t>AP10537</t>
  </si>
  <si>
    <t>AP10538</t>
  </si>
  <si>
    <t>AP10539</t>
  </si>
  <si>
    <t>AP10540</t>
  </si>
  <si>
    <t>AP10541</t>
  </si>
  <si>
    <t>AP10542</t>
  </si>
  <si>
    <t>AP10543</t>
  </si>
  <si>
    <t>AP10544</t>
  </si>
  <si>
    <t>AP10545</t>
  </si>
  <si>
    <t>AP10546</t>
  </si>
  <si>
    <t>AP10547</t>
  </si>
  <si>
    <t>AP10548</t>
  </si>
  <si>
    <t>AP10549</t>
  </si>
  <si>
    <t>AP10550</t>
  </si>
  <si>
    <t>AP10551</t>
  </si>
  <si>
    <t>AP10552</t>
  </si>
  <si>
    <t>AP10553</t>
  </si>
  <si>
    <t>AP10554</t>
  </si>
  <si>
    <t>AP10555</t>
  </si>
  <si>
    <t>AP10556</t>
  </si>
  <si>
    <t>AP10557</t>
  </si>
  <si>
    <t>AP10558</t>
  </si>
  <si>
    <t>AP10559</t>
  </si>
  <si>
    <t>AP10560</t>
  </si>
  <si>
    <t>AP10561</t>
  </si>
  <si>
    <t>AP10562</t>
  </si>
  <si>
    <t>AP10563</t>
  </si>
  <si>
    <t>AP10564</t>
  </si>
  <si>
    <t>AP10565</t>
  </si>
  <si>
    <t>AP10566</t>
  </si>
  <si>
    <t>AP10567</t>
  </si>
  <si>
    <t>AP10568</t>
  </si>
  <si>
    <t>AP10569</t>
  </si>
  <si>
    <t>AP10570</t>
  </si>
  <si>
    <t>AP10571</t>
  </si>
  <si>
    <t>AP10572</t>
  </si>
  <si>
    <t>AP10573</t>
  </si>
  <si>
    <t>AP10574</t>
  </si>
  <si>
    <t>AP10575</t>
  </si>
  <si>
    <t>AP10576</t>
  </si>
  <si>
    <t>AP10577</t>
  </si>
  <si>
    <t>AP10578</t>
  </si>
  <si>
    <t>AP10579</t>
  </si>
  <si>
    <t>AP10580</t>
  </si>
  <si>
    <t>AP10581</t>
  </si>
  <si>
    <t>AP10582</t>
  </si>
  <si>
    <t>AP10583</t>
  </si>
  <si>
    <t>AP10584</t>
  </si>
  <si>
    <t>AP10585</t>
  </si>
  <si>
    <t>AP10586</t>
  </si>
  <si>
    <t>AP10587</t>
  </si>
  <si>
    <t>AP10588</t>
  </si>
  <si>
    <t>AP10589</t>
  </si>
  <si>
    <t>AP10590</t>
  </si>
  <si>
    <t>AP10591</t>
  </si>
  <si>
    <t>AP10592</t>
  </si>
  <si>
    <t>AP10593</t>
  </si>
  <si>
    <t>AP10594</t>
  </si>
  <si>
    <t>AP10595</t>
  </si>
  <si>
    <t>AP10596</t>
  </si>
  <si>
    <t>AP10597</t>
  </si>
  <si>
    <t>AP10598</t>
  </si>
  <si>
    <t>AP10599</t>
  </si>
  <si>
    <t>AP10600</t>
  </si>
  <si>
    <t>AP10601</t>
  </si>
  <si>
    <t>AP10602</t>
  </si>
  <si>
    <t>AP10603</t>
  </si>
  <si>
    <t>AP10604</t>
  </si>
  <si>
    <t>AP10605</t>
  </si>
  <si>
    <t>AP10606</t>
  </si>
  <si>
    <t>AP10607</t>
  </si>
  <si>
    <t>AP10608</t>
  </si>
  <si>
    <t>AP10609</t>
  </si>
  <si>
    <t>AP10610</t>
  </si>
  <si>
    <t>AP10611</t>
  </si>
  <si>
    <t>AP10612</t>
  </si>
  <si>
    <t>AP10613</t>
  </si>
  <si>
    <t>AP10614</t>
  </si>
  <si>
    <t>AP10615</t>
  </si>
  <si>
    <t>AP10616</t>
  </si>
  <si>
    <t>AP10617</t>
  </si>
  <si>
    <t>AP10618</t>
  </si>
  <si>
    <t>AP10619</t>
  </si>
  <si>
    <t>AP10620</t>
  </si>
  <si>
    <t>AP10621</t>
  </si>
  <si>
    <t>AP10622</t>
  </si>
  <si>
    <t>AP10623</t>
  </si>
  <si>
    <t>AP10624</t>
  </si>
  <si>
    <t>AP10625</t>
  </si>
  <si>
    <t>AP10626</t>
  </si>
  <si>
    <t>AP10627</t>
  </si>
  <si>
    <t>AP10628</t>
  </si>
  <si>
    <t>AP10629</t>
  </si>
  <si>
    <t>AP10630</t>
  </si>
  <si>
    <t>AP10631</t>
  </si>
  <si>
    <t>AP10632</t>
  </si>
  <si>
    <t>AP10633</t>
  </si>
  <si>
    <t>AP10634</t>
  </si>
  <si>
    <t>AP10635</t>
  </si>
  <si>
    <t>AP10636</t>
  </si>
  <si>
    <t>AP10637</t>
  </si>
  <si>
    <t>AP10638</t>
  </si>
  <si>
    <t>AP10639</t>
  </si>
  <si>
    <t>AP10640</t>
  </si>
  <si>
    <t>AP10641</t>
  </si>
  <si>
    <t>AP10642</t>
  </si>
  <si>
    <t>AP10643</t>
  </si>
  <si>
    <t>AP10644</t>
  </si>
  <si>
    <t>AP10645</t>
  </si>
  <si>
    <t>AP10646</t>
  </si>
  <si>
    <t>AP10647</t>
  </si>
  <si>
    <t>AP10648</t>
  </si>
  <si>
    <t>AP10649</t>
  </si>
  <si>
    <t>AP10650</t>
  </si>
  <si>
    <t>AP10651</t>
  </si>
  <si>
    <t>AP10652</t>
  </si>
  <si>
    <t>AP10653</t>
  </si>
  <si>
    <t>AP10654</t>
  </si>
  <si>
    <t>AP10655</t>
  </si>
  <si>
    <t>AP10656</t>
  </si>
  <si>
    <t>AP10657</t>
  </si>
  <si>
    <t>AP10658</t>
  </si>
  <si>
    <t>AP10659</t>
  </si>
  <si>
    <t>AP10660</t>
  </si>
  <si>
    <t>AP10661</t>
  </si>
  <si>
    <t>AP10662</t>
  </si>
  <si>
    <t>AP10663</t>
  </si>
  <si>
    <t>AP10664</t>
  </si>
  <si>
    <t>AP10665</t>
  </si>
  <si>
    <t>AP10666</t>
  </si>
  <si>
    <t>AP10667</t>
  </si>
  <si>
    <t>AP10668</t>
  </si>
  <si>
    <t>AP10669</t>
  </si>
  <si>
    <t>AP10670</t>
  </si>
  <si>
    <t>AP10671</t>
  </si>
  <si>
    <t>AP10672</t>
  </si>
  <si>
    <t>AP10673</t>
  </si>
  <si>
    <t>AP10674</t>
  </si>
  <si>
    <t>AP10675</t>
  </si>
  <si>
    <t>AP10676</t>
  </si>
  <si>
    <t>AP10677</t>
  </si>
  <si>
    <t>AP10678</t>
  </si>
  <si>
    <t>AP10679</t>
  </si>
  <si>
    <t>AP10680</t>
  </si>
  <si>
    <t>AP10681</t>
  </si>
  <si>
    <t>AP10682</t>
  </si>
  <si>
    <t>AP10683</t>
  </si>
  <si>
    <t>AP10684</t>
  </si>
  <si>
    <t>AP10685</t>
  </si>
  <si>
    <t>AP10686</t>
  </si>
  <si>
    <t>AP10687</t>
  </si>
  <si>
    <t>AP10688</t>
  </si>
  <si>
    <t>AP10689</t>
  </si>
  <si>
    <t>AP10690</t>
  </si>
  <si>
    <t>AP10691</t>
  </si>
  <si>
    <t>AP10692</t>
  </si>
  <si>
    <t>AP10693</t>
  </si>
  <si>
    <t>AP10694</t>
  </si>
  <si>
    <t>AP10695</t>
  </si>
  <si>
    <t>AP10696</t>
  </si>
  <si>
    <t>AP10697</t>
  </si>
  <si>
    <t>AP10698</t>
  </si>
  <si>
    <t>AP10699</t>
  </si>
  <si>
    <t>AP10700</t>
  </si>
  <si>
    <t>AP10701</t>
  </si>
  <si>
    <t>AP10702</t>
  </si>
  <si>
    <t>AP10703</t>
  </si>
  <si>
    <t>AP10704</t>
  </si>
  <si>
    <t>AP10705</t>
  </si>
  <si>
    <t>AP10706</t>
  </si>
  <si>
    <t>AP10707</t>
  </si>
  <si>
    <t>AP10708</t>
  </si>
  <si>
    <t>AP10709</t>
  </si>
  <si>
    <t>AP10710</t>
  </si>
  <si>
    <t>AP10711</t>
  </si>
  <si>
    <t>AP10712</t>
  </si>
  <si>
    <t>AP10713</t>
  </si>
  <si>
    <t>AP10714</t>
  </si>
  <si>
    <t>AP10715</t>
  </si>
  <si>
    <t>AP10716</t>
  </si>
  <si>
    <t>AP10717</t>
  </si>
  <si>
    <t>AP10718</t>
  </si>
  <si>
    <t>AP10719</t>
  </si>
  <si>
    <t>AP10720</t>
  </si>
  <si>
    <t>AP10721</t>
  </si>
  <si>
    <t>AP10722</t>
  </si>
  <si>
    <t>AP10723</t>
  </si>
  <si>
    <t>AP10724</t>
  </si>
  <si>
    <t>AP10725</t>
  </si>
  <si>
    <t>AP10726</t>
  </si>
  <si>
    <t>AP10727</t>
  </si>
  <si>
    <t>AP10728</t>
  </si>
  <si>
    <t>AP10729</t>
  </si>
  <si>
    <t>AP10730</t>
  </si>
  <si>
    <t>AP10731</t>
  </si>
  <si>
    <t>AP10732</t>
  </si>
  <si>
    <t>AP10733</t>
  </si>
  <si>
    <t>AP10734</t>
  </si>
  <si>
    <t>AP10735</t>
  </si>
  <si>
    <t>AP10736</t>
  </si>
  <si>
    <t>AP10737</t>
  </si>
  <si>
    <t>AP10738</t>
  </si>
  <si>
    <t>AP10739</t>
  </si>
  <si>
    <t>AP10740</t>
  </si>
  <si>
    <t>AP10741</t>
  </si>
  <si>
    <t>AP10742</t>
  </si>
  <si>
    <t>AP10743</t>
  </si>
  <si>
    <t>AP10744</t>
  </si>
  <si>
    <t>AP10745</t>
  </si>
  <si>
    <t>AP10746</t>
  </si>
  <si>
    <t>AP10747</t>
  </si>
  <si>
    <t>AP10748</t>
  </si>
  <si>
    <t>AP10749</t>
  </si>
  <si>
    <t>AP10750</t>
  </si>
  <si>
    <t>AP10751</t>
  </si>
  <si>
    <t>AP10752</t>
  </si>
  <si>
    <t>AP10753</t>
  </si>
  <si>
    <t>AP10754</t>
  </si>
  <si>
    <t>AP10755</t>
  </si>
  <si>
    <t>AP10756</t>
  </si>
  <si>
    <t>AP10757</t>
  </si>
  <si>
    <t>AP10758</t>
  </si>
  <si>
    <t>AP10759</t>
  </si>
  <si>
    <t>AP10760</t>
  </si>
  <si>
    <t>AP10761</t>
  </si>
  <si>
    <t>AP10762</t>
  </si>
  <si>
    <t>AP10763</t>
  </si>
  <si>
    <t>AP10764</t>
  </si>
  <si>
    <t>AP10765</t>
  </si>
  <si>
    <t>AP10766</t>
  </si>
  <si>
    <t>AP10767</t>
  </si>
  <si>
    <t>AP10768</t>
  </si>
  <si>
    <t>AP10769</t>
  </si>
  <si>
    <t>AP10770</t>
  </si>
  <si>
    <t>AP10771</t>
  </si>
  <si>
    <t>AP10772</t>
  </si>
  <si>
    <t>AP10773</t>
  </si>
  <si>
    <t>AP10774</t>
  </si>
  <si>
    <t>AP10775</t>
  </si>
  <si>
    <t>AP10776</t>
  </si>
  <si>
    <t>AP10777</t>
  </si>
  <si>
    <t>AP10778</t>
  </si>
  <si>
    <t>AP10779</t>
  </si>
  <si>
    <t>AP10780</t>
  </si>
  <si>
    <t>AP10781</t>
  </si>
  <si>
    <t>AP10782</t>
  </si>
  <si>
    <t>AP10783</t>
  </si>
  <si>
    <t>AP10784</t>
  </si>
  <si>
    <t>AP10785</t>
  </si>
  <si>
    <t>AP10786</t>
  </si>
  <si>
    <t>AP10787</t>
  </si>
  <si>
    <t>AP10788</t>
  </si>
  <si>
    <t>AP10789</t>
  </si>
  <si>
    <t>AP10790</t>
  </si>
  <si>
    <t>AP10791</t>
  </si>
  <si>
    <t>AP10792</t>
  </si>
  <si>
    <t>AP10793</t>
  </si>
  <si>
    <t>AP10794</t>
  </si>
  <si>
    <t>AP10795</t>
  </si>
  <si>
    <t>AP10796</t>
  </si>
  <si>
    <t>AP10797</t>
  </si>
  <si>
    <t>AP10798</t>
  </si>
  <si>
    <t>AP10799</t>
  </si>
  <si>
    <t>Column1</t>
  </si>
  <si>
    <t>PaymentDelayDays</t>
  </si>
  <si>
    <t>OverdueFlag</t>
  </si>
  <si>
    <t>VariancePercent</t>
  </si>
  <si>
    <t>Row Labels</t>
  </si>
  <si>
    <t>Grand Total</t>
  </si>
  <si>
    <t>Sum of Amount</t>
  </si>
  <si>
    <t>2023</t>
  </si>
  <si>
    <t>2024</t>
  </si>
  <si>
    <t>2025</t>
  </si>
  <si>
    <t>Sum of BudgetUSD</t>
  </si>
  <si>
    <t>Sum of ActualUSD</t>
  </si>
  <si>
    <t>Invoioce date</t>
  </si>
  <si>
    <t>satatus</t>
  </si>
  <si>
    <t>OK</t>
  </si>
  <si>
    <t>Overdue</t>
  </si>
  <si>
    <t>Invoice 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</si>
</sst>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9"/>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bottom style="thin">
        <color auto="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64" fontId="0" fillId="0" borderId="0" xfId="0" applyNumberFormat="1"/>
    <xf numFmtId="2" fontId="0" fillId="0" borderId="0" xfId="0" applyNumberFormat="1"/>
    <xf numFmtId="0" fontId="2" fillId="0" borderId="1" xfId="0" applyFont="1" applyBorder="1" applyAlignment="1">
      <alignment horizontal="center" vertical="top"/>
    </xf>
    <xf numFmtId="2" fontId="2" fillId="0" borderId="1" xfId="0" applyNumberFormat="1" applyFont="1" applyBorder="1" applyAlignment="1">
      <alignment horizontal="center" vertical="top"/>
    </xf>
    <xf numFmtId="9" fontId="2" fillId="0" borderId="1" xfId="1" applyFont="1" applyBorder="1" applyAlignment="1">
      <alignment horizontal="center" vertical="top"/>
    </xf>
    <xf numFmtId="9" fontId="0" fillId="0" borderId="0" xfId="1" applyFont="1"/>
    <xf numFmtId="0" fontId="0" fillId="0" borderId="0" xfId="0" pivotButton="1"/>
    <xf numFmtId="0" fontId="0" fillId="0" borderId="0" xfId="0" applyAlignment="1">
      <alignment horizontal="left"/>
    </xf>
    <xf numFmtId="0" fontId="0" fillId="0" borderId="0" xfId="0" applyNumberFormat="1"/>
    <xf numFmtId="0" fontId="3" fillId="2" borderId="0" xfId="0" applyFont="1" applyFill="1"/>
    <xf numFmtId="2" fontId="3" fillId="2" borderId="0" xfId="0" applyNumberFormat="1" applyFont="1" applyFill="1"/>
    <xf numFmtId="0" fontId="0" fillId="2" borderId="0" xfId="0" applyFill="1"/>
    <xf numFmtId="0" fontId="2" fillId="3" borderId="2" xfId="0" applyFont="1" applyFill="1" applyBorder="1"/>
    <xf numFmtId="0" fontId="2" fillId="3" borderId="3" xfId="0" applyFont="1" applyFill="1" applyBorder="1" applyAlignment="1">
      <alignment horizontal="left"/>
    </xf>
    <xf numFmtId="2" fontId="2" fillId="3" borderId="3" xfId="0" applyNumberFormat="1" applyFont="1" applyFill="1" applyBorder="1"/>
    <xf numFmtId="0" fontId="2" fillId="3" borderId="3" xfId="0" applyNumberFormat="1" applyFont="1" applyFill="1" applyBorder="1"/>
  </cellXfs>
  <cellStyles count="2">
    <cellStyle name="Normal" xfId="0" builtinId="0"/>
    <cellStyle name="Percent" xfId="1" builtinId="5"/>
  </cellStyles>
  <dxfs count="20">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numFmt numFmtId="2" formatCode="0.00"/>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4" formatCode="yyyy\-mm\-dd"/>
    </dxf>
    <dxf>
      <numFmt numFmtId="2" formatCode="0.00"/>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2" formatCode="0.00"/>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00FFFF"/>
      <color rgb="FFFF99FF"/>
      <color rgb="FF99FF66"/>
      <color rgb="FFC86886"/>
      <color rgb="FFF7D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[Financial_Operations_Analysis.XLSX]Analysis!PivotTable1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Spend by Vendor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Analysis!$A$2:$A$7</c:f>
              <c:strCache>
                <c:ptCount val="5"/>
                <c:pt idx="0">
                  <c:v>ABC Supplies</c:v>
                </c:pt>
                <c:pt idx="1">
                  <c:v>BluePrints</c:v>
                </c:pt>
                <c:pt idx="2">
                  <c:v>Fast Travel</c:v>
                </c:pt>
                <c:pt idx="3">
                  <c:v>Global Office</c:v>
                </c:pt>
                <c:pt idx="4">
                  <c:v>TechMart</c:v>
                </c:pt>
              </c:strCache>
            </c:strRef>
          </c:cat>
          <c:val>
            <c:numRef>
              <c:f>Analysis!$B$2:$B$7</c:f>
              <c:numCache>
                <c:formatCode>0.00</c:formatCode>
                <c:ptCount val="5"/>
                <c:pt idx="0">
                  <c:v>420885.48999999993</c:v>
                </c:pt>
                <c:pt idx="1">
                  <c:v>484927.82000000012</c:v>
                </c:pt>
                <c:pt idx="2">
                  <c:v>387910.5199999999</c:v>
                </c:pt>
                <c:pt idx="3">
                  <c:v>401098.65000000014</c:v>
                </c:pt>
                <c:pt idx="4">
                  <c:v>392699.81000000017</c:v>
                </c:pt>
              </c:numCache>
            </c:numRef>
          </c:val>
          <c:extLst>
            <c:ext xmlns:c16="http://schemas.microsoft.com/office/drawing/2014/chart" uri="{C3380CC4-5D6E-409C-BE32-E72D297353CC}">
              <c16:uniqueId val="{00000000-B53D-4345-8758-1F5E87925B94}"/>
            </c:ext>
          </c:extLst>
        </c:ser>
        <c:dLbls>
          <c:showLegendKey val="0"/>
          <c:showVal val="0"/>
          <c:showCatName val="0"/>
          <c:showSerName val="0"/>
          <c:showPercent val="0"/>
          <c:showBubbleSize val="0"/>
        </c:dLbls>
        <c:gapWidth val="219"/>
        <c:overlap val="-27"/>
        <c:axId val="599789983"/>
        <c:axId val="599791903"/>
      </c:barChart>
      <c:catAx>
        <c:axId val="59978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791903"/>
        <c:crosses val="autoZero"/>
        <c:auto val="1"/>
        <c:lblAlgn val="ctr"/>
        <c:lblOffset val="100"/>
        <c:noMultiLvlLbl val="0"/>
      </c:catAx>
      <c:valAx>
        <c:axId val="599791903"/>
        <c:scaling>
          <c:orientation val="minMax"/>
        </c:scaling>
        <c:delete val="1"/>
        <c:axPos val="l"/>
        <c:numFmt formatCode="0.00" sourceLinked="1"/>
        <c:majorTickMark val="none"/>
        <c:minorTickMark val="none"/>
        <c:tickLblPos val="nextTo"/>
        <c:crossAx val="59978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[Financial_Operations_Analysis.XLSX]Analysis!PivotTable2</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Monthly Payables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Analysis!$A$13:$A$16</c:f>
              <c:strCache>
                <c:ptCount val="3"/>
                <c:pt idx="0">
                  <c:v>2023</c:v>
                </c:pt>
                <c:pt idx="1">
                  <c:v>2024</c:v>
                </c:pt>
                <c:pt idx="2">
                  <c:v>2025</c:v>
                </c:pt>
              </c:strCache>
            </c:strRef>
          </c:cat>
          <c:val>
            <c:numRef>
              <c:f>Analysis!$B$13:$B$16</c:f>
              <c:numCache>
                <c:formatCode>0.00</c:formatCode>
                <c:ptCount val="3"/>
                <c:pt idx="0">
                  <c:v>898843.97000000067</c:v>
                </c:pt>
                <c:pt idx="1">
                  <c:v>816909.18000000087</c:v>
                </c:pt>
                <c:pt idx="2">
                  <c:v>371769.14000000007</c:v>
                </c:pt>
              </c:numCache>
            </c:numRef>
          </c:val>
          <c:smooth val="0"/>
          <c:extLst>
            <c:ext xmlns:c16="http://schemas.microsoft.com/office/drawing/2014/chart" uri="{C3380CC4-5D6E-409C-BE32-E72D297353CC}">
              <c16:uniqueId val="{00000000-62A5-4FF3-81DB-BAB33E65A39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47377263"/>
        <c:axId val="447385423"/>
      </c:lineChart>
      <c:catAx>
        <c:axId val="447377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47385423"/>
        <c:crosses val="autoZero"/>
        <c:auto val="1"/>
        <c:lblAlgn val="ctr"/>
        <c:lblOffset val="100"/>
        <c:noMultiLvlLbl val="0"/>
      </c:catAx>
      <c:valAx>
        <c:axId val="447385423"/>
        <c:scaling>
          <c:orientation val="minMax"/>
        </c:scaling>
        <c:delete val="1"/>
        <c:axPos val="l"/>
        <c:numFmt formatCode="0.00" sourceLinked="1"/>
        <c:majorTickMark val="none"/>
        <c:minorTickMark val="none"/>
        <c:tickLblPos val="nextTo"/>
        <c:crossAx val="44737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lt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[Financial_Operations_Analysis.XLSX]Analysis!PivotTable8</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Receivables Collection Trend</a:t>
            </a:r>
            <a:endParaRPr lang="en-US"/>
          </a:p>
        </c:rich>
      </c:tx>
      <c:layout>
        <c:manualLayout>
          <c:xMode val="edge"/>
          <c:yMode val="edge"/>
          <c:x val="0.14336452865861884"/>
          <c:y val="4.817247833903278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Analysis!$J$12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Analysis!$I$13:$I$16</c:f>
              <c:strCache>
                <c:ptCount val="3"/>
                <c:pt idx="0">
                  <c:v>2023</c:v>
                </c:pt>
                <c:pt idx="1">
                  <c:v>2024</c:v>
                </c:pt>
                <c:pt idx="2">
                  <c:v>2025</c:v>
                </c:pt>
              </c:strCache>
            </c:strRef>
          </c:cat>
          <c:val>
            <c:numRef>
              <c:f>Analysis!$J$13:$J$16</c:f>
              <c:numCache>
                <c:formatCode>0.00</c:formatCode>
                <c:ptCount val="3"/>
                <c:pt idx="0">
                  <c:v>1551709.9000000006</c:v>
                </c:pt>
                <c:pt idx="1">
                  <c:v>1328714.1600000006</c:v>
                </c:pt>
                <c:pt idx="2">
                  <c:v>717838.22999999975</c:v>
                </c:pt>
              </c:numCache>
            </c:numRef>
          </c:val>
          <c:smooth val="0"/>
          <c:extLst>
            <c:ext xmlns:c16="http://schemas.microsoft.com/office/drawing/2014/chart" uri="{C3380CC4-5D6E-409C-BE32-E72D297353CC}">
              <c16:uniqueId val="{00000000-1F53-4FCC-A8A8-06ADE4BB8F0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45590943"/>
        <c:axId val="445588543"/>
      </c:lineChart>
      <c:catAx>
        <c:axId val="445590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45588543"/>
        <c:crosses val="autoZero"/>
        <c:auto val="1"/>
        <c:lblAlgn val="ctr"/>
        <c:lblOffset val="100"/>
        <c:noMultiLvlLbl val="0"/>
      </c:catAx>
      <c:valAx>
        <c:axId val="445588543"/>
        <c:scaling>
          <c:orientation val="minMax"/>
        </c:scaling>
        <c:delete val="1"/>
        <c:axPos val="l"/>
        <c:numFmt formatCode="0.00" sourceLinked="1"/>
        <c:majorTickMark val="none"/>
        <c:minorTickMark val="none"/>
        <c:tickLblPos val="nextTo"/>
        <c:crossAx val="44559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lt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[Financial_Operations_Analysis.XLSX]Analysis!PivotTable5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 Vs Actual by Dept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c:f>
              <c:strCache>
                <c:ptCount val="1"/>
                <c:pt idx="0">
                  <c:v>Sum of BudgetUSD</c:v>
                </c:pt>
              </c:strCache>
            </c:strRef>
          </c:tx>
          <c:spPr>
            <a:solidFill>
              <a:schemeClr val="accent1"/>
            </a:solidFill>
            <a:ln>
              <a:noFill/>
            </a:ln>
            <a:effectLst/>
          </c:spPr>
          <c:invertIfNegative val="0"/>
          <c:cat>
            <c:strRef>
              <c:f>Analysis!$D$3:$D$9</c:f>
              <c:strCache>
                <c:ptCount val="6"/>
                <c:pt idx="0">
                  <c:v>Finance</c:v>
                </c:pt>
                <c:pt idx="1">
                  <c:v>HR</c:v>
                </c:pt>
                <c:pt idx="2">
                  <c:v>IT</c:v>
                </c:pt>
                <c:pt idx="3">
                  <c:v>Marketing</c:v>
                </c:pt>
                <c:pt idx="4">
                  <c:v>Operations</c:v>
                </c:pt>
                <c:pt idx="5">
                  <c:v>Sales</c:v>
                </c:pt>
              </c:strCache>
            </c:strRef>
          </c:cat>
          <c:val>
            <c:numRef>
              <c:f>Analysis!$E$3:$E$9</c:f>
              <c:numCache>
                <c:formatCode>0.00</c:formatCode>
                <c:ptCount val="6"/>
                <c:pt idx="0">
                  <c:v>642803.77999999991</c:v>
                </c:pt>
                <c:pt idx="1">
                  <c:v>528395.82999999996</c:v>
                </c:pt>
                <c:pt idx="2">
                  <c:v>560662.26</c:v>
                </c:pt>
                <c:pt idx="3">
                  <c:v>812792.96000000008</c:v>
                </c:pt>
                <c:pt idx="4">
                  <c:v>479846.31</c:v>
                </c:pt>
                <c:pt idx="5">
                  <c:v>712383.88</c:v>
                </c:pt>
              </c:numCache>
            </c:numRef>
          </c:val>
          <c:extLst>
            <c:ext xmlns:c16="http://schemas.microsoft.com/office/drawing/2014/chart" uri="{C3380CC4-5D6E-409C-BE32-E72D297353CC}">
              <c16:uniqueId val="{00000000-7528-4DB8-BC30-64322BDF7149}"/>
            </c:ext>
          </c:extLst>
        </c:ser>
        <c:ser>
          <c:idx val="1"/>
          <c:order val="1"/>
          <c:tx>
            <c:strRef>
              <c:f>Analysis!$F$2</c:f>
              <c:strCache>
                <c:ptCount val="1"/>
                <c:pt idx="0">
                  <c:v>Sum of ActualUSD</c:v>
                </c:pt>
              </c:strCache>
            </c:strRef>
          </c:tx>
          <c:spPr>
            <a:solidFill>
              <a:schemeClr val="accent2"/>
            </a:solidFill>
            <a:ln>
              <a:noFill/>
            </a:ln>
            <a:effectLst/>
          </c:spPr>
          <c:invertIfNegative val="0"/>
          <c:cat>
            <c:strRef>
              <c:f>Analysis!$D$3:$D$9</c:f>
              <c:strCache>
                <c:ptCount val="6"/>
                <c:pt idx="0">
                  <c:v>Finance</c:v>
                </c:pt>
                <c:pt idx="1">
                  <c:v>HR</c:v>
                </c:pt>
                <c:pt idx="2">
                  <c:v>IT</c:v>
                </c:pt>
                <c:pt idx="3">
                  <c:v>Marketing</c:v>
                </c:pt>
                <c:pt idx="4">
                  <c:v>Operations</c:v>
                </c:pt>
                <c:pt idx="5">
                  <c:v>Sales</c:v>
                </c:pt>
              </c:strCache>
            </c:strRef>
          </c:cat>
          <c:val>
            <c:numRef>
              <c:f>Analysis!$F$3:$F$9</c:f>
              <c:numCache>
                <c:formatCode>General</c:formatCode>
                <c:ptCount val="6"/>
                <c:pt idx="0">
                  <c:v>634037.75</c:v>
                </c:pt>
                <c:pt idx="1">
                  <c:v>534459.02</c:v>
                </c:pt>
                <c:pt idx="2">
                  <c:v>550704.92999999993</c:v>
                </c:pt>
                <c:pt idx="3">
                  <c:v>852890.21000000008</c:v>
                </c:pt>
                <c:pt idx="4">
                  <c:v>482895.07</c:v>
                </c:pt>
                <c:pt idx="5">
                  <c:v>736537.3899999999</c:v>
                </c:pt>
              </c:numCache>
            </c:numRef>
          </c:val>
          <c:extLst>
            <c:ext xmlns:c16="http://schemas.microsoft.com/office/drawing/2014/chart" uri="{C3380CC4-5D6E-409C-BE32-E72D297353CC}">
              <c16:uniqueId val="{00000001-7528-4DB8-BC30-64322BDF7149}"/>
            </c:ext>
          </c:extLst>
        </c:ser>
        <c:dLbls>
          <c:showLegendKey val="0"/>
          <c:showVal val="0"/>
          <c:showCatName val="0"/>
          <c:showSerName val="0"/>
          <c:showPercent val="0"/>
          <c:showBubbleSize val="0"/>
        </c:dLbls>
        <c:gapWidth val="219"/>
        <c:overlap val="-27"/>
        <c:axId val="1363535743"/>
        <c:axId val="1363536703"/>
      </c:barChart>
      <c:catAx>
        <c:axId val="136353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536703"/>
        <c:crosses val="autoZero"/>
        <c:auto val="1"/>
        <c:lblAlgn val="ctr"/>
        <c:lblOffset val="100"/>
        <c:noMultiLvlLbl val="0"/>
      </c:catAx>
      <c:valAx>
        <c:axId val="1363536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53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116751</xdr:colOff>
      <xdr:row>0</xdr:row>
      <xdr:rowOff>109906</xdr:rowOff>
    </xdr:from>
    <xdr:to>
      <xdr:col>15</xdr:col>
      <xdr:colOff>527317</xdr:colOff>
      <xdr:row>2</xdr:row>
      <xdr:rowOff>178334</xdr:rowOff>
    </xdr:to>
    <xdr:sp macro="" textlink="">
      <xdr:nvSpPr>
        <xdr:cNvPr id="2" name="Rectangle: Rounded Corners 1">
          <a:extLst>
            <a:ext uri="{FF2B5EF4-FFF2-40B4-BE49-F238E27FC236}">
              <a16:creationId xmlns:a16="http://schemas.microsoft.com/office/drawing/2014/main" id="{70B1F99D-95B7-88EA-7E7D-9D2180BF6825}"/>
            </a:ext>
          </a:extLst>
        </xdr:cNvPr>
        <xdr:cNvSpPr/>
      </xdr:nvSpPr>
      <xdr:spPr>
        <a:xfrm>
          <a:off x="116751" y="109906"/>
          <a:ext cx="11666395" cy="438542"/>
        </a:xfrm>
        <a:prstGeom prst="roundRect">
          <a:avLst/>
        </a:prstGeom>
        <a:solidFill>
          <a:srgbClr val="C86886"/>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588136</xdr:colOff>
      <xdr:row>0</xdr:row>
      <xdr:rowOff>127493</xdr:rowOff>
    </xdr:from>
    <xdr:ext cx="6258977" cy="381708"/>
    <xdr:sp macro="" textlink="">
      <xdr:nvSpPr>
        <xdr:cNvPr id="3" name="TextBox 2">
          <a:extLst>
            <a:ext uri="{FF2B5EF4-FFF2-40B4-BE49-F238E27FC236}">
              <a16:creationId xmlns:a16="http://schemas.microsoft.com/office/drawing/2014/main" id="{81E91BDF-8C0F-4C4E-FCDD-20EFE4DE6AD9}"/>
            </a:ext>
          </a:extLst>
        </xdr:cNvPr>
        <xdr:cNvSpPr txBox="1"/>
      </xdr:nvSpPr>
      <xdr:spPr>
        <a:xfrm>
          <a:off x="3423224" y="127493"/>
          <a:ext cx="6258977"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latin typeface="Arial Black" panose="020B0A04020102020204" pitchFamily="34" charset="0"/>
            </a:rPr>
            <a:t>Financial Operations Analytics Dashboard</a:t>
          </a:r>
        </a:p>
      </xdr:txBody>
    </xdr:sp>
    <xdr:clientData/>
  </xdr:oneCellAnchor>
  <xdr:twoCellAnchor>
    <xdr:from>
      <xdr:col>0</xdr:col>
      <xdr:colOff>148696</xdr:colOff>
      <xdr:row>8</xdr:row>
      <xdr:rowOff>83772</xdr:rowOff>
    </xdr:from>
    <xdr:to>
      <xdr:col>1</xdr:col>
      <xdr:colOff>678721</xdr:colOff>
      <xdr:row>11</xdr:row>
      <xdr:rowOff>143912</xdr:rowOff>
    </xdr:to>
    <xdr:sp macro="" textlink="Analysis!J8">
      <xdr:nvSpPr>
        <xdr:cNvPr id="6" name="Rectangle: Rounded Corners 5">
          <a:extLst>
            <a:ext uri="{FF2B5EF4-FFF2-40B4-BE49-F238E27FC236}">
              <a16:creationId xmlns:a16="http://schemas.microsoft.com/office/drawing/2014/main" id="{ABFD7B91-BEC4-40B6-B377-AC006E01D945}"/>
            </a:ext>
          </a:extLst>
        </xdr:cNvPr>
        <xdr:cNvSpPr/>
      </xdr:nvSpPr>
      <xdr:spPr>
        <a:xfrm>
          <a:off x="148696" y="1518125"/>
          <a:ext cx="1572172" cy="598022"/>
        </a:xfrm>
        <a:prstGeom prst="round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7DFD8485-1BAE-4A5B-9AA4-BF37141C9733}" type="TxLink">
            <a:rPr lang="en-US" sz="1200" b="1" i="0" u="none" strike="noStrike">
              <a:ln>
                <a:noFill/>
              </a:ln>
              <a:solidFill>
                <a:schemeClr val="accent4">
                  <a:lumMod val="40000"/>
                  <a:lumOff val="60000"/>
                </a:schemeClr>
              </a:solidFill>
              <a:latin typeface="Calibri"/>
              <a:ea typeface="Calibri"/>
              <a:cs typeface="Calibri"/>
            </a:rPr>
            <a:pPr algn="l"/>
            <a:t>3598262.29</a:t>
          </a:fld>
          <a:endParaRPr lang="en-IN" sz="1200" b="1">
            <a:ln>
              <a:noFill/>
            </a:ln>
            <a:solidFill>
              <a:schemeClr val="accent4">
                <a:lumMod val="40000"/>
                <a:lumOff val="60000"/>
              </a:schemeClr>
            </a:solidFill>
          </a:endParaRPr>
        </a:p>
      </xdr:txBody>
    </xdr:sp>
    <xdr:clientData/>
  </xdr:twoCellAnchor>
  <xdr:twoCellAnchor>
    <xdr:from>
      <xdr:col>0</xdr:col>
      <xdr:colOff>151144</xdr:colOff>
      <xdr:row>12</xdr:row>
      <xdr:rowOff>174809</xdr:rowOff>
    </xdr:from>
    <xdr:to>
      <xdr:col>1</xdr:col>
      <xdr:colOff>698341</xdr:colOff>
      <xdr:row>16</xdr:row>
      <xdr:rowOff>59814</xdr:rowOff>
    </xdr:to>
    <xdr:sp macro="" textlink="Analysis!B29">
      <xdr:nvSpPr>
        <xdr:cNvPr id="7" name="Rectangle: Rounded Corners 6">
          <a:extLst>
            <a:ext uri="{FF2B5EF4-FFF2-40B4-BE49-F238E27FC236}">
              <a16:creationId xmlns:a16="http://schemas.microsoft.com/office/drawing/2014/main" id="{CE33A250-F076-4196-86F2-189441B8DB54}"/>
            </a:ext>
          </a:extLst>
        </xdr:cNvPr>
        <xdr:cNvSpPr/>
      </xdr:nvSpPr>
      <xdr:spPr>
        <a:xfrm>
          <a:off x="151144" y="2326338"/>
          <a:ext cx="1589344" cy="602182"/>
        </a:xfrm>
        <a:prstGeom prst="roundRect">
          <a:avLst/>
        </a:prstGeom>
        <a:solidFill>
          <a:schemeClr val="accent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CB8178AC-6714-4A6E-AC0B-3185ACBB4366}" type="TxLink">
            <a:rPr lang="en-US" sz="1200" b="1" i="0" u="none" strike="noStrike">
              <a:ln>
                <a:noFill/>
              </a:ln>
              <a:solidFill>
                <a:schemeClr val="accent4">
                  <a:lumMod val="75000"/>
                </a:schemeClr>
              </a:solidFill>
              <a:latin typeface="Calibri"/>
              <a:ea typeface="Calibri"/>
              <a:cs typeface="Calibri"/>
            </a:rPr>
            <a:pPr algn="l"/>
            <a:t>1418925.55</a:t>
          </a:fld>
          <a:endParaRPr lang="en-IN" sz="1200" b="1">
            <a:ln>
              <a:noFill/>
            </a:ln>
            <a:solidFill>
              <a:schemeClr val="accent4">
                <a:lumMod val="75000"/>
              </a:schemeClr>
            </a:solidFill>
          </a:endParaRPr>
        </a:p>
      </xdr:txBody>
    </xdr:sp>
    <xdr:clientData/>
  </xdr:twoCellAnchor>
  <xdr:twoCellAnchor>
    <xdr:from>
      <xdr:col>0</xdr:col>
      <xdr:colOff>147508</xdr:colOff>
      <xdr:row>17</xdr:row>
      <xdr:rowOff>133902</xdr:rowOff>
    </xdr:from>
    <xdr:to>
      <xdr:col>1</xdr:col>
      <xdr:colOff>699697</xdr:colOff>
      <xdr:row>21</xdr:row>
      <xdr:rowOff>20519</xdr:rowOff>
    </xdr:to>
    <xdr:sp macro="" textlink="Analysis!G9">
      <xdr:nvSpPr>
        <xdr:cNvPr id="8" name="Rectangle: Rounded Corners 7">
          <a:extLst>
            <a:ext uri="{FF2B5EF4-FFF2-40B4-BE49-F238E27FC236}">
              <a16:creationId xmlns:a16="http://schemas.microsoft.com/office/drawing/2014/main" id="{46FB4EE0-03E3-458B-903D-A3AEEB787013}"/>
            </a:ext>
          </a:extLst>
        </xdr:cNvPr>
        <xdr:cNvSpPr/>
      </xdr:nvSpPr>
      <xdr:spPr>
        <a:xfrm>
          <a:off x="147508" y="3181902"/>
          <a:ext cx="1594336" cy="603793"/>
        </a:xfrm>
        <a:prstGeom prst="roundRect">
          <a:avLst/>
        </a:prstGeom>
        <a:solidFill>
          <a:schemeClr val="tx1">
            <a:lumMod val="50000"/>
            <a:lumOff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232FDF6B-AB7D-4F26-B8AF-536D3032A038}" type="TxLink">
            <a:rPr lang="en-US" sz="1200" b="1" i="0" u="none" strike="noStrike">
              <a:ln>
                <a:noFill/>
              </a:ln>
              <a:solidFill>
                <a:schemeClr val="accent4">
                  <a:lumMod val="60000"/>
                  <a:lumOff val="40000"/>
                </a:schemeClr>
              </a:solidFill>
              <a:latin typeface="Calibri"/>
              <a:ea typeface="Calibri"/>
              <a:cs typeface="Calibri"/>
            </a:rPr>
            <a:pPr algn="l"/>
            <a:t> </a:t>
          </a:fld>
          <a:endParaRPr lang="en-IN" sz="1200" b="1">
            <a:ln>
              <a:noFill/>
            </a:ln>
            <a:solidFill>
              <a:schemeClr val="accent4">
                <a:lumMod val="60000"/>
                <a:lumOff val="40000"/>
              </a:schemeClr>
            </a:solidFill>
          </a:endParaRPr>
        </a:p>
      </xdr:txBody>
    </xdr:sp>
    <xdr:clientData/>
  </xdr:twoCellAnchor>
  <xdr:oneCellAnchor>
    <xdr:from>
      <xdr:col>0</xdr:col>
      <xdr:colOff>247779</xdr:colOff>
      <xdr:row>17</xdr:row>
      <xdr:rowOff>179006</xdr:rowOff>
    </xdr:from>
    <xdr:ext cx="1850570" cy="435429"/>
    <xdr:sp macro="" textlink="">
      <xdr:nvSpPr>
        <xdr:cNvPr id="11" name="TextBox 10">
          <a:extLst>
            <a:ext uri="{FF2B5EF4-FFF2-40B4-BE49-F238E27FC236}">
              <a16:creationId xmlns:a16="http://schemas.microsoft.com/office/drawing/2014/main" id="{7FBF3344-7426-428D-92DD-0606797B2854}"/>
            </a:ext>
          </a:extLst>
        </xdr:cNvPr>
        <xdr:cNvSpPr txBox="1"/>
      </xdr:nvSpPr>
      <xdr:spPr>
        <a:xfrm>
          <a:off x="247779" y="3227006"/>
          <a:ext cx="1850570" cy="435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solidFill>
            </a:rPr>
            <a:t>Budget</a:t>
          </a:r>
          <a:r>
            <a:rPr lang="en-IN" sz="1400" b="1" baseline="0">
              <a:solidFill>
                <a:schemeClr val="bg1"/>
              </a:solidFill>
            </a:rPr>
            <a:t> Variance</a:t>
          </a:r>
          <a:endParaRPr lang="en-IN" sz="1400" b="1">
            <a:solidFill>
              <a:schemeClr val="bg1"/>
            </a:solidFill>
          </a:endParaRPr>
        </a:p>
      </xdr:txBody>
    </xdr:sp>
    <xdr:clientData/>
  </xdr:oneCellAnchor>
  <xdr:oneCellAnchor>
    <xdr:from>
      <xdr:col>0</xdr:col>
      <xdr:colOff>199907</xdr:colOff>
      <xdr:row>8</xdr:row>
      <xdr:rowOff>121005</xdr:rowOff>
    </xdr:from>
    <xdr:ext cx="1525799" cy="435429"/>
    <xdr:sp macro="" textlink="">
      <xdr:nvSpPr>
        <xdr:cNvPr id="12" name="TextBox 11">
          <a:extLst>
            <a:ext uri="{FF2B5EF4-FFF2-40B4-BE49-F238E27FC236}">
              <a16:creationId xmlns:a16="http://schemas.microsoft.com/office/drawing/2014/main" id="{BCBF0DF0-7C47-4C42-B928-1573C77F8C6B}"/>
            </a:ext>
          </a:extLst>
        </xdr:cNvPr>
        <xdr:cNvSpPr txBox="1"/>
      </xdr:nvSpPr>
      <xdr:spPr>
        <a:xfrm>
          <a:off x="199907" y="1555358"/>
          <a:ext cx="1525799" cy="435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solidFill>
            </a:rPr>
            <a:t>Total</a:t>
          </a:r>
          <a:r>
            <a:rPr lang="en-IN" sz="1400" b="1" baseline="0">
              <a:solidFill>
                <a:schemeClr val="bg1"/>
              </a:solidFill>
            </a:rPr>
            <a:t> Receivables</a:t>
          </a:r>
          <a:endParaRPr lang="en-IN" sz="1400" b="1">
            <a:solidFill>
              <a:schemeClr val="bg1"/>
            </a:solidFill>
          </a:endParaRPr>
        </a:p>
        <a:p>
          <a:endParaRPr lang="en-IN" sz="1100"/>
        </a:p>
        <a:p>
          <a:endParaRPr lang="en-IN" sz="1100"/>
        </a:p>
      </xdr:txBody>
    </xdr:sp>
    <xdr:clientData/>
  </xdr:oneCellAnchor>
  <xdr:oneCellAnchor>
    <xdr:from>
      <xdr:col>0</xdr:col>
      <xdr:colOff>197728</xdr:colOff>
      <xdr:row>13</xdr:row>
      <xdr:rowOff>56344</xdr:rowOff>
    </xdr:from>
    <xdr:ext cx="1673653" cy="435429"/>
    <xdr:sp macro="" textlink="">
      <xdr:nvSpPr>
        <xdr:cNvPr id="5" name="TextBox 4">
          <a:extLst>
            <a:ext uri="{FF2B5EF4-FFF2-40B4-BE49-F238E27FC236}">
              <a16:creationId xmlns:a16="http://schemas.microsoft.com/office/drawing/2014/main" id="{7E8641F1-4C8E-2602-F2FC-63C559572C22}"/>
            </a:ext>
          </a:extLst>
        </xdr:cNvPr>
        <xdr:cNvSpPr txBox="1"/>
      </xdr:nvSpPr>
      <xdr:spPr>
        <a:xfrm>
          <a:off x="197728" y="2387168"/>
          <a:ext cx="1673653" cy="435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solidFill>
            </a:rPr>
            <a:t>Overdue</a:t>
          </a:r>
          <a:r>
            <a:rPr lang="en-IN" sz="1400" b="1" baseline="0">
              <a:solidFill>
                <a:schemeClr val="bg1"/>
              </a:solidFill>
            </a:rPr>
            <a:t>  Amount</a:t>
          </a:r>
          <a:endParaRPr lang="en-IN" sz="1400" b="1">
            <a:solidFill>
              <a:schemeClr val="bg1"/>
            </a:solidFill>
          </a:endParaRPr>
        </a:p>
        <a:p>
          <a:endParaRPr lang="en-IN" sz="1100"/>
        </a:p>
        <a:p>
          <a:endParaRPr lang="en-IN" sz="1100"/>
        </a:p>
      </xdr:txBody>
    </xdr:sp>
    <xdr:clientData/>
  </xdr:oneCellAnchor>
  <xdr:twoCellAnchor>
    <xdr:from>
      <xdr:col>7</xdr:col>
      <xdr:colOff>348342</xdr:colOff>
      <xdr:row>3</xdr:row>
      <xdr:rowOff>156883</xdr:rowOff>
    </xdr:from>
    <xdr:to>
      <xdr:col>13</xdr:col>
      <xdr:colOff>424541</xdr:colOff>
      <xdr:row>16</xdr:row>
      <xdr:rowOff>123266</xdr:rowOff>
    </xdr:to>
    <xdr:graphicFrame macro="">
      <xdr:nvGraphicFramePr>
        <xdr:cNvPr id="14" name="Chart 13">
          <a:extLst>
            <a:ext uri="{FF2B5EF4-FFF2-40B4-BE49-F238E27FC236}">
              <a16:creationId xmlns:a16="http://schemas.microsoft.com/office/drawing/2014/main" id="{D501170B-9448-461B-AC36-D1EC7C346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164969</xdr:colOff>
      <xdr:row>3</xdr:row>
      <xdr:rowOff>164969</xdr:rowOff>
    </xdr:from>
    <xdr:to>
      <xdr:col>7</xdr:col>
      <xdr:colOff>163285</xdr:colOff>
      <xdr:row>16</xdr:row>
      <xdr:rowOff>145676</xdr:rowOff>
    </xdr:to>
    <xdr:graphicFrame macro="">
      <xdr:nvGraphicFramePr>
        <xdr:cNvPr id="15" name="Chart 14">
          <a:extLst>
            <a:ext uri="{FF2B5EF4-FFF2-40B4-BE49-F238E27FC236}">
              <a16:creationId xmlns:a16="http://schemas.microsoft.com/office/drawing/2014/main" id="{74D90167-4CD0-4803-AB20-5828A4D9F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336177</xdr:colOff>
      <xdr:row>18</xdr:row>
      <xdr:rowOff>0</xdr:rowOff>
    </xdr:from>
    <xdr:to>
      <xdr:col>13</xdr:col>
      <xdr:colOff>423262</xdr:colOff>
      <xdr:row>32</xdr:row>
      <xdr:rowOff>54749</xdr:rowOff>
    </xdr:to>
    <xdr:graphicFrame macro="">
      <xdr:nvGraphicFramePr>
        <xdr:cNvPr id="16" name="Chart 15">
          <a:extLst>
            <a:ext uri="{FF2B5EF4-FFF2-40B4-BE49-F238E27FC236}">
              <a16:creationId xmlns:a16="http://schemas.microsoft.com/office/drawing/2014/main" id="{B35BB1C7-E96B-446F-B70F-0983A55DC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214466</xdr:colOff>
      <xdr:row>18</xdr:row>
      <xdr:rowOff>13028</xdr:rowOff>
    </xdr:from>
    <xdr:to>
      <xdr:col>7</xdr:col>
      <xdr:colOff>153039</xdr:colOff>
      <xdr:row>32</xdr:row>
      <xdr:rowOff>65954</xdr:rowOff>
    </xdr:to>
    <xdr:graphicFrame macro="">
      <xdr:nvGraphicFramePr>
        <xdr:cNvPr id="17" name="Chart 16">
          <a:extLst>
            <a:ext uri="{FF2B5EF4-FFF2-40B4-BE49-F238E27FC236}">
              <a16:creationId xmlns:a16="http://schemas.microsoft.com/office/drawing/2014/main" id="{C9789993-E6E6-4C7F-9A91-FBDA4F472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599167</xdr:colOff>
      <xdr:row>3</xdr:row>
      <xdr:rowOff>134473</xdr:rowOff>
    </xdr:from>
    <xdr:to>
      <xdr:col>15</xdr:col>
      <xdr:colOff>500742</xdr:colOff>
      <xdr:row>13</xdr:row>
      <xdr:rowOff>44823</xdr:rowOff>
    </xdr:to>
    <mc:AlternateContent xmlns:mc="http://schemas.openxmlformats.org/markup-compatibility/2006">
      <mc:Choice xmlns:a14="http://schemas.microsoft.com/office/drawing/2010/main" Requires="a14">
        <xdr:graphicFrame macro="">
          <xdr:nvGraphicFramePr>
            <xdr:cNvPr id="18" name="Vendor 1">
              <a:extLst>
                <a:ext uri="{FF2B5EF4-FFF2-40B4-BE49-F238E27FC236}">
                  <a16:creationId xmlns:a16="http://schemas.microsoft.com/office/drawing/2014/main" id="{EECAA051-BF54-49A4-80F6-0A0234ABBE54}"/>
                </a:ext>
              </a:extLst>
            </xdr:cNvPr>
            <xdr:cNvGraphicFramePr/>
          </xdr:nvGraphicFramePr>
          <xdr:xfrm>
            <a:off x="0" y="0"/>
            <a:ext cx="0" cy="0"/>
          </xdr:xfrm>
          <a:graphic>
            <a:graphicData uri="http://schemas.microsoft.com/office/drawing/2010/slicer">
              <sle:slicer xmlns:sle="http://schemas.microsoft.com/office/drawing/2010/slicer" name="Vendor 1"/>
            </a:graphicData>
          </a:graphic>
        </xdr:graphicFrame>
      </mc:Choice>
      <mc:Fallback>
        <xdr:sp macro="" textlink="">
          <xdr:nvSpPr>
            <xdr:cNvPr id="0" name=""/>
            <xdr:cNvSpPr>
              <a:spLocks noTextEdit="1"/>
            </xdr:cNvSpPr>
          </xdr:nvSpPr>
          <xdr:spPr>
            <a:xfrm>
              <a:off x="10639638" y="672355"/>
              <a:ext cx="1120775" cy="1703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577980</xdr:colOff>
      <xdr:row>25</xdr:row>
      <xdr:rowOff>161301</xdr:rowOff>
    </xdr:from>
    <xdr:to>
      <xdr:col>15</xdr:col>
      <xdr:colOff>533400</xdr:colOff>
      <xdr:row>32</xdr:row>
      <xdr:rowOff>89647</xdr:rowOff>
    </xdr:to>
    <mc:AlternateContent xmlns:mc="http://schemas.openxmlformats.org/markup-compatibility/2006">
      <mc:Choice xmlns:a14="http://schemas.microsoft.com/office/drawing/2010/main" Requires="a14">
        <xdr:graphicFrame macro="">
          <xdr:nvGraphicFramePr>
            <xdr:cNvPr id="19" name="Status 1">
              <a:extLst>
                <a:ext uri="{FF2B5EF4-FFF2-40B4-BE49-F238E27FC236}">
                  <a16:creationId xmlns:a16="http://schemas.microsoft.com/office/drawing/2014/main" id="{AE5AB9C6-3AF4-4FCE-9CAB-965075C2CF64}"/>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0618451" y="4643654"/>
              <a:ext cx="1174620" cy="1183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159319</xdr:colOff>
      <xdr:row>22</xdr:row>
      <xdr:rowOff>125641</xdr:rowOff>
    </xdr:from>
    <xdr:to>
      <xdr:col>1</xdr:col>
      <xdr:colOff>678809</xdr:colOff>
      <xdr:row>32</xdr:row>
      <xdr:rowOff>44301</xdr:rowOff>
    </xdr:to>
    <mc:AlternateContent xmlns:mc="http://schemas.openxmlformats.org/markup-compatibility/2006">
      <mc:Choice xmlns:a14="http://schemas.microsoft.com/office/drawing/2010/main" Requires="a14">
        <xdr:graphicFrame macro="">
          <xdr:nvGraphicFramePr>
            <xdr:cNvPr id="20" name="Years (InvoiceDate) 1">
              <a:extLst>
                <a:ext uri="{FF2B5EF4-FFF2-40B4-BE49-F238E27FC236}">
                  <a16:creationId xmlns:a16="http://schemas.microsoft.com/office/drawing/2014/main" id="{357175AE-A614-4071-B6CA-E49B9334B7BE}"/>
                </a:ext>
              </a:extLst>
            </xdr:cNvPr>
            <xdr:cNvGraphicFramePr/>
          </xdr:nvGraphicFramePr>
          <xdr:xfrm>
            <a:off x="0" y="0"/>
            <a:ext cx="0" cy="0"/>
          </xdr:xfrm>
          <a:graphic>
            <a:graphicData uri="http://schemas.microsoft.com/office/drawing/2010/slicer">
              <sle:slicer xmlns:sle="http://schemas.microsoft.com/office/drawing/2010/slicer" name="Years (InvoiceDate) 1"/>
            </a:graphicData>
          </a:graphic>
        </xdr:graphicFrame>
      </mc:Choice>
      <mc:Fallback>
        <xdr:sp macro="" textlink="">
          <xdr:nvSpPr>
            <xdr:cNvPr id="0" name=""/>
            <xdr:cNvSpPr>
              <a:spLocks noTextEdit="1"/>
            </xdr:cNvSpPr>
          </xdr:nvSpPr>
          <xdr:spPr>
            <a:xfrm>
              <a:off x="159319" y="4070112"/>
              <a:ext cx="1559396" cy="1711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5745</xdr:colOff>
      <xdr:row>14</xdr:row>
      <xdr:rowOff>0</xdr:rowOff>
    </xdr:from>
    <xdr:to>
      <xdr:col>15</xdr:col>
      <xdr:colOff>533400</xdr:colOff>
      <xdr:row>25</xdr:row>
      <xdr:rowOff>33618</xdr:rowOff>
    </xdr:to>
    <mc:AlternateContent xmlns:mc="http://schemas.openxmlformats.org/markup-compatibility/2006" xmlns:a14="http://schemas.microsoft.com/office/drawing/2010/main">
      <mc:Choice Requires="a14">
        <xdr:graphicFrame macro="">
          <xdr:nvGraphicFramePr>
            <xdr:cNvPr id="23" name="Dept 1">
              <a:extLst>
                <a:ext uri="{FF2B5EF4-FFF2-40B4-BE49-F238E27FC236}">
                  <a16:creationId xmlns:a16="http://schemas.microsoft.com/office/drawing/2014/main" id="{A28C5E73-7B13-4EED-9DD2-84A50A41DAC3}"/>
                </a:ext>
              </a:extLst>
            </xdr:cNvPr>
            <xdr:cNvGraphicFramePr/>
          </xdr:nvGraphicFramePr>
          <xdr:xfrm>
            <a:off x="0" y="0"/>
            <a:ext cx="0" cy="0"/>
          </xdr:xfrm>
          <a:graphic>
            <a:graphicData uri="http://schemas.microsoft.com/office/drawing/2010/slicer">
              <sle:slicer xmlns:sle="http://schemas.microsoft.com/office/drawing/2010/slicer" name="Dept 1"/>
            </a:graphicData>
          </a:graphic>
        </xdr:graphicFrame>
      </mc:Choice>
      <mc:Fallback xmlns="">
        <xdr:sp macro="" textlink="">
          <xdr:nvSpPr>
            <xdr:cNvPr id="0" name=""/>
            <xdr:cNvSpPr>
              <a:spLocks noTextEdit="1"/>
            </xdr:cNvSpPr>
          </xdr:nvSpPr>
          <xdr:spPr>
            <a:xfrm>
              <a:off x="10659231" y="2494945"/>
              <a:ext cx="1137255" cy="196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142528</xdr:colOff>
      <xdr:row>4</xdr:row>
      <xdr:rowOff>29457</xdr:rowOff>
    </xdr:from>
    <xdr:to>
      <xdr:col>1</xdr:col>
      <xdr:colOff>682256</xdr:colOff>
      <xdr:row>7</xdr:row>
      <xdr:rowOff>67235</xdr:rowOff>
    </xdr:to>
    <xdr:sp macro="" textlink="Analysis!B7">
      <xdr:nvSpPr>
        <xdr:cNvPr id="25" name="Rectangle: Rounded Corners 24">
          <a:extLst>
            <a:ext uri="{FF2B5EF4-FFF2-40B4-BE49-F238E27FC236}">
              <a16:creationId xmlns:a16="http://schemas.microsoft.com/office/drawing/2014/main" id="{03B26D9F-76A9-03ED-C1C0-E1B16CDF8E77}"/>
            </a:ext>
          </a:extLst>
        </xdr:cNvPr>
        <xdr:cNvSpPr/>
      </xdr:nvSpPr>
      <xdr:spPr>
        <a:xfrm>
          <a:off x="142528" y="746633"/>
          <a:ext cx="1581875" cy="575661"/>
        </a:xfrm>
        <a:prstGeom prst="roundRect">
          <a:avLst/>
        </a:prstGeom>
        <a:solidFill>
          <a:schemeClr val="accent6">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D75C1F8C-6DF5-465A-80BA-BCBB9D730105}" type="TxLink">
            <a:rPr lang="en-US" sz="1200" b="1" i="0" u="none" strike="noStrike">
              <a:solidFill>
                <a:schemeClr val="accent4">
                  <a:lumMod val="75000"/>
                </a:schemeClr>
              </a:solidFill>
              <a:latin typeface="Calibri"/>
              <a:ea typeface="Calibri"/>
              <a:cs typeface="Calibri"/>
            </a:rPr>
            <a:pPr algn="l"/>
            <a:t>2087522.29</a:t>
          </a:fld>
          <a:endParaRPr lang="en-IN" sz="1200" b="1">
            <a:solidFill>
              <a:schemeClr val="accent4">
                <a:lumMod val="75000"/>
              </a:schemeClr>
            </a:solidFill>
          </a:endParaRPr>
        </a:p>
      </xdr:txBody>
    </xdr:sp>
    <xdr:clientData/>
  </xdr:twoCellAnchor>
  <xdr:oneCellAnchor>
    <xdr:from>
      <xdr:col>0</xdr:col>
      <xdr:colOff>315911</xdr:colOff>
      <xdr:row>4</xdr:row>
      <xdr:rowOff>80333</xdr:rowOff>
    </xdr:from>
    <xdr:ext cx="1465824" cy="435429"/>
    <xdr:sp macro="" textlink="">
      <xdr:nvSpPr>
        <xdr:cNvPr id="13" name="TextBox 12">
          <a:extLst>
            <a:ext uri="{FF2B5EF4-FFF2-40B4-BE49-F238E27FC236}">
              <a16:creationId xmlns:a16="http://schemas.microsoft.com/office/drawing/2014/main" id="{3CE10E8A-764E-499B-B8E5-3E4C0A7CEDF9}"/>
            </a:ext>
          </a:extLst>
        </xdr:cNvPr>
        <xdr:cNvSpPr txBox="1"/>
      </xdr:nvSpPr>
      <xdr:spPr>
        <a:xfrm>
          <a:off x="315911" y="797509"/>
          <a:ext cx="1465824" cy="435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solidFill>
            </a:rPr>
            <a:t>Total Payables</a:t>
          </a:r>
        </a:p>
        <a:p>
          <a:endParaRPr lang="en-IN" sz="1100" b="1"/>
        </a:p>
        <a:p>
          <a:endParaRPr lang="en-IN" sz="1100" b="1"/>
        </a:p>
      </xdr:txBody>
    </xdr:sp>
    <xdr:clientData/>
  </xdr:oneCellAnchor>
  <xdr:twoCellAnchor>
    <xdr:from>
      <xdr:col>18</xdr:col>
      <xdr:colOff>11206</xdr:colOff>
      <xdr:row>9</xdr:row>
      <xdr:rowOff>168087</xdr:rowOff>
    </xdr:from>
    <xdr:to>
      <xdr:col>21</xdr:col>
      <xdr:colOff>223180</xdr:colOff>
      <xdr:row>18</xdr:row>
      <xdr:rowOff>173188</xdr:rowOff>
    </xdr:to>
    <xdr:sp macro="" textlink="">
      <xdr:nvSpPr>
        <xdr:cNvPr id="9" name="Rectangle: Rounded Corners 8">
          <a:extLst>
            <a:ext uri="{FF2B5EF4-FFF2-40B4-BE49-F238E27FC236}">
              <a16:creationId xmlns:a16="http://schemas.microsoft.com/office/drawing/2014/main" id="{9F935340-3933-4BC5-AEBA-576A3EC62677}"/>
            </a:ext>
          </a:extLst>
        </xdr:cNvPr>
        <xdr:cNvSpPr/>
      </xdr:nvSpPr>
      <xdr:spPr>
        <a:xfrm>
          <a:off x="13043647" y="1781734"/>
          <a:ext cx="2027327" cy="1618748"/>
        </a:xfrm>
        <a:prstGeom prst="roundRect">
          <a:avLst>
            <a:gd name="adj" fmla="val 241"/>
          </a:avLst>
        </a:prstGeom>
        <a:noFill/>
        <a:ln w="82550">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168089</xdr:colOff>
      <xdr:row>22</xdr:row>
      <xdr:rowOff>123266</xdr:rowOff>
    </xdr:from>
    <xdr:to>
      <xdr:col>1</xdr:col>
      <xdr:colOff>672353</xdr:colOff>
      <xdr:row>32</xdr:row>
      <xdr:rowOff>22413</xdr:rowOff>
    </xdr:to>
    <xdr:sp macro="" textlink="">
      <xdr:nvSpPr>
        <xdr:cNvPr id="10" name="Rectangle: Rounded Corners 9">
          <a:extLst>
            <a:ext uri="{FF2B5EF4-FFF2-40B4-BE49-F238E27FC236}">
              <a16:creationId xmlns:a16="http://schemas.microsoft.com/office/drawing/2014/main" id="{8EF59F9E-EB15-414A-AECC-B8B18A83E2D3}"/>
            </a:ext>
          </a:extLst>
        </xdr:cNvPr>
        <xdr:cNvSpPr/>
      </xdr:nvSpPr>
      <xdr:spPr>
        <a:xfrm>
          <a:off x="168089" y="4067737"/>
          <a:ext cx="1546411" cy="1692088"/>
        </a:xfrm>
        <a:prstGeom prst="roundRect">
          <a:avLst>
            <a:gd name="adj" fmla="val 3864"/>
          </a:avLst>
        </a:prstGeom>
        <a:noFill/>
        <a:ln w="82550">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22411</xdr:colOff>
      <xdr:row>14</xdr:row>
      <xdr:rowOff>11205</xdr:rowOff>
    </xdr:from>
    <xdr:to>
      <xdr:col>15</xdr:col>
      <xdr:colOff>504264</xdr:colOff>
      <xdr:row>25</xdr:row>
      <xdr:rowOff>22411</xdr:rowOff>
    </xdr:to>
    <xdr:sp macro="" textlink="">
      <xdr:nvSpPr>
        <xdr:cNvPr id="22" name="Rectangle: Rounded Corners 21">
          <a:extLst>
            <a:ext uri="{FF2B5EF4-FFF2-40B4-BE49-F238E27FC236}">
              <a16:creationId xmlns:a16="http://schemas.microsoft.com/office/drawing/2014/main" id="{29A39993-B93E-41F0-AE71-04B15A0A2471}"/>
            </a:ext>
          </a:extLst>
        </xdr:cNvPr>
        <xdr:cNvSpPr/>
      </xdr:nvSpPr>
      <xdr:spPr>
        <a:xfrm>
          <a:off x="10634382" y="2521323"/>
          <a:ext cx="1086970" cy="1983441"/>
        </a:xfrm>
        <a:prstGeom prst="roundRect">
          <a:avLst>
            <a:gd name="adj" fmla="val 3864"/>
          </a:avLst>
        </a:prstGeom>
        <a:noFill/>
        <a:ln w="82550">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582706</xdr:colOff>
      <xdr:row>25</xdr:row>
      <xdr:rowOff>174812</xdr:rowOff>
    </xdr:from>
    <xdr:to>
      <xdr:col>15</xdr:col>
      <xdr:colOff>510987</xdr:colOff>
      <xdr:row>32</xdr:row>
      <xdr:rowOff>67235</xdr:rowOff>
    </xdr:to>
    <xdr:sp macro="" textlink="">
      <xdr:nvSpPr>
        <xdr:cNvPr id="24" name="Rectangle: Rounded Corners 23">
          <a:extLst>
            <a:ext uri="{FF2B5EF4-FFF2-40B4-BE49-F238E27FC236}">
              <a16:creationId xmlns:a16="http://schemas.microsoft.com/office/drawing/2014/main" id="{3FE5E951-E9A5-48D4-9258-29C3D802C506}"/>
            </a:ext>
          </a:extLst>
        </xdr:cNvPr>
        <xdr:cNvSpPr/>
      </xdr:nvSpPr>
      <xdr:spPr>
        <a:xfrm>
          <a:off x="10589559" y="4657165"/>
          <a:ext cx="1138516" cy="1147482"/>
        </a:xfrm>
        <a:prstGeom prst="roundRect">
          <a:avLst>
            <a:gd name="adj" fmla="val 3864"/>
          </a:avLst>
        </a:prstGeom>
        <a:noFill/>
        <a:ln w="82550">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593912</xdr:colOff>
      <xdr:row>3</xdr:row>
      <xdr:rowOff>156882</xdr:rowOff>
    </xdr:from>
    <xdr:to>
      <xdr:col>15</xdr:col>
      <xdr:colOff>484093</xdr:colOff>
      <xdr:row>13</xdr:row>
      <xdr:rowOff>24651</xdr:rowOff>
    </xdr:to>
    <xdr:sp macro="" textlink="">
      <xdr:nvSpPr>
        <xdr:cNvPr id="26" name="Rectangle: Rounded Corners 25">
          <a:extLst>
            <a:ext uri="{FF2B5EF4-FFF2-40B4-BE49-F238E27FC236}">
              <a16:creationId xmlns:a16="http://schemas.microsoft.com/office/drawing/2014/main" id="{D93CB0B0-B47F-4F85-9FD9-D9145DB61427}"/>
            </a:ext>
          </a:extLst>
        </xdr:cNvPr>
        <xdr:cNvSpPr/>
      </xdr:nvSpPr>
      <xdr:spPr>
        <a:xfrm>
          <a:off x="10600765" y="694764"/>
          <a:ext cx="1100416" cy="1660711"/>
        </a:xfrm>
        <a:prstGeom prst="roundRect">
          <a:avLst>
            <a:gd name="adj" fmla="val 3864"/>
          </a:avLst>
        </a:prstGeom>
        <a:noFill/>
        <a:ln w="82550">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ush Narla" refreshedDate="46051.580829166669" createdVersion="8" refreshedVersion="8" minRefreshableVersion="3" recordCount="800" xr:uid="{65367B6D-A925-450E-A804-C98250CC783A}">
  <cacheSource type="worksheet">
    <worksheetSource name="Table1"/>
  </cacheSource>
  <cacheFields count="13">
    <cacheField name="APID" numFmtId="0">
      <sharedItems/>
    </cacheField>
    <cacheField name="Vendor" numFmtId="0">
      <sharedItems count="5">
        <s v="BluePrints"/>
        <s v="Fast Travel"/>
        <s v="ABC Supplies"/>
        <s v="Global Office"/>
        <s v="TechMart"/>
      </sharedItems>
    </cacheField>
    <cacheField name="InvoiceDate" numFmtId="164">
      <sharedItems containsSemiMixedTypes="0" containsNonDate="0" containsDate="1" containsString="0" minDate="2023-01-01T00:00:00" maxDate="2025-07-01T00:00:00" count="552">
        <d v="2024-12-16T00:00:00"/>
        <d v="2024-05-18T00:00:00"/>
        <d v="2024-02-25T00:00:00"/>
        <d v="2024-01-08T00:00:00"/>
        <d v="2024-05-23T00:00:00"/>
        <d v="2024-07-09T00:00:00"/>
        <d v="2024-12-20T00:00:00"/>
        <d v="2024-09-25T00:00:00"/>
        <d v="2024-02-12T00:00:00"/>
        <d v="2024-06-27T00:00:00"/>
        <d v="2024-03-09T00:00:00"/>
        <d v="2024-10-10T00:00:00"/>
        <d v="2023-05-19T00:00:00"/>
        <d v="2023-11-19T00:00:00"/>
        <d v="2024-05-05T00:00:00"/>
        <d v="2023-06-04T00:00:00"/>
        <d v="2023-12-10T00:00:00"/>
        <d v="2024-12-30T00:00:00"/>
        <d v="2025-03-28T00:00:00"/>
        <d v="2023-07-14T00:00:00"/>
        <d v="2023-06-28T00:00:00"/>
        <d v="2024-12-27T00:00:00"/>
        <d v="2023-05-16T00:00:00"/>
        <d v="2023-09-30T00:00:00"/>
        <d v="2024-12-14T00:00:00"/>
        <d v="2023-07-17T00:00:00"/>
        <d v="2024-03-25T00:00:00"/>
        <d v="2024-10-28T00:00:00"/>
        <d v="2023-03-06T00:00:00"/>
        <d v="2024-02-13T00:00:00"/>
        <d v="2023-03-15T00:00:00"/>
        <d v="2023-10-11T00:00:00"/>
        <d v="2024-11-02T00:00:00"/>
        <d v="2025-01-11T00:00:00"/>
        <d v="2023-04-09T00:00:00"/>
        <d v="2023-07-21T00:00:00"/>
        <d v="2024-07-31T00:00:00"/>
        <d v="2023-01-08T00:00:00"/>
        <d v="2023-07-01T00:00:00"/>
        <d v="2025-05-24T00:00:00"/>
        <d v="2024-01-22T00:00:00"/>
        <d v="2023-02-10T00:00:00"/>
        <d v="2025-06-01T00:00:00"/>
        <d v="2023-06-25T00:00:00"/>
        <d v="2023-06-26T00:00:00"/>
        <d v="2025-01-25T00:00:00"/>
        <d v="2025-03-17T00:00:00"/>
        <d v="2023-09-28T00:00:00"/>
        <d v="2024-03-31T00:00:00"/>
        <d v="2023-04-23T00:00:00"/>
        <d v="2023-08-24T00:00:00"/>
        <d v="2023-05-09T00:00:00"/>
        <d v="2023-12-19T00:00:00"/>
        <d v="2023-11-08T00:00:00"/>
        <d v="2023-01-03T00:00:00"/>
        <d v="2024-06-19T00:00:00"/>
        <d v="2025-03-09T00:00:00"/>
        <d v="2024-05-28T00:00:00"/>
        <d v="2024-04-26T00:00:00"/>
        <d v="2023-02-24T00:00:00"/>
        <d v="2025-02-15T00:00:00"/>
        <d v="2024-04-22T00:00:00"/>
        <d v="2025-04-15T00:00:00"/>
        <d v="2025-02-09T00:00:00"/>
        <d v="2025-01-03T00:00:00"/>
        <d v="2024-07-24T00:00:00"/>
        <d v="2023-02-01T00:00:00"/>
        <d v="2024-12-03T00:00:00"/>
        <d v="2025-06-13T00:00:00"/>
        <d v="2024-11-01T00:00:00"/>
        <d v="2023-06-15T00:00:00"/>
        <d v="2023-09-18T00:00:00"/>
        <d v="2025-01-04T00:00:00"/>
        <d v="2023-05-22T00:00:00"/>
        <d v="2024-09-21T00:00:00"/>
        <d v="2024-04-19T00:00:00"/>
        <d v="2023-08-23T00:00:00"/>
        <d v="2025-06-03T00:00:00"/>
        <d v="2024-09-26T00:00:00"/>
        <d v="2024-06-15T00:00:00"/>
        <d v="2024-05-11T00:00:00"/>
        <d v="2023-06-05T00:00:00"/>
        <d v="2025-06-12T00:00:00"/>
        <d v="2023-07-04T00:00:00"/>
        <d v="2024-06-13T00:00:00"/>
        <d v="2025-03-21T00:00:00"/>
        <d v="2024-08-16T00:00:00"/>
        <d v="2024-04-21T00:00:00"/>
        <d v="2023-02-09T00:00:00"/>
        <d v="2023-05-25T00:00:00"/>
        <d v="2023-10-28T00:00:00"/>
        <d v="2023-06-11T00:00:00"/>
        <d v="2024-05-14T00:00:00"/>
        <d v="2024-05-30T00:00:00"/>
        <d v="2024-02-28T00:00:00"/>
        <d v="2024-10-03T00:00:00"/>
        <d v="2023-07-27T00:00:00"/>
        <d v="2024-09-19T00:00:00"/>
        <d v="2025-06-30T00:00:00"/>
        <d v="2024-08-29T00:00:00"/>
        <d v="2023-04-08T00:00:00"/>
        <d v="2024-09-17T00:00:00"/>
        <d v="2023-11-20T00:00:00"/>
        <d v="2024-02-17T00:00:00"/>
        <d v="2025-05-10T00:00:00"/>
        <d v="2024-11-25T00:00:00"/>
        <d v="2023-12-13T00:00:00"/>
        <d v="2023-04-12T00:00:00"/>
        <d v="2024-01-20T00:00:00"/>
        <d v="2024-11-29T00:00:00"/>
        <d v="2024-03-19T00:00:00"/>
        <d v="2023-09-24T00:00:00"/>
        <d v="2023-02-16T00:00:00"/>
        <d v="2023-08-14T00:00:00"/>
        <d v="2025-01-28T00:00:00"/>
        <d v="2024-04-30T00:00:00"/>
        <d v="2023-11-23T00:00:00"/>
        <d v="2025-03-13T00:00:00"/>
        <d v="2024-12-21T00:00:00"/>
        <d v="2023-10-05T00:00:00"/>
        <d v="2023-09-17T00:00:00"/>
        <d v="2023-01-14T00:00:00"/>
        <d v="2024-04-14T00:00:00"/>
        <d v="2023-06-14T00:00:00"/>
        <d v="2023-12-26T00:00:00"/>
        <d v="2025-05-05T00:00:00"/>
        <d v="2024-06-28T00:00:00"/>
        <d v="2024-03-14T00:00:00"/>
        <d v="2024-04-10T00:00:00"/>
        <d v="2024-12-05T00:00:00"/>
        <d v="2024-03-30T00:00:00"/>
        <d v="2023-12-05T00:00:00"/>
        <d v="2024-07-21T00:00:00"/>
        <d v="2023-09-05T00:00:00"/>
        <d v="2024-12-12T00:00:00"/>
        <d v="2024-04-18T00:00:00"/>
        <d v="2025-06-19T00:00:00"/>
        <d v="2023-05-28T00:00:00"/>
        <d v="2023-08-01T00:00:00"/>
        <d v="2024-06-24T00:00:00"/>
        <d v="2023-11-28T00:00:00"/>
        <d v="2023-08-16T00:00:00"/>
        <d v="2023-08-06T00:00:00"/>
        <d v="2024-04-08T00:00:00"/>
        <d v="2024-11-26T00:00:00"/>
        <d v="2023-03-05T00:00:00"/>
        <d v="2024-07-02T00:00:00"/>
        <d v="2024-02-23T00:00:00"/>
        <d v="2024-10-02T00:00:00"/>
        <d v="2023-04-28T00:00:00"/>
        <d v="2024-05-31T00:00:00"/>
        <d v="2025-03-18T00:00:00"/>
        <d v="2024-02-03T00:00:00"/>
        <d v="2024-10-21T00:00:00"/>
        <d v="2023-04-01T00:00:00"/>
        <d v="2024-09-14T00:00:00"/>
        <d v="2025-06-05T00:00:00"/>
        <d v="2024-12-11T00:00:00"/>
        <d v="2025-04-01T00:00:00"/>
        <d v="2023-04-27T00:00:00"/>
        <d v="2024-12-09T00:00:00"/>
        <d v="2024-11-09T00:00:00"/>
        <d v="2025-06-20T00:00:00"/>
        <d v="2023-11-11T00:00:00"/>
        <d v="2024-09-29T00:00:00"/>
        <d v="2024-06-10T00:00:00"/>
        <d v="2023-03-13T00:00:00"/>
        <d v="2025-02-05T00:00:00"/>
        <d v="2024-07-25T00:00:00"/>
        <d v="2025-04-16T00:00:00"/>
        <d v="2023-02-04T00:00:00"/>
        <d v="2025-06-22T00:00:00"/>
        <d v="2024-05-02T00:00:00"/>
        <d v="2024-04-17T00:00:00"/>
        <d v="2023-02-17T00:00:00"/>
        <d v="2025-02-22T00:00:00"/>
        <d v="2025-06-09T00:00:00"/>
        <d v="2023-05-30T00:00:00"/>
        <d v="2024-06-11T00:00:00"/>
        <d v="2025-03-07T00:00:00"/>
        <d v="2024-04-02T00:00:00"/>
        <d v="2023-09-21T00:00:00"/>
        <d v="2024-04-06T00:00:00"/>
        <d v="2024-03-21T00:00:00"/>
        <d v="2025-06-29T00:00:00"/>
        <d v="2023-11-02T00:00:00"/>
        <d v="2025-01-08T00:00:00"/>
        <d v="2025-03-11T00:00:00"/>
        <d v="2023-01-07T00:00:00"/>
        <d v="2025-05-28T00:00:00"/>
        <d v="2024-05-25T00:00:00"/>
        <d v="2024-06-02T00:00:00"/>
        <d v="2023-01-22T00:00:00"/>
        <d v="2024-06-17T00:00:00"/>
        <d v="2024-07-23T00:00:00"/>
        <d v="2025-02-16T00:00:00"/>
        <d v="2024-06-06T00:00:00"/>
        <d v="2024-07-18T00:00:00"/>
        <d v="2024-02-04T00:00:00"/>
        <d v="2023-07-02T00:00:00"/>
        <d v="2024-05-20T00:00:00"/>
        <d v="2023-11-21T00:00:00"/>
        <d v="2025-05-13T00:00:00"/>
        <d v="2025-02-23T00:00:00"/>
        <d v="2024-10-23T00:00:00"/>
        <d v="2025-01-31T00:00:00"/>
        <d v="2023-07-29T00:00:00"/>
        <d v="2024-01-28T00:00:00"/>
        <d v="2023-03-12T00:00:00"/>
        <d v="2024-08-19T00:00:00"/>
        <d v="2025-04-25T00:00:00"/>
        <d v="2023-04-24T00:00:00"/>
        <d v="2024-08-20T00:00:00"/>
        <d v="2024-01-24T00:00:00"/>
        <d v="2023-12-09T00:00:00"/>
        <d v="2023-01-12T00:00:00"/>
        <d v="2023-01-30T00:00:00"/>
        <d v="2024-03-11T00:00:00"/>
        <d v="2023-03-23T00:00:00"/>
        <d v="2024-07-01T00:00:00"/>
        <d v="2023-06-10T00:00:00"/>
        <d v="2024-11-22T00:00:00"/>
        <d v="2023-04-29T00:00:00"/>
        <d v="2023-10-04T00:00:00"/>
        <d v="2024-07-30T00:00:00"/>
        <d v="2025-02-24T00:00:00"/>
        <d v="2023-05-29T00:00:00"/>
        <d v="2025-05-15T00:00:00"/>
        <d v="2024-03-22T00:00:00"/>
        <d v="2023-03-14T00:00:00"/>
        <d v="2023-06-09T00:00:00"/>
        <d v="2025-06-07T00:00:00"/>
        <d v="2025-02-07T00:00:00"/>
        <d v="2023-01-23T00:00:00"/>
        <d v="2023-11-07T00:00:00"/>
        <d v="2023-08-28T00:00:00"/>
        <d v="2024-01-25T00:00:00"/>
        <d v="2023-06-12T00:00:00"/>
        <d v="2025-01-29T00:00:00"/>
        <d v="2023-10-10T00:00:00"/>
        <d v="2023-06-17T00:00:00"/>
        <d v="2024-09-10T00:00:00"/>
        <d v="2025-06-26T00:00:00"/>
        <d v="2023-11-12T00:00:00"/>
        <d v="2024-01-31T00:00:00"/>
        <d v="2024-02-10T00:00:00"/>
        <d v="2024-07-05T00:00:00"/>
        <d v="2024-08-09T00:00:00"/>
        <d v="2024-07-14T00:00:00"/>
        <d v="2023-05-11T00:00:00"/>
        <d v="2025-04-06T00:00:00"/>
        <d v="2024-11-10T00:00:00"/>
        <d v="2024-10-16T00:00:00"/>
        <d v="2025-04-05T00:00:00"/>
        <d v="2024-01-11T00:00:00"/>
        <d v="2023-10-26T00:00:00"/>
        <d v="2024-09-24T00:00:00"/>
        <d v="2023-03-16T00:00:00"/>
        <d v="2025-03-25T00:00:00"/>
        <d v="2023-08-04T00:00:00"/>
        <d v="2024-06-14T00:00:00"/>
        <d v="2024-11-21T00:00:00"/>
        <d v="2023-12-25T00:00:00"/>
        <d v="2023-10-07T00:00:00"/>
        <d v="2023-05-23T00:00:00"/>
        <d v="2025-04-26T00:00:00"/>
        <d v="2025-06-11T00:00:00"/>
        <d v="2025-06-25T00:00:00"/>
        <d v="2025-03-01T00:00:00"/>
        <d v="2023-04-19T00:00:00"/>
        <d v="2023-11-26T00:00:00"/>
        <d v="2025-01-22T00:00:00"/>
        <d v="2024-01-29T00:00:00"/>
        <d v="2024-10-11T00:00:00"/>
        <d v="2023-03-08T00:00:00"/>
        <d v="2024-06-22T00:00:00"/>
        <d v="2025-03-06T00:00:00"/>
        <d v="2024-08-07T00:00:00"/>
        <d v="2025-02-19T00:00:00"/>
        <d v="2024-04-09T00:00:00"/>
        <d v="2023-02-22T00:00:00"/>
        <d v="2023-01-02T00:00:00"/>
        <d v="2024-04-05T00:00:00"/>
        <d v="2024-08-24T00:00:00"/>
        <d v="2023-03-29T00:00:00"/>
        <d v="2023-05-08T00:00:00"/>
        <d v="2024-12-17T00:00:00"/>
        <d v="2024-04-13T00:00:00"/>
        <d v="2024-12-07T00:00:00"/>
        <d v="2025-02-17T00:00:00"/>
        <d v="2024-01-30T00:00:00"/>
        <d v="2025-03-20T00:00:00"/>
        <d v="2023-12-08T00:00:00"/>
        <d v="2025-06-02T00:00:00"/>
        <d v="2023-11-05T00:00:00"/>
        <d v="2023-12-22T00:00:00"/>
        <d v="2025-01-15T00:00:00"/>
        <d v="2025-06-23T00:00:00"/>
        <d v="2024-03-07T00:00:00"/>
        <d v="2023-01-11T00:00:00"/>
        <d v="2023-08-31T00:00:00"/>
        <d v="2023-02-05T00:00:00"/>
        <d v="2024-06-09T00:00:00"/>
        <d v="2023-12-21T00:00:00"/>
        <d v="2025-03-19T00:00:00"/>
        <d v="2023-04-11T00:00:00"/>
        <d v="2025-05-20T00:00:00"/>
        <d v="2023-08-22T00:00:00"/>
        <d v="2024-01-07T00:00:00"/>
        <d v="2024-01-16T00:00:00"/>
        <d v="2024-01-15T00:00:00"/>
        <d v="2025-04-09T00:00:00"/>
        <d v="2024-07-22T00:00:00"/>
        <d v="2024-04-29T00:00:00"/>
        <d v="2025-03-15T00:00:00"/>
        <d v="2023-03-20T00:00:00"/>
        <d v="2023-12-30T00:00:00"/>
        <d v="2025-05-11T00:00:00"/>
        <d v="2023-05-20T00:00:00"/>
        <d v="2023-08-30T00:00:00"/>
        <d v="2023-11-03T00:00:00"/>
        <d v="2023-07-22T00:00:00"/>
        <d v="2024-08-17T00:00:00"/>
        <d v="2023-09-01T00:00:00"/>
        <d v="2024-03-12T00:00:00"/>
        <d v="2024-02-07T00:00:00"/>
        <d v="2023-12-24T00:00:00"/>
        <d v="2023-01-04T00:00:00"/>
        <d v="2024-11-20T00:00:00"/>
        <d v="2024-07-07T00:00:00"/>
        <d v="2023-12-12T00:00:00"/>
        <d v="2024-05-24T00:00:00"/>
        <d v="2024-06-21T00:00:00"/>
        <d v="2024-01-17T00:00:00"/>
        <d v="2024-09-06T00:00:00"/>
        <d v="2023-03-27T00:00:00"/>
        <d v="2025-04-29T00:00:00"/>
        <d v="2023-08-07T00:00:00"/>
        <d v="2025-04-10T00:00:00"/>
        <d v="2024-10-12T00:00:00"/>
        <d v="2025-04-28T00:00:00"/>
        <d v="2025-04-22T00:00:00"/>
        <d v="2023-06-01T00:00:00"/>
        <d v="2023-11-30T00:00:00"/>
        <d v="2023-02-12T00:00:00"/>
        <d v="2023-07-24T00:00:00"/>
        <d v="2023-05-31T00:00:00"/>
        <d v="2025-01-13T00:00:00"/>
        <d v="2023-12-16T00:00:00"/>
        <d v="2024-02-20T00:00:00"/>
        <d v="2023-05-15T00:00:00"/>
        <d v="2023-07-08T00:00:00"/>
        <d v="2023-09-10T00:00:00"/>
        <d v="2024-12-15T00:00:00"/>
        <d v="2024-06-04T00:00:00"/>
        <d v="2023-10-20T00:00:00"/>
        <d v="2024-10-08T00:00:00"/>
        <d v="2025-02-11T00:00:00"/>
        <d v="2023-03-31T00:00:00"/>
        <d v="2023-09-12T00:00:00"/>
        <d v="2023-02-07T00:00:00"/>
        <d v="2024-03-10T00:00:00"/>
        <d v="2023-05-17T00:00:00"/>
        <d v="2023-03-22T00:00:00"/>
        <d v="2023-11-04T00:00:00"/>
        <d v="2023-05-26T00:00:00"/>
        <d v="2023-12-04T00:00:00"/>
        <d v="2024-10-06T00:00:00"/>
        <d v="2024-01-26T00:00:00"/>
        <d v="2024-12-22T00:00:00"/>
        <d v="2025-02-12T00:00:00"/>
        <d v="2024-04-15T00:00:00"/>
        <d v="2023-09-29T00:00:00"/>
        <d v="2025-05-02T00:00:00"/>
        <d v="2024-11-03T00:00:00"/>
        <d v="2023-02-26T00:00:00"/>
        <d v="2024-11-28T00:00:00"/>
        <d v="2024-03-23T00:00:00"/>
        <d v="2024-10-09T00:00:00"/>
        <d v="2025-05-12T00:00:00"/>
        <d v="2024-11-23T00:00:00"/>
        <d v="2023-11-24T00:00:00"/>
        <d v="2023-12-02T00:00:00"/>
        <d v="2024-02-02T00:00:00"/>
        <d v="2023-10-30T00:00:00"/>
        <d v="2023-06-29T00:00:00"/>
        <d v="2023-09-16T00:00:00"/>
        <d v="2023-06-22T00:00:00"/>
        <d v="2025-01-27T00:00:00"/>
        <d v="2025-06-15T00:00:00"/>
        <d v="2023-09-23T00:00:00"/>
        <d v="2024-02-24T00:00:00"/>
        <d v="2023-02-14T00:00:00"/>
        <d v="2024-05-21T00:00:00"/>
        <d v="2024-08-18T00:00:00"/>
        <d v="2023-12-28T00:00:00"/>
        <d v="2024-02-05T00:00:00"/>
        <d v="2025-01-23T00:00:00"/>
        <d v="2024-10-19T00:00:00"/>
        <d v="2024-09-20T00:00:00"/>
        <d v="2025-04-14T00:00:00"/>
        <d v="2025-04-30T00:00:00"/>
        <d v="2025-05-09T00:00:00"/>
        <d v="2024-06-29T00:00:00"/>
        <d v="2023-03-17T00:00:00"/>
        <d v="2023-07-11T00:00:00"/>
        <d v="2023-09-27T00:00:00"/>
        <d v="2024-06-03T00:00:00"/>
        <d v="2023-12-31T00:00:00"/>
        <d v="2024-09-03T00:00:00"/>
        <d v="2023-09-04T00:00:00"/>
        <d v="2025-06-17T00:00:00"/>
        <d v="2025-01-14T00:00:00"/>
        <d v="2024-02-26T00:00:00"/>
        <d v="2024-10-31T00:00:00"/>
        <d v="2024-09-04T00:00:00"/>
        <d v="2024-09-23T00:00:00"/>
        <d v="2025-03-02T00:00:00"/>
        <d v="2025-06-18T00:00:00"/>
        <d v="2025-02-02T00:00:00"/>
        <d v="2024-08-12T00:00:00"/>
        <d v="2023-08-08T00:00:00"/>
        <d v="2024-09-07T00:00:00"/>
        <d v="2024-04-01T00:00:00"/>
        <d v="2024-07-27T00:00:00"/>
        <d v="2023-01-21T00:00:00"/>
        <d v="2023-01-15T00:00:00"/>
        <d v="2023-07-15T00:00:00"/>
        <d v="2025-06-10T00:00:00"/>
        <d v="2024-07-03T00:00:00"/>
        <d v="2023-06-19T00:00:00"/>
        <d v="2025-06-04T00:00:00"/>
        <d v="2024-12-18T00:00:00"/>
        <d v="2023-06-03T00:00:00"/>
        <d v="2025-03-22T00:00:00"/>
        <d v="2024-09-02T00:00:00"/>
        <d v="2024-11-27T00:00:00"/>
        <d v="2024-05-26T00:00:00"/>
        <d v="2023-01-25T00:00:00"/>
        <d v="2023-07-13T00:00:00"/>
        <d v="2023-09-13T00:00:00"/>
        <d v="2024-10-22T00:00:00"/>
        <d v="2023-05-24T00:00:00"/>
        <d v="2024-06-18T00:00:00"/>
        <d v="2024-06-12T00:00:00"/>
        <d v="2023-12-27T00:00:00"/>
        <d v="2023-03-07T00:00:00"/>
        <d v="2024-02-27T00:00:00"/>
        <d v="2024-03-03T00:00:00"/>
        <d v="2025-04-02T00:00:00"/>
        <d v="2023-01-27T00:00:00"/>
        <d v="2023-08-25T00:00:00"/>
        <d v="2023-10-31T00:00:00"/>
        <d v="2024-08-06T00:00:00"/>
        <d v="2023-11-15T00:00:00"/>
        <d v="2023-10-21T00:00:00"/>
        <d v="2024-05-08T00:00:00"/>
        <d v="2023-10-24T00:00:00"/>
        <d v="2023-12-17T00:00:00"/>
        <d v="2023-03-19T00:00:00"/>
        <d v="2025-05-17T00:00:00"/>
        <d v="2023-03-03T00:00:00"/>
        <d v="2023-02-19T00:00:00"/>
        <d v="2023-06-08T00:00:00"/>
        <d v="2023-01-17T00:00:00"/>
        <d v="2023-12-18T00:00:00"/>
        <d v="2024-11-11T00:00:00"/>
        <d v="2024-10-26T00:00:00"/>
        <d v="2023-01-01T00:00:00"/>
        <d v="2024-11-08T00:00:00"/>
        <d v="2025-01-26T00:00:00"/>
        <d v="2025-05-22T00:00:00"/>
        <d v="2024-05-09T00:00:00"/>
        <d v="2023-03-02T00:00:00"/>
        <d v="2025-06-28T00:00:00"/>
        <d v="2023-02-15T00:00:00"/>
        <d v="2024-12-24T00:00:00"/>
        <d v="2024-05-07T00:00:00"/>
        <d v="2025-05-04T00:00:00"/>
        <d v="2023-09-02T00:00:00"/>
        <d v="2023-11-06T00:00:00"/>
        <d v="2023-07-18T00:00:00"/>
        <d v="2023-04-13T00:00:00"/>
        <d v="2024-11-13T00:00:00"/>
        <d v="2023-07-06T00:00:00"/>
        <d v="2023-06-06T00:00:00"/>
        <d v="2023-12-11T00:00:00"/>
        <d v="2023-10-02T00:00:00"/>
        <d v="2025-02-04T00:00:00"/>
        <d v="2024-01-14T00:00:00"/>
        <d v="2025-06-16T00:00:00"/>
        <d v="2023-10-14T00:00:00"/>
        <d v="2023-06-02T00:00:00"/>
        <d v="2025-04-13T00:00:00"/>
        <d v="2023-01-29T00:00:00"/>
        <d v="2024-05-29T00:00:00"/>
        <d v="2024-08-10T00:00:00"/>
        <d v="2023-08-12T00:00:00"/>
        <d v="2025-03-30T00:00:00"/>
        <d v="2023-04-07T00:00:00"/>
        <d v="2024-01-01T00:00:00"/>
        <d v="2023-11-29T00:00:00"/>
        <d v="2024-06-01T00:00:00"/>
        <d v="2023-09-09T00:00:00"/>
        <d v="2023-03-21T00:00:00"/>
        <d v="2024-06-16T00:00:00"/>
        <d v="2024-12-01T00:00:00"/>
        <d v="2025-04-23T00:00:00"/>
        <d v="2023-12-15T00:00:00"/>
        <d v="2023-03-01T00:00:00"/>
        <d v="2023-08-20T00:00:00"/>
        <d v="2025-02-10T00:00:00"/>
        <d v="2023-11-16T00:00:00"/>
        <d v="2024-11-19T00:00:00"/>
        <d v="2024-02-14T00:00:00"/>
        <d v="2024-07-11T00:00:00"/>
        <d v="2023-03-04T00:00:00"/>
        <d v="2024-09-27T00:00:00"/>
        <d v="2023-07-23T00:00:00"/>
        <d v="2024-11-07T00:00:00"/>
        <d v="2023-07-20T00:00:00"/>
        <d v="2023-11-09T00:00:00"/>
        <d v="2024-01-12T00:00:00"/>
        <d v="2025-05-27T00:00:00"/>
        <d v="2025-02-21T00:00:00"/>
        <d v="2023-09-14T00:00:00"/>
        <d v="2023-10-23T00:00:00"/>
        <d v="2024-03-08T00:00:00"/>
        <d v="2023-12-23T00:00:00"/>
        <d v="2023-09-25T00:00:00"/>
        <d v="2024-07-15T00:00:00"/>
        <d v="2024-08-31T00:00:00"/>
        <d v="2024-11-17T00:00:00"/>
        <d v="2024-01-10T00:00:00"/>
        <d v="2024-02-18T00:00:00"/>
        <d v="2024-04-03T00:00:00"/>
        <d v="2023-08-10T00:00:00"/>
        <d v="2023-12-03T00:00:00"/>
        <d v="2025-01-02T00:00:00"/>
        <d v="2024-08-01T00:00:00"/>
        <d v="2025-02-28T00:00:00"/>
        <d v="2024-11-12T00:00:00"/>
        <d v="2023-11-01T00:00:00"/>
        <d v="2023-07-19T00:00:00"/>
        <d v="2025-04-21T00:00:00"/>
        <d v="2025-04-07T00:00:00"/>
        <d v="2025-01-30T00:00:00"/>
        <d v="2024-09-16T00:00:00"/>
        <d v="2023-02-18T00:00:00"/>
        <d v="2023-02-21T00:00:00"/>
        <d v="2024-09-08T00:00:00"/>
        <d v="2025-03-16T00:00:00"/>
      </sharedItems>
      <fieldGroup par="12"/>
    </cacheField>
    <cacheField name="DueDate" numFmtId="164">
      <sharedItems containsSemiMixedTypes="0" containsNonDate="0" containsDate="1" containsString="0" minDate="2023-01-31T00:00:00" maxDate="2025-07-31T00:00:00"/>
    </cacheField>
    <cacheField name="Amount" numFmtId="2">
      <sharedItems containsSemiMixedTypes="0" containsString="0" containsNumber="1" minValue="104.02" maxValue="4995.3900000000003"/>
    </cacheField>
    <cacheField name="Currency" numFmtId="0">
      <sharedItems/>
    </cacheField>
    <cacheField name="Status" numFmtId="0">
      <sharedItems count="3">
        <s v="Open"/>
        <s v="Partial"/>
        <s v="Paid"/>
      </sharedItems>
    </cacheField>
    <cacheField name="PaidDate" numFmtId="0">
      <sharedItems containsNonDate="0" containsDate="1" containsString="0" containsBlank="1" minDate="2023-02-01T00:00:00" maxDate="2025-07-27T00:00:00"/>
    </cacheField>
    <cacheField name="Terms" numFmtId="0">
      <sharedItems/>
    </cacheField>
    <cacheField name="PaymentDelayDays" numFmtId="0">
      <sharedItems/>
    </cacheField>
    <cacheField name="OverdueFlag" numFmtId="0">
      <sharedItems count="2">
        <s v="Overdue"/>
        <s v="OK"/>
      </sharedItems>
    </cacheField>
    <cacheField name="Months (InvoiceDate)" numFmtId="0" databaseField="0">
      <fieldGroup base="2">
        <rangePr groupBy="months" startDate="2023-01-01T00:00:00" endDate="2025-07-01T00:00:00"/>
        <groupItems count="14">
          <s v="&lt;01-01-2023"/>
          <s v="Jan"/>
          <s v="Feb"/>
          <s v="Mar"/>
          <s v="Apr"/>
          <s v="May"/>
          <s v="Jun"/>
          <s v="Jul"/>
          <s v="Aug"/>
          <s v="Sep"/>
          <s v="Oct"/>
          <s v="Nov"/>
          <s v="Dec"/>
          <s v="&gt;01-07-2025"/>
        </groupItems>
      </fieldGroup>
    </cacheField>
    <cacheField name="Years (InvoiceDate)" numFmtId="0" databaseField="0">
      <fieldGroup base="2">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5933342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ush Narla" refreshedDate="46051.584666435185" createdVersion="8" refreshedVersion="8" minRefreshableVersion="3" recordCount="48" xr:uid="{749E1BCD-E261-4B32-9D4B-1D5D0E6022BC}">
  <cacheSource type="worksheet">
    <worksheetSource name="Table3"/>
  </cacheSource>
  <cacheFields count="8">
    <cacheField name="FiscalYear" numFmtId="0">
      <sharedItems containsSemiMixedTypes="0" containsString="0" containsNumber="1" containsInteger="1" minValue="2024" maxValue="2025"/>
    </cacheField>
    <cacheField name="Dept" numFmtId="0">
      <sharedItems count="6">
        <s v="Finance"/>
        <s v="HR"/>
        <s v="IT"/>
        <s v="Sales"/>
        <s v="Marketing"/>
        <s v="Operations"/>
      </sharedItems>
    </cacheField>
    <cacheField name="Quarter" numFmtId="0">
      <sharedItems containsSemiMixedTypes="0" containsString="0" containsNumber="1" containsInteger="1" minValue="1" maxValue="4"/>
    </cacheField>
    <cacheField name="BudgetUSD" numFmtId="2">
      <sharedItems containsSemiMixedTypes="0" containsString="0" containsNumber="1" minValue="21211.21" maxValue="146937.60999999999"/>
    </cacheField>
    <cacheField name="ForecastUSD" numFmtId="0">
      <sharedItems containsSemiMixedTypes="0" containsString="0" containsNumber="1" minValue="22362.69" maxValue="142175.37"/>
    </cacheField>
    <cacheField name="ActualUSD" numFmtId="0">
      <sharedItems containsSemiMixedTypes="0" containsString="0" containsNumber="1" minValue="22368.41" maxValue="147123.70000000001"/>
    </cacheField>
    <cacheField name="VarianceUSD" numFmtId="0">
      <sharedItems containsSemiMixedTypes="0" containsString="0" containsNumber="1" minValue="-21609.34" maxValue="14507.63"/>
    </cacheField>
    <cacheField name="VariancePercent" numFmtId="9">
      <sharedItems containsSemiMixedTypes="0" containsString="0" containsNumber="1" minValue="-0.18362703793148571" maxValue="0.15178236658741076"/>
    </cacheField>
  </cacheFields>
  <extLst>
    <ext xmlns:x14="http://schemas.microsoft.com/office/spreadsheetml/2009/9/main" uri="{725AE2AE-9491-48be-B2B4-4EB974FC3084}">
      <x14:pivotCacheDefinition pivotCacheId="111037489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ush Narla" refreshedDate="46051.588791087961" createdVersion="8" refreshedVersion="8" minRefreshableVersion="3" recordCount="900" xr:uid="{25269BA3-5D61-411B-AEB5-2360A730DC14}">
  <cacheSource type="worksheet">
    <worksheetSource name="Table2"/>
  </cacheSource>
  <cacheFields count="13">
    <cacheField name="ARID" numFmtId="0">
      <sharedItems/>
    </cacheField>
    <cacheField name="Customer" numFmtId="0">
      <sharedItems count="5">
        <s v="Soylent"/>
        <s v="Umbrella"/>
        <s v="Acme"/>
        <s v="Initech"/>
        <s v="Globex"/>
      </sharedItems>
    </cacheField>
    <cacheField name="InvoiceDate" numFmtId="164">
      <sharedItems containsSemiMixedTypes="0" containsNonDate="0" containsDate="1" containsString="0" minDate="2023-01-01T00:00:00" maxDate="2025-06-30T00:00:00" count="572">
        <d v="2023-08-19T00:00:00"/>
        <d v="2025-04-01T00:00:00"/>
        <d v="2024-12-25T00:00:00"/>
        <d v="2023-05-08T00:00:00"/>
        <d v="2024-08-07T00:00:00"/>
        <d v="2023-05-29T00:00:00"/>
        <d v="2023-10-22T00:00:00"/>
        <d v="2023-11-03T00:00:00"/>
        <d v="2025-01-05T00:00:00"/>
        <d v="2023-12-11T00:00:00"/>
        <d v="2023-08-25T00:00:00"/>
        <d v="2024-12-05T00:00:00"/>
        <d v="2024-06-23T00:00:00"/>
        <d v="2025-03-04T00:00:00"/>
        <d v="2023-04-29T00:00:00"/>
        <d v="2025-04-29T00:00:00"/>
        <d v="2025-05-16T00:00:00"/>
        <d v="2024-01-29T00:00:00"/>
        <d v="2024-04-09T00:00:00"/>
        <d v="2024-05-08T00:00:00"/>
        <d v="2024-08-12T00:00:00"/>
        <d v="2024-07-08T00:00:00"/>
        <d v="2023-07-14T00:00:00"/>
        <d v="2023-09-04T00:00:00"/>
        <d v="2023-07-08T00:00:00"/>
        <d v="2023-03-02T00:00:00"/>
        <d v="2023-03-21T00:00:00"/>
        <d v="2023-10-18T00:00:00"/>
        <d v="2023-06-10T00:00:00"/>
        <d v="2024-09-11T00:00:00"/>
        <d v="2024-05-15T00:00:00"/>
        <d v="2023-12-18T00:00:00"/>
        <d v="2025-02-11T00:00:00"/>
        <d v="2023-11-23T00:00:00"/>
        <d v="2025-03-24T00:00:00"/>
        <d v="2023-11-01T00:00:00"/>
        <d v="2024-07-20T00:00:00"/>
        <d v="2024-12-16T00:00:00"/>
        <d v="2023-10-31T00:00:00"/>
        <d v="2023-08-05T00:00:00"/>
        <d v="2023-07-03T00:00:00"/>
        <d v="2023-10-13T00:00:00"/>
        <d v="2023-10-28T00:00:00"/>
        <d v="2023-07-02T00:00:00"/>
        <d v="2025-04-07T00:00:00"/>
        <d v="2024-11-08T00:00:00"/>
        <d v="2025-04-04T00:00:00"/>
        <d v="2023-07-01T00:00:00"/>
        <d v="2025-03-13T00:00:00"/>
        <d v="2024-05-25T00:00:00"/>
        <d v="2023-03-22T00:00:00"/>
        <d v="2025-01-17T00:00:00"/>
        <d v="2023-05-24T00:00:00"/>
        <d v="2025-04-09T00:00:00"/>
        <d v="2024-07-07T00:00:00"/>
        <d v="2023-07-16T00:00:00"/>
        <d v="2024-12-24T00:00:00"/>
        <d v="2023-06-01T00:00:00"/>
        <d v="2023-09-06T00:00:00"/>
        <d v="2023-06-29T00:00:00"/>
        <d v="2025-01-12T00:00:00"/>
        <d v="2025-04-12T00:00:00"/>
        <d v="2023-10-20T00:00:00"/>
        <d v="2024-10-24T00:00:00"/>
        <d v="2023-08-14T00:00:00"/>
        <d v="2025-03-23T00:00:00"/>
        <d v="2024-07-10T00:00:00"/>
        <d v="2023-10-01T00:00:00"/>
        <d v="2024-02-03T00:00:00"/>
        <d v="2024-06-08T00:00:00"/>
        <d v="2023-01-30T00:00:00"/>
        <d v="2023-09-23T00:00:00"/>
        <d v="2024-04-24T00:00:00"/>
        <d v="2024-10-15T00:00:00"/>
        <d v="2025-02-16T00:00:00"/>
        <d v="2023-04-02T00:00:00"/>
        <d v="2023-06-30T00:00:00"/>
        <d v="2024-09-27T00:00:00"/>
        <d v="2025-03-30T00:00:00"/>
        <d v="2025-06-14T00:00:00"/>
        <d v="2024-08-14T00:00:00"/>
        <d v="2023-07-24T00:00:00"/>
        <d v="2024-06-21T00:00:00"/>
        <d v="2023-08-04T00:00:00"/>
        <d v="2024-07-12T00:00:00"/>
        <d v="2023-12-16T00:00:00"/>
        <d v="2024-03-29T00:00:00"/>
        <d v="2023-05-16T00:00:00"/>
        <d v="2024-02-27T00:00:00"/>
        <d v="2025-01-08T00:00:00"/>
        <d v="2025-03-25T00:00:00"/>
        <d v="2025-05-10T00:00:00"/>
        <d v="2024-09-17T00:00:00"/>
        <d v="2024-10-18T00:00:00"/>
        <d v="2023-12-13T00:00:00"/>
        <d v="2023-12-25T00:00:00"/>
        <d v="2023-04-01T00:00:00"/>
        <d v="2024-03-24T00:00:00"/>
        <d v="2023-09-20T00:00:00"/>
        <d v="2025-06-17T00:00:00"/>
        <d v="2023-01-24T00:00:00"/>
        <d v="2023-11-14T00:00:00"/>
        <d v="2024-09-18T00:00:00"/>
        <d v="2024-09-08T00:00:00"/>
        <d v="2025-06-23T00:00:00"/>
        <d v="2024-03-07T00:00:00"/>
        <d v="2024-10-25T00:00:00"/>
        <d v="2023-07-06T00:00:00"/>
        <d v="2024-04-22T00:00:00"/>
        <d v="2024-02-08T00:00:00"/>
        <d v="2023-12-04T00:00:00"/>
        <d v="2025-05-31T00:00:00"/>
        <d v="2023-06-12T00:00:00"/>
        <d v="2023-09-15T00:00:00"/>
        <d v="2025-04-20T00:00:00"/>
        <d v="2024-07-02T00:00:00"/>
        <d v="2025-04-11T00:00:00"/>
        <d v="2025-01-21T00:00:00"/>
        <d v="2024-03-19T00:00:00"/>
        <d v="2023-06-15T00:00:00"/>
        <d v="2023-02-20T00:00:00"/>
        <d v="2025-05-30T00:00:00"/>
        <d v="2023-07-28T00:00:00"/>
        <d v="2023-03-12T00:00:00"/>
        <d v="2023-11-13T00:00:00"/>
        <d v="2023-10-30T00:00:00"/>
        <d v="2023-09-28T00:00:00"/>
        <d v="2023-09-25T00:00:00"/>
        <d v="2025-05-27T00:00:00"/>
        <d v="2023-06-19T00:00:00"/>
        <d v="2023-01-18T00:00:00"/>
        <d v="2025-03-29T00:00:00"/>
        <d v="2024-04-28T00:00:00"/>
        <d v="2023-09-17T00:00:00"/>
        <d v="2025-06-13T00:00:00"/>
        <d v="2024-10-22T00:00:00"/>
        <d v="2024-09-04T00:00:00"/>
        <d v="2025-04-17T00:00:00"/>
        <d v="2023-08-11T00:00:00"/>
        <d v="2024-10-14T00:00:00"/>
        <d v="2025-01-27T00:00:00"/>
        <d v="2025-04-03T00:00:00"/>
        <d v="2023-06-14T00:00:00"/>
        <d v="2024-12-01T00:00:00"/>
        <d v="2025-05-07T00:00:00"/>
        <d v="2023-05-28T00:00:00"/>
        <d v="2023-05-03T00:00:00"/>
        <d v="2024-07-15T00:00:00"/>
        <d v="2025-02-06T00:00:00"/>
        <d v="2023-12-10T00:00:00"/>
        <d v="2025-02-26T00:00:00"/>
        <d v="2023-04-03T00:00:00"/>
        <d v="2023-04-18T00:00:00"/>
        <d v="2024-07-26T00:00:00"/>
        <d v="2024-03-03T00:00:00"/>
        <d v="2023-09-10T00:00:00"/>
        <d v="2023-01-02T00:00:00"/>
        <d v="2025-04-05T00:00:00"/>
        <d v="2025-02-09T00:00:00"/>
        <d v="2023-06-18T00:00:00"/>
        <d v="2023-10-12T00:00:00"/>
        <d v="2024-08-06T00:00:00"/>
        <d v="2024-12-12T00:00:00"/>
        <d v="2023-07-15T00:00:00"/>
        <d v="2023-11-09T00:00:00"/>
        <d v="2024-03-22T00:00:00"/>
        <d v="2025-01-26T00:00:00"/>
        <d v="2023-06-05T00:00:00"/>
        <d v="2023-09-02T00:00:00"/>
        <d v="2023-02-05T00:00:00"/>
        <d v="2025-03-12T00:00:00"/>
        <d v="2024-06-10T00:00:00"/>
        <d v="2023-05-22T00:00:00"/>
        <d v="2025-01-25T00:00:00"/>
        <d v="2025-02-07T00:00:00"/>
        <d v="2024-06-04T00:00:00"/>
        <d v="2023-02-18T00:00:00"/>
        <d v="2023-11-05T00:00:00"/>
        <d v="2025-06-06T00:00:00"/>
        <d v="2023-01-01T00:00:00"/>
        <d v="2023-01-08T00:00:00"/>
        <d v="2023-01-22T00:00:00"/>
        <d v="2023-07-18T00:00:00"/>
        <d v="2024-04-04T00:00:00"/>
        <d v="2025-05-08T00:00:00"/>
        <d v="2023-07-12T00:00:00"/>
        <d v="2023-04-22T00:00:00"/>
        <d v="2023-11-16T00:00:00"/>
        <d v="2023-09-03T00:00:00"/>
        <d v="2024-01-17T00:00:00"/>
        <d v="2023-03-27T00:00:00"/>
        <d v="2025-04-21T00:00:00"/>
        <d v="2023-02-26T00:00:00"/>
        <d v="2024-09-24T00:00:00"/>
        <d v="2023-09-27T00:00:00"/>
        <d v="2023-09-09T00:00:00"/>
        <d v="2024-07-04T00:00:00"/>
        <d v="2024-05-26T00:00:00"/>
        <d v="2023-08-22T00:00:00"/>
        <d v="2023-02-25T00:00:00"/>
        <d v="2023-12-14T00:00:00"/>
        <d v="2025-05-20T00:00:00"/>
        <d v="2023-03-28T00:00:00"/>
        <d v="2025-02-19T00:00:00"/>
        <d v="2023-10-16T00:00:00"/>
        <d v="2024-01-03T00:00:00"/>
        <d v="2024-07-09T00:00:00"/>
        <d v="2023-06-06T00:00:00"/>
        <d v="2025-02-13T00:00:00"/>
        <d v="2023-05-01T00:00:00"/>
        <d v="2024-02-24T00:00:00"/>
        <d v="2024-11-09T00:00:00"/>
        <d v="2024-02-19T00:00:00"/>
        <d v="2024-05-07T00:00:00"/>
        <d v="2024-01-19T00:00:00"/>
        <d v="2024-02-20T00:00:00"/>
        <d v="2024-02-02T00:00:00"/>
        <d v="2025-03-05T00:00:00"/>
        <d v="2023-11-21T00:00:00"/>
        <d v="2024-06-02T00:00:00"/>
        <d v="2025-06-07T00:00:00"/>
        <d v="2023-05-26T00:00:00"/>
        <d v="2025-02-22T00:00:00"/>
        <d v="2024-05-19T00:00:00"/>
        <d v="2025-06-03T00:00:00"/>
        <d v="2024-10-10T00:00:00"/>
        <d v="2023-09-12T00:00:00"/>
        <d v="2023-02-08T00:00:00"/>
        <d v="2024-06-26T00:00:00"/>
        <d v="2025-01-23T00:00:00"/>
        <d v="2024-12-06T00:00:00"/>
        <d v="2023-12-23T00:00:00"/>
        <d v="2024-02-16T00:00:00"/>
        <d v="2023-04-28T00:00:00"/>
        <d v="2023-12-05T00:00:00"/>
        <d v="2025-03-11T00:00:00"/>
        <d v="2023-06-16T00:00:00"/>
        <d v="2024-12-11T00:00:00"/>
        <d v="2024-10-23T00:00:00"/>
        <d v="2024-04-25T00:00:00"/>
        <d v="2023-01-21T00:00:00"/>
        <d v="2024-11-19T00:00:00"/>
        <d v="2024-06-20T00:00:00"/>
        <d v="2024-09-01T00:00:00"/>
        <d v="2025-02-08T00:00:00"/>
        <d v="2024-04-03T00:00:00"/>
        <d v="2024-01-07T00:00:00"/>
        <d v="2024-11-28T00:00:00"/>
        <d v="2024-10-20T00:00:00"/>
        <d v="2025-01-30T00:00:00"/>
        <d v="2024-02-06T00:00:00"/>
        <d v="2025-05-21T00:00:00"/>
        <d v="2023-11-28T00:00:00"/>
        <d v="2025-03-20T00:00:00"/>
        <d v="2024-02-13T00:00:00"/>
        <d v="2024-09-07T00:00:00"/>
        <d v="2023-12-06T00:00:00"/>
        <d v="2023-02-16T00:00:00"/>
        <d v="2025-05-04T00:00:00"/>
        <d v="2024-06-05T00:00:00"/>
        <d v="2024-12-20T00:00:00"/>
        <d v="2024-11-15T00:00:00"/>
        <d v="2025-06-05T00:00:00"/>
        <d v="2025-04-08T00:00:00"/>
        <d v="2024-11-21T00:00:00"/>
        <d v="2023-02-21T00:00:00"/>
        <d v="2023-05-14T00:00:00"/>
        <d v="2023-11-02T00:00:00"/>
        <d v="2023-02-22T00:00:00"/>
        <d v="2024-01-31T00:00:00"/>
        <d v="2024-01-24T00:00:00"/>
        <d v="2024-07-27T00:00:00"/>
        <d v="2025-03-16T00:00:00"/>
        <d v="2023-12-31T00:00:00"/>
        <d v="2023-12-17T00:00:00"/>
        <d v="2024-12-19T00:00:00"/>
        <d v="2023-05-06T00:00:00"/>
        <d v="2023-10-23T00:00:00"/>
        <d v="2024-01-30T00:00:00"/>
        <d v="2025-06-15T00:00:00"/>
        <d v="2023-06-09T00:00:00"/>
        <d v="2023-12-07T00:00:00"/>
        <d v="2023-09-21T00:00:00"/>
        <d v="2023-10-24T00:00:00"/>
        <d v="2023-08-28T00:00:00"/>
        <d v="2023-09-26T00:00:00"/>
        <d v="2024-02-10T00:00:00"/>
        <d v="2024-12-07T00:00:00"/>
        <d v="2024-03-04T00:00:00"/>
        <d v="2024-04-20T00:00:00"/>
        <d v="2025-06-19T00:00:00"/>
        <d v="2023-08-24T00:00:00"/>
        <d v="2024-03-20T00:00:00"/>
        <d v="2024-11-13T00:00:00"/>
        <d v="2023-02-17T00:00:00"/>
        <d v="2023-06-17T00:00:00"/>
        <d v="2023-10-06T00:00:00"/>
        <d v="2023-10-11T00:00:00"/>
        <d v="2025-04-27T00:00:00"/>
        <d v="2024-02-04T00:00:00"/>
        <d v="2025-05-03T00:00:00"/>
        <d v="2024-03-09T00:00:00"/>
        <d v="2024-02-12T00:00:00"/>
        <d v="2023-01-19T00:00:00"/>
        <d v="2023-12-03T00:00:00"/>
        <d v="2025-02-05T00:00:00"/>
        <d v="2024-05-02T00:00:00"/>
        <d v="2024-12-17T00:00:00"/>
        <d v="2023-07-26T00:00:00"/>
        <d v="2023-05-09T00:00:00"/>
        <d v="2024-09-06T00:00:00"/>
        <d v="2024-10-07T00:00:00"/>
        <d v="2024-01-10T00:00:00"/>
        <d v="2023-12-28T00:00:00"/>
        <d v="2024-04-19T00:00:00"/>
        <d v="2023-08-10T00:00:00"/>
        <d v="2023-07-17T00:00:00"/>
        <d v="2023-05-10T00:00:00"/>
        <d v="2023-04-23T00:00:00"/>
        <d v="2024-07-25T00:00:00"/>
        <d v="2023-04-26T00:00:00"/>
        <d v="2024-04-11T00:00:00"/>
        <d v="2024-06-16T00:00:00"/>
        <d v="2024-06-03T00:00:00"/>
        <d v="2025-04-18T00:00:00"/>
        <d v="2024-01-23T00:00:00"/>
        <d v="2025-05-01T00:00:00"/>
        <d v="2023-12-19T00:00:00"/>
        <d v="2024-01-08T00:00:00"/>
        <d v="2024-02-21T00:00:00"/>
        <d v="2024-04-17T00:00:00"/>
        <d v="2024-10-28T00:00:00"/>
        <d v="2023-07-04T00:00:00"/>
        <d v="2025-01-01T00:00:00"/>
        <d v="2024-11-03T00:00:00"/>
        <d v="2023-11-04T00:00:00"/>
        <d v="2023-10-25T00:00:00"/>
        <d v="2024-03-13T00:00:00"/>
        <d v="2024-01-05T00:00:00"/>
        <d v="2024-11-04T00:00:00"/>
        <d v="2024-03-11T00:00:00"/>
        <d v="2023-04-04T00:00:00"/>
        <d v="2023-09-08T00:00:00"/>
        <d v="2024-10-05T00:00:00"/>
        <d v="2023-11-24T00:00:00"/>
        <d v="2023-01-11T00:00:00"/>
        <d v="2023-05-27T00:00:00"/>
        <d v="2025-05-17T00:00:00"/>
        <d v="2025-01-18T00:00:00"/>
        <d v="2024-05-20T00:00:00"/>
        <d v="2023-08-13T00:00:00"/>
        <d v="2025-05-14T00:00:00"/>
        <d v="2025-05-15T00:00:00"/>
        <d v="2023-09-30T00:00:00"/>
        <d v="2023-01-07T00:00:00"/>
        <d v="2023-12-30T00:00:00"/>
        <d v="2025-03-14T00:00:00"/>
        <d v="2024-09-25T00:00:00"/>
        <d v="2023-03-20T00:00:00"/>
        <d v="2024-10-03T00:00:00"/>
        <d v="2024-04-13T00:00:00"/>
        <d v="2024-01-21T00:00:00"/>
        <d v="2024-07-13T00:00:00"/>
        <d v="2024-12-29T00:00:00"/>
        <d v="2024-04-21T00:00:00"/>
        <d v="2023-05-17T00:00:00"/>
        <d v="2025-03-07T00:00:00"/>
        <d v="2023-02-02T00:00:00"/>
        <d v="2024-10-21T00:00:00"/>
        <d v="2023-06-21T00:00:00"/>
        <d v="2023-01-28T00:00:00"/>
        <d v="2023-04-12T00:00:00"/>
        <d v="2023-02-06T00:00:00"/>
        <d v="2023-05-18T00:00:00"/>
        <d v="2024-01-28T00:00:00"/>
        <d v="2024-08-04T00:00:00"/>
        <d v="2025-04-23T00:00:00"/>
        <d v="2024-12-26T00:00:00"/>
        <d v="2024-06-14T00:00:00"/>
        <d v="2023-04-13T00:00:00"/>
        <d v="2023-10-09T00:00:00"/>
        <d v="2024-04-23T00:00:00"/>
        <d v="2025-05-06T00:00:00"/>
        <d v="2023-07-19T00:00:00"/>
        <d v="2023-09-05T00:00:00"/>
        <d v="2024-09-29T00:00:00"/>
        <d v="2024-07-17T00:00:00"/>
        <d v="2023-01-27T00:00:00"/>
        <d v="2024-08-31T00:00:00"/>
        <d v="2025-02-25T00:00:00"/>
        <d v="2024-02-28T00:00:00"/>
        <d v="2024-01-06T00:00:00"/>
        <d v="2025-06-04T00:00:00"/>
        <d v="2024-08-16T00:00:00"/>
        <d v="2025-02-27T00:00:00"/>
        <d v="2023-10-04T00:00:00"/>
        <d v="2023-05-21T00:00:00"/>
        <d v="2024-06-15T00:00:00"/>
        <d v="2023-09-13T00:00:00"/>
        <d v="2025-05-12T00:00:00"/>
        <d v="2023-06-26T00:00:00"/>
        <d v="2024-07-21T00:00:00"/>
        <d v="2023-10-21T00:00:00"/>
        <d v="2025-03-03T00:00:00"/>
        <d v="2024-03-01T00:00:00"/>
        <d v="2024-07-23T00:00:00"/>
        <d v="2025-04-22T00:00:00"/>
        <d v="2025-04-02T00:00:00"/>
        <d v="2023-08-06T00:00:00"/>
        <d v="2023-03-06T00:00:00"/>
        <d v="2023-03-11T00:00:00"/>
        <d v="2025-06-01T00:00:00"/>
        <d v="2023-09-18T00:00:00"/>
        <d v="2023-02-23T00:00:00"/>
        <d v="2025-06-12T00:00:00"/>
        <d v="2024-10-26T00:00:00"/>
        <d v="2023-07-07T00:00:00"/>
        <d v="2024-06-07T00:00:00"/>
        <d v="2025-06-28T00:00:00"/>
        <d v="2024-07-05T00:00:00"/>
        <d v="2024-02-26T00:00:00"/>
        <d v="2023-05-23T00:00:00"/>
        <d v="2024-06-17T00:00:00"/>
        <d v="2025-02-04T00:00:00"/>
        <d v="2025-05-29T00:00:00"/>
        <d v="2025-04-14T00:00:00"/>
        <d v="2025-01-19T00:00:00"/>
        <d v="2024-05-28T00:00:00"/>
        <d v="2023-02-11T00:00:00"/>
        <d v="2025-05-26T00:00:00"/>
        <d v="2024-05-18T00:00:00"/>
        <d v="2023-08-30T00:00:00"/>
        <d v="2024-07-22T00:00:00"/>
        <d v="2024-08-08T00:00:00"/>
        <d v="2024-02-17T00:00:00"/>
        <d v="2024-03-02T00:00:00"/>
        <d v="2023-06-20T00:00:00"/>
        <d v="2024-01-15T00:00:00"/>
        <d v="2024-01-14T00:00:00"/>
        <d v="2023-07-13T00:00:00"/>
        <d v="2024-12-08T00:00:00"/>
        <d v="2023-04-20T00:00:00"/>
        <d v="2024-04-02T00:00:00"/>
        <d v="2024-01-13T00:00:00"/>
        <d v="2024-06-18T00:00:00"/>
        <d v="2024-10-12T00:00:00"/>
        <d v="2024-09-05T00:00:00"/>
        <d v="2023-05-11T00:00:00"/>
        <d v="2025-06-21T00:00:00"/>
        <d v="2023-11-11T00:00:00"/>
        <d v="2024-10-27T00:00:00"/>
        <d v="2023-03-24T00:00:00"/>
        <d v="2025-04-13T00:00:00"/>
        <d v="2025-06-29T00:00:00"/>
        <d v="2025-06-09T00:00:00"/>
        <d v="2025-03-09T00:00:00"/>
        <d v="2024-11-10T00:00:00"/>
        <d v="2024-10-06T00:00:00"/>
        <d v="2025-05-23T00:00:00"/>
        <d v="2024-06-11T00:00:00"/>
        <d v="2024-08-20T00:00:00"/>
        <d v="2024-07-30T00:00:00"/>
        <d v="2023-01-03T00:00:00"/>
        <d v="2023-01-31T00:00:00"/>
        <d v="2024-08-24T00:00:00"/>
        <d v="2023-08-02T00:00:00"/>
        <d v="2025-02-17T00:00:00"/>
        <d v="2023-02-07T00:00:00"/>
        <d v="2023-11-17T00:00:00"/>
        <d v="2024-09-09T00:00:00"/>
        <d v="2023-05-20T00:00:00"/>
        <d v="2024-11-16T00:00:00"/>
        <d v="2024-10-04T00:00:00"/>
        <d v="2023-07-21T00:00:00"/>
        <d v="2023-04-08T00:00:00"/>
        <d v="2025-03-31T00:00:00"/>
        <d v="2024-02-01T00:00:00"/>
        <d v="2023-06-04T00:00:00"/>
        <d v="2023-07-05T00:00:00"/>
        <d v="2024-09-03T00:00:00"/>
        <d v="2024-11-27T00:00:00"/>
        <d v="2025-06-16T00:00:00"/>
        <d v="2025-05-19T00:00:00"/>
        <d v="2023-05-30T00:00:00"/>
        <d v="2024-11-25T00:00:00"/>
        <d v="2023-01-20T00:00:00"/>
        <d v="2024-11-11T00:00:00"/>
        <d v="2024-08-19T00:00:00"/>
        <d v="2024-03-21T00:00:00"/>
        <d v="2024-05-29T00:00:00"/>
        <d v="2023-12-08T00:00:00"/>
        <d v="2024-01-27T00:00:00"/>
        <d v="2024-08-05T00:00:00"/>
        <d v="2023-08-08T00:00:00"/>
        <d v="2024-10-29T00:00:00"/>
        <d v="2025-04-06T00:00:00"/>
        <d v="2024-08-11T00:00:00"/>
        <d v="2024-09-13T00:00:00"/>
        <d v="2024-02-14T00:00:00"/>
        <d v="2023-06-03T00:00:00"/>
        <d v="2025-03-17T00:00:00"/>
        <d v="2025-06-11T00:00:00"/>
        <d v="2025-01-09T00:00:00"/>
        <d v="2023-03-15T00:00:00"/>
        <d v="2024-10-01T00:00:00"/>
        <d v="2024-10-30T00:00:00"/>
        <d v="2023-07-29T00:00:00"/>
        <d v="2025-05-13T00:00:00"/>
        <d v="2023-09-11T00:00:00"/>
        <d v="2023-03-30T00:00:00"/>
        <d v="2024-07-14T00:00:00"/>
        <d v="2024-11-18T00:00:00"/>
        <d v="2023-06-07T00:00:00"/>
        <d v="2024-05-10T00:00:00"/>
        <d v="2025-06-08T00:00:00"/>
        <d v="2023-11-20T00:00:00"/>
        <d v="2024-05-13T00:00:00"/>
        <d v="2024-06-12T00:00:00"/>
        <d v="2024-08-22T00:00:00"/>
        <d v="2025-06-02T00:00:00"/>
        <d v="2024-06-01T00:00:00"/>
        <d v="2024-07-03T00:00:00"/>
        <d v="2024-04-14T00:00:00"/>
        <d v="2024-12-15T00:00:00"/>
        <d v="2025-01-11T00:00:00"/>
        <d v="2023-01-12T00:00:00"/>
        <d v="2024-01-01T00:00:00"/>
        <d v="2023-02-28T00:00:00"/>
        <d v="2024-10-31T00:00:00"/>
        <d v="2024-12-04T00:00:00"/>
        <d v="2025-03-28T00:00:00"/>
        <d v="2023-03-25T00:00:00"/>
        <d v="2023-08-23T00:00:00"/>
        <d v="2023-02-15T00:00:00"/>
        <d v="2023-03-08T00:00:00"/>
        <d v="2024-01-09T00:00:00"/>
        <d v="2023-03-26T00:00:00"/>
        <d v="2023-04-05T00:00:00"/>
        <d v="2023-08-03T00:00:00"/>
        <d v="2023-12-24T00:00:00"/>
        <d v="2023-10-27T00:00:00"/>
        <d v="2024-08-13T00:00:00"/>
        <d v="2024-06-27T00:00:00"/>
        <d v="2024-01-11T00:00:00"/>
        <d v="2025-01-15T00:00:00"/>
        <d v="2024-11-22T00:00:00"/>
        <d v="2025-06-20T00:00:00"/>
        <d v="2024-09-15T00:00:00"/>
        <d v="2023-01-09T00:00:00"/>
        <d v="2025-04-28T00:00:00"/>
        <d v="2024-02-07T00:00:00"/>
        <d v="2025-04-25T00:00:00"/>
        <d v="2024-04-26T00:00:00"/>
        <d v="2023-02-09T00:00:00"/>
        <d v="2025-04-26T00:00:00"/>
        <d v="2023-01-14T00:00:00"/>
        <d v="2023-08-17T00:00:00"/>
        <d v="2023-11-26T00:00:00"/>
        <d v="2024-02-18T00:00:00"/>
        <d v="2025-05-28T00:00:00"/>
        <d v="2024-11-14T00:00:00"/>
        <d v="2023-01-26T00:00:00"/>
        <d v="2024-08-30T00:00:00"/>
        <d v="2025-02-18T00:00:00"/>
        <d v="2023-05-31T00:00:00"/>
        <d v="2023-10-17T00:00:00"/>
        <d v="2024-09-02T00:00:00"/>
        <d v="2023-03-23T00:00:00"/>
        <d v="2023-11-06T00:00:00"/>
        <d v="2023-12-01T00:00:00"/>
        <d v="2023-03-03T00:00:00"/>
        <d v="2025-01-22T00:00:00"/>
      </sharedItems>
      <fieldGroup par="12"/>
    </cacheField>
    <cacheField name="DueDate" numFmtId="164">
      <sharedItems containsSemiMixedTypes="0" containsNonDate="0" containsDate="1" containsString="0" minDate="2023-02-15T00:00:00" maxDate="2025-08-14T00:00:00"/>
    </cacheField>
    <cacheField name="Amount" numFmtId="2">
      <sharedItems containsSemiMixedTypes="0" containsString="0" containsNumber="1" minValue="200.4" maxValue="7996.24"/>
    </cacheField>
    <cacheField name="Currency" numFmtId="0">
      <sharedItems/>
    </cacheField>
    <cacheField name="Status" numFmtId="0">
      <sharedItems/>
    </cacheField>
    <cacheField name="ReceivedDate" numFmtId="0">
      <sharedItems containsNonDate="0" containsDate="1" containsString="0" containsBlank="1" minDate="2023-02-16T00:00:00" maxDate="2025-08-06T00:00:00"/>
    </cacheField>
    <cacheField name="Terms" numFmtId="0">
      <sharedItems/>
    </cacheField>
    <cacheField name="Column1" numFmtId="0">
      <sharedItems/>
    </cacheField>
    <cacheField name="Months (InvoiceDate)" numFmtId="0" databaseField="0">
      <fieldGroup base="2">
        <rangePr groupBy="months" startDate="2023-01-01T00:00:00" endDate="2025-06-30T00:00:00"/>
        <groupItems count="14">
          <s v="&lt;01-01-2023"/>
          <s v="Jan"/>
          <s v="Feb"/>
          <s v="Mar"/>
          <s v="Apr"/>
          <s v="May"/>
          <s v="Jun"/>
          <s v="Jul"/>
          <s v="Aug"/>
          <s v="Sep"/>
          <s v="Oct"/>
          <s v="Nov"/>
          <s v="Dec"/>
          <s v="&gt;30-06-2025"/>
        </groupItems>
      </fieldGroup>
    </cacheField>
    <cacheField name="Quarters (InvoiceDate)" numFmtId="0" databaseField="0">
      <fieldGroup base="2">
        <rangePr groupBy="quarters" startDate="2023-01-01T00:00:00" endDate="2025-06-30T00:00:00"/>
        <groupItems count="6">
          <s v="&lt;01-01-2023"/>
          <s v="Qtr1"/>
          <s v="Qtr2"/>
          <s v="Qtr3"/>
          <s v="Qtr4"/>
          <s v="&gt;30-06-2025"/>
        </groupItems>
      </fieldGroup>
    </cacheField>
    <cacheField name="Years (InvoiceDate)" numFmtId="0" databaseField="0">
      <fieldGroup base="2">
        <rangePr groupBy="years" startDate="2023-01-01T00:00:00" endDate="2025-06-30T00:00:00"/>
        <groupItems count="5">
          <s v="&lt;01-01-2023"/>
          <s v="2023"/>
          <s v="2024"/>
          <s v="2025"/>
          <s v="&gt;30-06-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AP10000"/>
    <x v="0"/>
    <x v="0"/>
    <d v="2025-01-15T00:00:00"/>
    <n v="344.25"/>
    <s v="EUR"/>
    <x v="0"/>
    <m/>
    <s v="Net 30"/>
    <s v="Unpaid"/>
    <x v="0"/>
  </r>
  <r>
    <s v="AP10001"/>
    <x v="0"/>
    <x v="1"/>
    <d v="2024-06-17T00:00:00"/>
    <n v="3298.38"/>
    <s v="CAD"/>
    <x v="1"/>
    <m/>
    <s v="Net 30"/>
    <s v="Unpaid"/>
    <x v="0"/>
  </r>
  <r>
    <s v="AP10002"/>
    <x v="1"/>
    <x v="2"/>
    <d v="2024-03-26T00:00:00"/>
    <n v="1023.43"/>
    <s v="GBP"/>
    <x v="0"/>
    <m/>
    <s v="Net 30"/>
    <s v="Unpaid"/>
    <x v="0"/>
  </r>
  <r>
    <s v="AP10003"/>
    <x v="2"/>
    <x v="3"/>
    <d v="2024-02-07T00:00:00"/>
    <n v="4433.05"/>
    <s v="USD"/>
    <x v="1"/>
    <m/>
    <s v="Net 30"/>
    <s v="Unpaid"/>
    <x v="0"/>
  </r>
  <r>
    <s v="AP10004"/>
    <x v="2"/>
    <x v="4"/>
    <d v="2024-06-22T00:00:00"/>
    <n v="4345.1400000000003"/>
    <s v="GBP"/>
    <x v="1"/>
    <m/>
    <s v="Net 30"/>
    <s v="Unpaid"/>
    <x v="0"/>
  </r>
  <r>
    <s v="AP10005"/>
    <x v="1"/>
    <x v="5"/>
    <d v="2024-08-08T00:00:00"/>
    <n v="1599.18"/>
    <s v="AUD"/>
    <x v="0"/>
    <m/>
    <s v="Net 30"/>
    <s v="Unpaid"/>
    <x v="0"/>
  </r>
  <r>
    <s v="AP10006"/>
    <x v="0"/>
    <x v="6"/>
    <d v="2025-01-19T00:00:00"/>
    <n v="894.13"/>
    <s v="USD"/>
    <x v="0"/>
    <m/>
    <s v="Net 30"/>
    <s v="Unpaid"/>
    <x v="0"/>
  </r>
  <r>
    <s v="AP10007"/>
    <x v="1"/>
    <x v="7"/>
    <d v="2024-10-25T00:00:00"/>
    <n v="1303.06"/>
    <s v="GBP"/>
    <x v="2"/>
    <d v="2024-10-25T00:00:00"/>
    <s v="Net 30"/>
    <s v="On Time"/>
    <x v="1"/>
  </r>
  <r>
    <s v="AP10008"/>
    <x v="2"/>
    <x v="8"/>
    <d v="2024-03-13T00:00:00"/>
    <n v="3481.8"/>
    <s v="CAD"/>
    <x v="2"/>
    <d v="2024-03-13T00:00:00"/>
    <s v="Net 30"/>
    <s v="On Time"/>
    <x v="1"/>
  </r>
  <r>
    <s v="AP10009"/>
    <x v="2"/>
    <x v="9"/>
    <d v="2024-07-27T00:00:00"/>
    <n v="217.97"/>
    <s v="USD"/>
    <x v="0"/>
    <m/>
    <s v="Net 30"/>
    <s v="Unpaid"/>
    <x v="0"/>
  </r>
  <r>
    <s v="AP10010"/>
    <x v="0"/>
    <x v="10"/>
    <d v="2024-04-08T00:00:00"/>
    <n v="1809.07"/>
    <s v="EUR"/>
    <x v="1"/>
    <m/>
    <s v="Net 30"/>
    <s v="Unpaid"/>
    <x v="0"/>
  </r>
  <r>
    <s v="AP10011"/>
    <x v="0"/>
    <x v="11"/>
    <d v="2024-11-09T00:00:00"/>
    <n v="884.1"/>
    <s v="USD"/>
    <x v="0"/>
    <m/>
    <s v="Net 30"/>
    <s v="Unpaid"/>
    <x v="0"/>
  </r>
  <r>
    <s v="AP10012"/>
    <x v="2"/>
    <x v="12"/>
    <d v="2023-06-18T00:00:00"/>
    <n v="1491.7"/>
    <s v="GBP"/>
    <x v="0"/>
    <m/>
    <s v="Net 30"/>
    <s v="Unpaid"/>
    <x v="0"/>
  </r>
  <r>
    <s v="AP10013"/>
    <x v="2"/>
    <x v="13"/>
    <d v="2023-12-19T00:00:00"/>
    <n v="4212.17"/>
    <s v="AUD"/>
    <x v="2"/>
    <d v="2023-12-19T00:00:00"/>
    <s v="Net 30"/>
    <s v="On Time"/>
    <x v="1"/>
  </r>
  <r>
    <s v="AP10014"/>
    <x v="0"/>
    <x v="14"/>
    <d v="2024-06-04T00:00:00"/>
    <n v="1632.82"/>
    <s v="GBP"/>
    <x v="0"/>
    <m/>
    <s v="Net 30"/>
    <s v="Unpaid"/>
    <x v="0"/>
  </r>
  <r>
    <s v="AP10015"/>
    <x v="0"/>
    <x v="15"/>
    <d v="2023-07-04T00:00:00"/>
    <n v="1887.67"/>
    <s v="EUR"/>
    <x v="2"/>
    <d v="2023-07-04T00:00:00"/>
    <s v="Net 30"/>
    <s v="On Time"/>
    <x v="1"/>
  </r>
  <r>
    <s v="AP10016"/>
    <x v="0"/>
    <x v="16"/>
    <d v="2024-01-09T00:00:00"/>
    <n v="1721.41"/>
    <s v="GBP"/>
    <x v="0"/>
    <m/>
    <s v="Net 30"/>
    <s v="Unpaid"/>
    <x v="0"/>
  </r>
  <r>
    <s v="AP10017"/>
    <x v="3"/>
    <x v="17"/>
    <d v="2025-01-29T00:00:00"/>
    <n v="2941.63"/>
    <s v="USD"/>
    <x v="0"/>
    <m/>
    <s v="Net 30"/>
    <s v="Unpaid"/>
    <x v="0"/>
  </r>
  <r>
    <s v="AP10018"/>
    <x v="1"/>
    <x v="9"/>
    <d v="2024-07-27T00:00:00"/>
    <n v="889.44"/>
    <s v="USD"/>
    <x v="2"/>
    <d v="2024-07-27T00:00:00"/>
    <s v="Net 30"/>
    <s v="On Time"/>
    <x v="1"/>
  </r>
  <r>
    <s v="AP10019"/>
    <x v="1"/>
    <x v="18"/>
    <d v="2025-04-27T00:00:00"/>
    <n v="1539.53"/>
    <s v="AUD"/>
    <x v="1"/>
    <m/>
    <s v="Net 30"/>
    <s v="Unpaid"/>
    <x v="0"/>
  </r>
  <r>
    <s v="AP10020"/>
    <x v="4"/>
    <x v="19"/>
    <d v="2023-08-13T00:00:00"/>
    <n v="996.27"/>
    <s v="AUD"/>
    <x v="0"/>
    <m/>
    <s v="Net 30"/>
    <s v="Unpaid"/>
    <x v="0"/>
  </r>
  <r>
    <s v="AP10021"/>
    <x v="4"/>
    <x v="20"/>
    <d v="2023-07-28T00:00:00"/>
    <n v="2450.1"/>
    <s v="CAD"/>
    <x v="1"/>
    <m/>
    <s v="Net 30"/>
    <s v="Unpaid"/>
    <x v="0"/>
  </r>
  <r>
    <s v="AP10022"/>
    <x v="3"/>
    <x v="21"/>
    <d v="2025-01-26T00:00:00"/>
    <n v="797.8"/>
    <s v="CAD"/>
    <x v="0"/>
    <m/>
    <s v="Net 30"/>
    <s v="Unpaid"/>
    <x v="0"/>
  </r>
  <r>
    <s v="AP10023"/>
    <x v="0"/>
    <x v="22"/>
    <d v="2023-06-15T00:00:00"/>
    <n v="4237.6499999999996"/>
    <s v="GBP"/>
    <x v="1"/>
    <m/>
    <s v="Net 30"/>
    <s v="Unpaid"/>
    <x v="0"/>
  </r>
  <r>
    <s v="AP10024"/>
    <x v="3"/>
    <x v="23"/>
    <d v="2023-10-30T00:00:00"/>
    <n v="665.06"/>
    <s v="AUD"/>
    <x v="0"/>
    <m/>
    <s v="Net 30"/>
    <s v="Unpaid"/>
    <x v="0"/>
  </r>
  <r>
    <s v="AP10025"/>
    <x v="3"/>
    <x v="24"/>
    <d v="2025-01-13T00:00:00"/>
    <n v="3849.16"/>
    <s v="GBP"/>
    <x v="1"/>
    <m/>
    <s v="Net 30"/>
    <s v="Unpaid"/>
    <x v="0"/>
  </r>
  <r>
    <s v="AP10026"/>
    <x v="0"/>
    <x v="25"/>
    <d v="2023-08-16T00:00:00"/>
    <n v="4411.88"/>
    <s v="CAD"/>
    <x v="2"/>
    <d v="2023-08-16T00:00:00"/>
    <s v="Net 30"/>
    <s v="On Time"/>
    <x v="1"/>
  </r>
  <r>
    <s v="AP10027"/>
    <x v="1"/>
    <x v="26"/>
    <d v="2024-04-24T00:00:00"/>
    <n v="296.64999999999998"/>
    <s v="USD"/>
    <x v="2"/>
    <d v="2024-04-24T00:00:00"/>
    <s v="Net 30"/>
    <s v="On Time"/>
    <x v="1"/>
  </r>
  <r>
    <s v="AP10028"/>
    <x v="4"/>
    <x v="27"/>
    <d v="2024-11-27T00:00:00"/>
    <n v="3099.8"/>
    <s v="GBP"/>
    <x v="0"/>
    <m/>
    <s v="Net 30"/>
    <s v="Unpaid"/>
    <x v="0"/>
  </r>
  <r>
    <s v="AP10029"/>
    <x v="3"/>
    <x v="28"/>
    <d v="2023-04-05T00:00:00"/>
    <n v="4007.29"/>
    <s v="CAD"/>
    <x v="0"/>
    <m/>
    <s v="Net 30"/>
    <s v="Unpaid"/>
    <x v="0"/>
  </r>
  <r>
    <s v="AP10030"/>
    <x v="1"/>
    <x v="29"/>
    <d v="2024-03-14T00:00:00"/>
    <n v="2884.32"/>
    <s v="CAD"/>
    <x v="1"/>
    <m/>
    <s v="Net 30"/>
    <s v="Unpaid"/>
    <x v="0"/>
  </r>
  <r>
    <s v="AP10031"/>
    <x v="1"/>
    <x v="30"/>
    <d v="2023-04-14T00:00:00"/>
    <n v="4830.24"/>
    <s v="EUR"/>
    <x v="2"/>
    <d v="2023-04-14T00:00:00"/>
    <s v="Net 30"/>
    <s v="On Time"/>
    <x v="1"/>
  </r>
  <r>
    <s v="AP10032"/>
    <x v="3"/>
    <x v="31"/>
    <d v="2023-11-10T00:00:00"/>
    <n v="4841.22"/>
    <s v="USD"/>
    <x v="2"/>
    <d v="2023-11-10T00:00:00"/>
    <s v="Net 30"/>
    <s v="On Time"/>
    <x v="1"/>
  </r>
  <r>
    <s v="AP10033"/>
    <x v="2"/>
    <x v="32"/>
    <d v="2024-12-02T00:00:00"/>
    <n v="3601.17"/>
    <s v="AUD"/>
    <x v="0"/>
    <m/>
    <s v="Net 30"/>
    <s v="Unpaid"/>
    <x v="0"/>
  </r>
  <r>
    <s v="AP10034"/>
    <x v="1"/>
    <x v="33"/>
    <d v="2025-02-10T00:00:00"/>
    <n v="3913.65"/>
    <s v="GBP"/>
    <x v="2"/>
    <d v="2025-02-10T00:00:00"/>
    <s v="Net 30"/>
    <s v="On Time"/>
    <x v="1"/>
  </r>
  <r>
    <s v="AP10035"/>
    <x v="2"/>
    <x v="34"/>
    <d v="2023-05-09T00:00:00"/>
    <n v="1117.52"/>
    <s v="CAD"/>
    <x v="0"/>
    <m/>
    <s v="Net 30"/>
    <s v="Unpaid"/>
    <x v="0"/>
  </r>
  <r>
    <s v="AP10036"/>
    <x v="0"/>
    <x v="35"/>
    <d v="2023-08-20T00:00:00"/>
    <n v="4178.2"/>
    <s v="CAD"/>
    <x v="1"/>
    <m/>
    <s v="Net 30"/>
    <s v="Unpaid"/>
    <x v="0"/>
  </r>
  <r>
    <s v="AP10037"/>
    <x v="3"/>
    <x v="36"/>
    <d v="2024-08-30T00:00:00"/>
    <n v="504.02"/>
    <s v="USD"/>
    <x v="1"/>
    <m/>
    <s v="Net 30"/>
    <s v="Unpaid"/>
    <x v="0"/>
  </r>
  <r>
    <s v="AP10038"/>
    <x v="0"/>
    <x v="37"/>
    <d v="2023-02-07T00:00:00"/>
    <n v="3156.05"/>
    <s v="GBP"/>
    <x v="0"/>
    <m/>
    <s v="Net 30"/>
    <s v="Unpaid"/>
    <x v="0"/>
  </r>
  <r>
    <s v="AP10039"/>
    <x v="3"/>
    <x v="38"/>
    <d v="2023-07-31T00:00:00"/>
    <n v="3284.77"/>
    <s v="EUR"/>
    <x v="1"/>
    <m/>
    <s v="Net 30"/>
    <s v="Unpaid"/>
    <x v="0"/>
  </r>
  <r>
    <s v="AP10040"/>
    <x v="3"/>
    <x v="39"/>
    <d v="2025-06-23T00:00:00"/>
    <n v="4519.76"/>
    <s v="USD"/>
    <x v="0"/>
    <m/>
    <s v="Net 30"/>
    <s v="Unpaid"/>
    <x v="0"/>
  </r>
  <r>
    <s v="AP10041"/>
    <x v="0"/>
    <x v="40"/>
    <d v="2024-02-21T00:00:00"/>
    <n v="4094.28"/>
    <s v="EUR"/>
    <x v="1"/>
    <m/>
    <s v="Net 30"/>
    <s v="Unpaid"/>
    <x v="0"/>
  </r>
  <r>
    <s v="AP10042"/>
    <x v="0"/>
    <x v="41"/>
    <d v="2023-03-12T00:00:00"/>
    <n v="3097.79"/>
    <s v="EUR"/>
    <x v="2"/>
    <d v="2023-03-12T00:00:00"/>
    <s v="Net 30"/>
    <s v="On Time"/>
    <x v="1"/>
  </r>
  <r>
    <s v="AP10043"/>
    <x v="1"/>
    <x v="42"/>
    <d v="2025-07-01T00:00:00"/>
    <n v="1415.24"/>
    <s v="AUD"/>
    <x v="1"/>
    <m/>
    <s v="Net 30"/>
    <s v="Unpaid"/>
    <x v="0"/>
  </r>
  <r>
    <s v="AP10044"/>
    <x v="0"/>
    <x v="43"/>
    <d v="2023-07-25T00:00:00"/>
    <n v="3224.33"/>
    <s v="GBP"/>
    <x v="1"/>
    <m/>
    <s v="Net 30"/>
    <s v="Unpaid"/>
    <x v="0"/>
  </r>
  <r>
    <s v="AP10045"/>
    <x v="4"/>
    <x v="44"/>
    <d v="2023-07-26T00:00:00"/>
    <n v="1164.49"/>
    <s v="USD"/>
    <x v="1"/>
    <m/>
    <s v="Net 30"/>
    <s v="Unpaid"/>
    <x v="0"/>
  </r>
  <r>
    <s v="AP10046"/>
    <x v="4"/>
    <x v="33"/>
    <d v="2025-02-10T00:00:00"/>
    <n v="2557.61"/>
    <s v="USD"/>
    <x v="2"/>
    <d v="2025-02-10T00:00:00"/>
    <s v="Net 30"/>
    <s v="On Time"/>
    <x v="1"/>
  </r>
  <r>
    <s v="AP10047"/>
    <x v="0"/>
    <x v="45"/>
    <d v="2025-02-24T00:00:00"/>
    <n v="393.4"/>
    <s v="GBP"/>
    <x v="0"/>
    <m/>
    <s v="Net 30"/>
    <s v="Unpaid"/>
    <x v="0"/>
  </r>
  <r>
    <s v="AP10048"/>
    <x v="3"/>
    <x v="46"/>
    <d v="2025-04-16T00:00:00"/>
    <n v="2307.0500000000002"/>
    <s v="CAD"/>
    <x v="2"/>
    <d v="2025-04-16T00:00:00"/>
    <s v="Net 30"/>
    <s v="On Time"/>
    <x v="1"/>
  </r>
  <r>
    <s v="AP10049"/>
    <x v="0"/>
    <x v="47"/>
    <d v="2023-10-28T00:00:00"/>
    <n v="728.35"/>
    <s v="GBP"/>
    <x v="2"/>
    <d v="2023-10-28T00:00:00"/>
    <s v="Net 30"/>
    <s v="On Time"/>
    <x v="1"/>
  </r>
  <r>
    <s v="AP10050"/>
    <x v="1"/>
    <x v="39"/>
    <d v="2025-06-23T00:00:00"/>
    <n v="3580.44"/>
    <s v="GBP"/>
    <x v="0"/>
    <m/>
    <s v="Net 30"/>
    <s v="Unpaid"/>
    <x v="0"/>
  </r>
  <r>
    <s v="AP10051"/>
    <x v="0"/>
    <x v="48"/>
    <d v="2024-04-30T00:00:00"/>
    <n v="1527.67"/>
    <s v="AUD"/>
    <x v="2"/>
    <d v="2024-04-30T00:00:00"/>
    <s v="Net 30"/>
    <s v="On Time"/>
    <x v="1"/>
  </r>
  <r>
    <s v="AP10052"/>
    <x v="0"/>
    <x v="49"/>
    <d v="2023-05-23T00:00:00"/>
    <n v="3014.35"/>
    <s v="CAD"/>
    <x v="2"/>
    <d v="2023-05-23T00:00:00"/>
    <s v="Net 30"/>
    <s v="On Time"/>
    <x v="1"/>
  </r>
  <r>
    <s v="AP10053"/>
    <x v="2"/>
    <x v="50"/>
    <d v="2023-09-23T00:00:00"/>
    <n v="3099.88"/>
    <s v="CAD"/>
    <x v="1"/>
    <m/>
    <s v="Net 30"/>
    <s v="Unpaid"/>
    <x v="0"/>
  </r>
  <r>
    <s v="AP10054"/>
    <x v="0"/>
    <x v="51"/>
    <d v="2023-06-08T00:00:00"/>
    <n v="1484.54"/>
    <s v="AUD"/>
    <x v="1"/>
    <m/>
    <s v="Net 30"/>
    <s v="Unpaid"/>
    <x v="0"/>
  </r>
  <r>
    <s v="AP10055"/>
    <x v="4"/>
    <x v="52"/>
    <d v="2024-01-18T00:00:00"/>
    <n v="2922.4"/>
    <s v="AUD"/>
    <x v="1"/>
    <m/>
    <s v="Net 30"/>
    <s v="Unpaid"/>
    <x v="0"/>
  </r>
  <r>
    <s v="AP10056"/>
    <x v="3"/>
    <x v="53"/>
    <d v="2023-12-08T00:00:00"/>
    <n v="422.98"/>
    <s v="USD"/>
    <x v="2"/>
    <d v="2023-12-08T00:00:00"/>
    <s v="Net 30"/>
    <s v="On Time"/>
    <x v="1"/>
  </r>
  <r>
    <s v="AP10057"/>
    <x v="0"/>
    <x v="54"/>
    <d v="2023-02-02T00:00:00"/>
    <n v="2784.23"/>
    <s v="USD"/>
    <x v="1"/>
    <m/>
    <s v="Net 30"/>
    <s v="Unpaid"/>
    <x v="0"/>
  </r>
  <r>
    <s v="AP10058"/>
    <x v="4"/>
    <x v="55"/>
    <d v="2024-07-19T00:00:00"/>
    <n v="2946.12"/>
    <s v="CAD"/>
    <x v="0"/>
    <m/>
    <s v="Net 30"/>
    <s v="Unpaid"/>
    <x v="0"/>
  </r>
  <r>
    <s v="AP10059"/>
    <x v="0"/>
    <x v="56"/>
    <d v="2025-04-08T00:00:00"/>
    <n v="578.58000000000004"/>
    <s v="GBP"/>
    <x v="1"/>
    <m/>
    <s v="Net 30"/>
    <s v="Unpaid"/>
    <x v="0"/>
  </r>
  <r>
    <s v="AP10060"/>
    <x v="0"/>
    <x v="57"/>
    <d v="2024-06-27T00:00:00"/>
    <n v="3849.56"/>
    <s v="GBP"/>
    <x v="2"/>
    <d v="2024-06-27T00:00:00"/>
    <s v="Net 30"/>
    <s v="On Time"/>
    <x v="1"/>
  </r>
  <r>
    <s v="AP10061"/>
    <x v="0"/>
    <x v="58"/>
    <d v="2024-05-26T00:00:00"/>
    <n v="2055.5300000000002"/>
    <s v="CAD"/>
    <x v="1"/>
    <m/>
    <s v="Net 30"/>
    <s v="Unpaid"/>
    <x v="0"/>
  </r>
  <r>
    <s v="AP10062"/>
    <x v="2"/>
    <x v="59"/>
    <d v="2023-03-26T00:00:00"/>
    <n v="2185.3200000000002"/>
    <s v="AUD"/>
    <x v="2"/>
    <d v="2023-03-26T00:00:00"/>
    <s v="Net 30"/>
    <s v="On Time"/>
    <x v="1"/>
  </r>
  <r>
    <s v="AP10063"/>
    <x v="0"/>
    <x v="60"/>
    <d v="2025-03-17T00:00:00"/>
    <n v="3382.98"/>
    <s v="GBP"/>
    <x v="2"/>
    <d v="2025-03-17T00:00:00"/>
    <s v="Net 30"/>
    <s v="On Time"/>
    <x v="1"/>
  </r>
  <r>
    <s v="AP10064"/>
    <x v="1"/>
    <x v="61"/>
    <d v="2024-05-22T00:00:00"/>
    <n v="3571.55"/>
    <s v="GBP"/>
    <x v="1"/>
    <m/>
    <s v="Net 30"/>
    <s v="Unpaid"/>
    <x v="0"/>
  </r>
  <r>
    <s v="AP10065"/>
    <x v="2"/>
    <x v="62"/>
    <d v="2025-05-15T00:00:00"/>
    <n v="2137.4499999999998"/>
    <s v="USD"/>
    <x v="0"/>
    <m/>
    <s v="Net 30"/>
    <s v="Unpaid"/>
    <x v="0"/>
  </r>
  <r>
    <s v="AP10066"/>
    <x v="4"/>
    <x v="63"/>
    <d v="2025-03-11T00:00:00"/>
    <n v="3793.28"/>
    <s v="USD"/>
    <x v="2"/>
    <d v="2025-03-11T00:00:00"/>
    <s v="Net 30"/>
    <s v="On Time"/>
    <x v="1"/>
  </r>
  <r>
    <s v="AP10067"/>
    <x v="0"/>
    <x v="64"/>
    <d v="2025-02-02T00:00:00"/>
    <n v="2973.27"/>
    <s v="CAD"/>
    <x v="2"/>
    <d v="2025-02-02T00:00:00"/>
    <s v="Net 30"/>
    <s v="On Time"/>
    <x v="1"/>
  </r>
  <r>
    <s v="AP10068"/>
    <x v="0"/>
    <x v="65"/>
    <d v="2024-08-23T00:00:00"/>
    <n v="4968.32"/>
    <s v="USD"/>
    <x v="0"/>
    <m/>
    <s v="Net 30"/>
    <s v="Unpaid"/>
    <x v="0"/>
  </r>
  <r>
    <s v="AP10069"/>
    <x v="0"/>
    <x v="66"/>
    <d v="2023-03-03T00:00:00"/>
    <n v="4336.91"/>
    <s v="USD"/>
    <x v="0"/>
    <m/>
    <s v="Net 30"/>
    <s v="Unpaid"/>
    <x v="0"/>
  </r>
  <r>
    <s v="AP10070"/>
    <x v="4"/>
    <x v="67"/>
    <d v="2025-01-02T00:00:00"/>
    <n v="2479.9499999999998"/>
    <s v="USD"/>
    <x v="2"/>
    <d v="2025-01-02T00:00:00"/>
    <s v="Net 30"/>
    <s v="On Time"/>
    <x v="1"/>
  </r>
  <r>
    <s v="AP10071"/>
    <x v="4"/>
    <x v="68"/>
    <d v="2025-07-13T00:00:00"/>
    <n v="2498.69"/>
    <s v="USD"/>
    <x v="0"/>
    <m/>
    <s v="Net 30"/>
    <s v="Unpaid"/>
    <x v="0"/>
  </r>
  <r>
    <s v="AP10072"/>
    <x v="1"/>
    <x v="69"/>
    <d v="2024-12-01T00:00:00"/>
    <n v="2106.66"/>
    <s v="CAD"/>
    <x v="2"/>
    <d v="2024-12-01T00:00:00"/>
    <s v="Net 30"/>
    <s v="On Time"/>
    <x v="1"/>
  </r>
  <r>
    <s v="AP10073"/>
    <x v="0"/>
    <x v="70"/>
    <d v="2023-07-15T00:00:00"/>
    <n v="2082.92"/>
    <s v="AUD"/>
    <x v="1"/>
    <m/>
    <s v="Net 30"/>
    <s v="Unpaid"/>
    <x v="0"/>
  </r>
  <r>
    <s v="AP10074"/>
    <x v="2"/>
    <x v="71"/>
    <d v="2023-10-18T00:00:00"/>
    <n v="3536.09"/>
    <s v="USD"/>
    <x v="2"/>
    <d v="2023-10-18T00:00:00"/>
    <s v="Net 30"/>
    <s v="On Time"/>
    <x v="1"/>
  </r>
  <r>
    <s v="AP10075"/>
    <x v="0"/>
    <x v="72"/>
    <d v="2025-02-03T00:00:00"/>
    <n v="3984.82"/>
    <s v="CAD"/>
    <x v="0"/>
    <m/>
    <s v="Net 30"/>
    <s v="Unpaid"/>
    <x v="0"/>
  </r>
  <r>
    <s v="AP10076"/>
    <x v="4"/>
    <x v="73"/>
    <d v="2023-06-21T00:00:00"/>
    <n v="1175.94"/>
    <s v="USD"/>
    <x v="1"/>
    <m/>
    <s v="Net 30"/>
    <s v="Unpaid"/>
    <x v="0"/>
  </r>
  <r>
    <s v="AP10077"/>
    <x v="3"/>
    <x v="74"/>
    <d v="2024-10-21T00:00:00"/>
    <n v="1596.04"/>
    <s v="AUD"/>
    <x v="2"/>
    <d v="2024-10-21T00:00:00"/>
    <s v="Net 30"/>
    <s v="On Time"/>
    <x v="1"/>
  </r>
  <r>
    <s v="AP10078"/>
    <x v="3"/>
    <x v="75"/>
    <d v="2024-05-19T00:00:00"/>
    <n v="1687.52"/>
    <s v="USD"/>
    <x v="2"/>
    <d v="2024-05-19T00:00:00"/>
    <s v="Net 30"/>
    <s v="On Time"/>
    <x v="1"/>
  </r>
  <r>
    <s v="AP10079"/>
    <x v="3"/>
    <x v="76"/>
    <d v="2023-09-22T00:00:00"/>
    <n v="1247.56"/>
    <s v="USD"/>
    <x v="2"/>
    <d v="2023-09-22T00:00:00"/>
    <s v="Net 30"/>
    <s v="On Time"/>
    <x v="1"/>
  </r>
  <r>
    <s v="AP10080"/>
    <x v="2"/>
    <x v="77"/>
    <d v="2025-07-03T00:00:00"/>
    <n v="3330.96"/>
    <s v="AUD"/>
    <x v="1"/>
    <m/>
    <s v="Net 30"/>
    <s v="Unpaid"/>
    <x v="0"/>
  </r>
  <r>
    <s v="AP10081"/>
    <x v="4"/>
    <x v="78"/>
    <d v="2024-10-26T00:00:00"/>
    <n v="1612.59"/>
    <s v="EUR"/>
    <x v="0"/>
    <m/>
    <s v="Net 30"/>
    <s v="Unpaid"/>
    <x v="0"/>
  </r>
  <r>
    <s v="AP10082"/>
    <x v="3"/>
    <x v="79"/>
    <d v="2024-07-15T00:00:00"/>
    <n v="1096.08"/>
    <s v="CAD"/>
    <x v="1"/>
    <m/>
    <s v="Net 30"/>
    <s v="Unpaid"/>
    <x v="0"/>
  </r>
  <r>
    <s v="AP10083"/>
    <x v="2"/>
    <x v="80"/>
    <d v="2024-06-10T00:00:00"/>
    <n v="1927.05"/>
    <s v="USD"/>
    <x v="1"/>
    <m/>
    <s v="Net 30"/>
    <s v="Unpaid"/>
    <x v="0"/>
  </r>
  <r>
    <s v="AP10084"/>
    <x v="2"/>
    <x v="81"/>
    <d v="2023-07-05T00:00:00"/>
    <n v="1169.93"/>
    <s v="USD"/>
    <x v="0"/>
    <m/>
    <s v="Net 30"/>
    <s v="Unpaid"/>
    <x v="0"/>
  </r>
  <r>
    <s v="AP10085"/>
    <x v="4"/>
    <x v="82"/>
    <d v="2025-07-12T00:00:00"/>
    <n v="662.31"/>
    <s v="GBP"/>
    <x v="0"/>
    <m/>
    <s v="Net 30"/>
    <s v="Unpaid"/>
    <x v="0"/>
  </r>
  <r>
    <s v="AP10086"/>
    <x v="4"/>
    <x v="83"/>
    <d v="2023-08-03T00:00:00"/>
    <n v="3443.5"/>
    <s v="CAD"/>
    <x v="2"/>
    <d v="2023-08-03T00:00:00"/>
    <s v="Net 30"/>
    <s v="On Time"/>
    <x v="1"/>
  </r>
  <r>
    <s v="AP10087"/>
    <x v="4"/>
    <x v="84"/>
    <d v="2024-07-13T00:00:00"/>
    <n v="3290.86"/>
    <s v="CAD"/>
    <x v="2"/>
    <d v="2024-07-13T00:00:00"/>
    <s v="Net 30"/>
    <s v="On Time"/>
    <x v="1"/>
  </r>
  <r>
    <s v="AP10088"/>
    <x v="4"/>
    <x v="85"/>
    <d v="2025-04-20T00:00:00"/>
    <n v="1872.61"/>
    <s v="EUR"/>
    <x v="0"/>
    <m/>
    <s v="Net 30"/>
    <s v="Unpaid"/>
    <x v="0"/>
  </r>
  <r>
    <s v="AP10089"/>
    <x v="4"/>
    <x v="86"/>
    <d v="2024-09-15T00:00:00"/>
    <n v="307.49"/>
    <s v="GBP"/>
    <x v="0"/>
    <m/>
    <s v="Net 30"/>
    <s v="Unpaid"/>
    <x v="0"/>
  </r>
  <r>
    <s v="AP10090"/>
    <x v="4"/>
    <x v="87"/>
    <d v="2024-05-21T00:00:00"/>
    <n v="211.08"/>
    <s v="AUD"/>
    <x v="1"/>
    <m/>
    <s v="Net 30"/>
    <s v="Unpaid"/>
    <x v="0"/>
  </r>
  <r>
    <s v="AP10091"/>
    <x v="4"/>
    <x v="88"/>
    <d v="2023-03-11T00:00:00"/>
    <n v="2052.0100000000002"/>
    <s v="EUR"/>
    <x v="0"/>
    <m/>
    <s v="Net 30"/>
    <s v="Unpaid"/>
    <x v="0"/>
  </r>
  <r>
    <s v="AP10092"/>
    <x v="4"/>
    <x v="89"/>
    <d v="2023-06-24T00:00:00"/>
    <n v="4091.87"/>
    <s v="AUD"/>
    <x v="0"/>
    <m/>
    <s v="Net 30"/>
    <s v="Unpaid"/>
    <x v="0"/>
  </r>
  <r>
    <s v="AP10093"/>
    <x v="3"/>
    <x v="90"/>
    <d v="2023-11-27T00:00:00"/>
    <n v="1321.04"/>
    <s v="AUD"/>
    <x v="0"/>
    <m/>
    <s v="Net 30"/>
    <s v="Unpaid"/>
    <x v="0"/>
  </r>
  <r>
    <s v="AP10094"/>
    <x v="0"/>
    <x v="91"/>
    <d v="2023-07-11T00:00:00"/>
    <n v="4205.21"/>
    <s v="AUD"/>
    <x v="2"/>
    <d v="2023-07-11T00:00:00"/>
    <s v="Net 30"/>
    <s v="On Time"/>
    <x v="1"/>
  </r>
  <r>
    <s v="AP10095"/>
    <x v="1"/>
    <x v="92"/>
    <d v="2024-06-13T00:00:00"/>
    <n v="4804.12"/>
    <s v="CAD"/>
    <x v="0"/>
    <m/>
    <s v="Net 30"/>
    <s v="Unpaid"/>
    <x v="0"/>
  </r>
  <r>
    <s v="AP10096"/>
    <x v="1"/>
    <x v="93"/>
    <d v="2024-06-29T00:00:00"/>
    <n v="2179.34"/>
    <s v="USD"/>
    <x v="2"/>
    <d v="2024-06-29T00:00:00"/>
    <s v="Net 30"/>
    <s v="On Time"/>
    <x v="1"/>
  </r>
  <r>
    <s v="AP10097"/>
    <x v="2"/>
    <x v="94"/>
    <d v="2024-03-29T00:00:00"/>
    <n v="2918.59"/>
    <s v="CAD"/>
    <x v="0"/>
    <m/>
    <s v="Net 30"/>
    <s v="Unpaid"/>
    <x v="0"/>
  </r>
  <r>
    <s v="AP10098"/>
    <x v="3"/>
    <x v="95"/>
    <d v="2024-11-02T00:00:00"/>
    <n v="4508.92"/>
    <s v="CAD"/>
    <x v="2"/>
    <d v="2024-11-02T00:00:00"/>
    <s v="Net 30"/>
    <s v="On Time"/>
    <x v="1"/>
  </r>
  <r>
    <s v="AP10099"/>
    <x v="0"/>
    <x v="96"/>
    <d v="2023-08-26T00:00:00"/>
    <n v="3543.69"/>
    <s v="EUR"/>
    <x v="1"/>
    <m/>
    <s v="Net 30"/>
    <s v="Unpaid"/>
    <x v="0"/>
  </r>
  <r>
    <s v="AP10100"/>
    <x v="3"/>
    <x v="97"/>
    <d v="2024-10-19T00:00:00"/>
    <n v="3606.75"/>
    <s v="AUD"/>
    <x v="0"/>
    <m/>
    <s v="Net 30"/>
    <s v="Unpaid"/>
    <x v="0"/>
  </r>
  <r>
    <s v="AP10101"/>
    <x v="3"/>
    <x v="98"/>
    <d v="2025-07-30T00:00:00"/>
    <n v="3518.19"/>
    <s v="USD"/>
    <x v="1"/>
    <m/>
    <s v="Net 30"/>
    <s v="Unpaid"/>
    <x v="0"/>
  </r>
  <r>
    <s v="AP10102"/>
    <x v="1"/>
    <x v="21"/>
    <d v="2025-01-26T00:00:00"/>
    <n v="4853.53"/>
    <s v="CAD"/>
    <x v="0"/>
    <m/>
    <s v="Net 30"/>
    <s v="Unpaid"/>
    <x v="0"/>
  </r>
  <r>
    <s v="AP10103"/>
    <x v="0"/>
    <x v="99"/>
    <d v="2024-09-28T00:00:00"/>
    <n v="4099.79"/>
    <s v="EUR"/>
    <x v="1"/>
    <m/>
    <s v="Net 30"/>
    <s v="Unpaid"/>
    <x v="0"/>
  </r>
  <r>
    <s v="AP10104"/>
    <x v="0"/>
    <x v="66"/>
    <d v="2023-03-03T00:00:00"/>
    <n v="3167.66"/>
    <s v="CAD"/>
    <x v="2"/>
    <d v="2023-03-03T00:00:00"/>
    <s v="Net 30"/>
    <s v="On Time"/>
    <x v="1"/>
  </r>
  <r>
    <s v="AP10105"/>
    <x v="3"/>
    <x v="100"/>
    <d v="2023-05-08T00:00:00"/>
    <n v="4646.9799999999996"/>
    <s v="EUR"/>
    <x v="1"/>
    <m/>
    <s v="Net 30"/>
    <s v="Unpaid"/>
    <x v="0"/>
  </r>
  <r>
    <s v="AP10106"/>
    <x v="4"/>
    <x v="101"/>
    <d v="2024-10-17T00:00:00"/>
    <n v="4202.6099999999997"/>
    <s v="GBP"/>
    <x v="0"/>
    <m/>
    <s v="Net 30"/>
    <s v="Unpaid"/>
    <x v="0"/>
  </r>
  <r>
    <s v="AP10107"/>
    <x v="4"/>
    <x v="102"/>
    <d v="2023-12-20T00:00:00"/>
    <n v="1491.57"/>
    <s v="EUR"/>
    <x v="2"/>
    <d v="2023-12-20T00:00:00"/>
    <s v="Net 30"/>
    <s v="On Time"/>
    <x v="1"/>
  </r>
  <r>
    <s v="AP10108"/>
    <x v="0"/>
    <x v="103"/>
    <d v="2024-03-18T00:00:00"/>
    <n v="2302.71"/>
    <s v="USD"/>
    <x v="2"/>
    <d v="2024-03-18T00:00:00"/>
    <s v="Net 30"/>
    <s v="On Time"/>
    <x v="1"/>
  </r>
  <r>
    <s v="AP10109"/>
    <x v="3"/>
    <x v="104"/>
    <d v="2025-06-09T00:00:00"/>
    <n v="222.31"/>
    <s v="EUR"/>
    <x v="1"/>
    <m/>
    <s v="Net 30"/>
    <s v="Unpaid"/>
    <x v="0"/>
  </r>
  <r>
    <s v="AP10110"/>
    <x v="3"/>
    <x v="105"/>
    <d v="2024-12-25T00:00:00"/>
    <n v="1191.67"/>
    <s v="GBP"/>
    <x v="0"/>
    <m/>
    <s v="Net 30"/>
    <s v="Unpaid"/>
    <x v="0"/>
  </r>
  <r>
    <s v="AP10111"/>
    <x v="3"/>
    <x v="106"/>
    <d v="2024-01-12T00:00:00"/>
    <n v="3805.91"/>
    <s v="CAD"/>
    <x v="2"/>
    <d v="2024-01-12T00:00:00"/>
    <s v="Net 30"/>
    <s v="On Time"/>
    <x v="1"/>
  </r>
  <r>
    <s v="AP10112"/>
    <x v="4"/>
    <x v="107"/>
    <d v="2023-05-12T00:00:00"/>
    <n v="945.2"/>
    <s v="USD"/>
    <x v="1"/>
    <m/>
    <s v="Net 30"/>
    <s v="Unpaid"/>
    <x v="0"/>
  </r>
  <r>
    <s v="AP10113"/>
    <x v="3"/>
    <x v="108"/>
    <d v="2024-02-19T00:00:00"/>
    <n v="2517.4699999999998"/>
    <s v="CAD"/>
    <x v="1"/>
    <m/>
    <s v="Net 30"/>
    <s v="Unpaid"/>
    <x v="0"/>
  </r>
  <r>
    <s v="AP10114"/>
    <x v="4"/>
    <x v="109"/>
    <d v="2024-12-29T00:00:00"/>
    <n v="4131.71"/>
    <s v="USD"/>
    <x v="1"/>
    <m/>
    <s v="Net 30"/>
    <s v="Unpaid"/>
    <x v="0"/>
  </r>
  <r>
    <s v="AP10115"/>
    <x v="4"/>
    <x v="110"/>
    <d v="2024-04-18T00:00:00"/>
    <n v="1116.42"/>
    <s v="CAD"/>
    <x v="0"/>
    <m/>
    <s v="Net 30"/>
    <s v="Unpaid"/>
    <x v="0"/>
  </r>
  <r>
    <s v="AP10116"/>
    <x v="4"/>
    <x v="111"/>
    <d v="2023-10-24T00:00:00"/>
    <n v="4575.2700000000004"/>
    <s v="CAD"/>
    <x v="0"/>
    <m/>
    <s v="Net 30"/>
    <s v="Unpaid"/>
    <x v="0"/>
  </r>
  <r>
    <s v="AP10117"/>
    <x v="4"/>
    <x v="112"/>
    <d v="2023-03-18T00:00:00"/>
    <n v="1514.17"/>
    <s v="CAD"/>
    <x v="0"/>
    <m/>
    <s v="Net 30"/>
    <s v="Unpaid"/>
    <x v="0"/>
  </r>
  <r>
    <s v="AP10118"/>
    <x v="0"/>
    <x v="113"/>
    <d v="2023-09-13T00:00:00"/>
    <n v="4267.03"/>
    <s v="CAD"/>
    <x v="0"/>
    <m/>
    <s v="Net 30"/>
    <s v="Unpaid"/>
    <x v="0"/>
  </r>
  <r>
    <s v="AP10119"/>
    <x v="1"/>
    <x v="114"/>
    <d v="2025-02-27T00:00:00"/>
    <n v="4482.04"/>
    <s v="GBP"/>
    <x v="1"/>
    <m/>
    <s v="Net 30"/>
    <s v="Unpaid"/>
    <x v="0"/>
  </r>
  <r>
    <s v="AP10120"/>
    <x v="4"/>
    <x v="115"/>
    <d v="2024-05-30T00:00:00"/>
    <n v="1407.76"/>
    <s v="GBP"/>
    <x v="2"/>
    <d v="2024-05-30T00:00:00"/>
    <s v="Net 30"/>
    <s v="On Time"/>
    <x v="1"/>
  </r>
  <r>
    <s v="AP10121"/>
    <x v="2"/>
    <x v="116"/>
    <d v="2023-12-23T00:00:00"/>
    <n v="2739.91"/>
    <s v="EUR"/>
    <x v="0"/>
    <m/>
    <s v="Net 30"/>
    <s v="Unpaid"/>
    <x v="0"/>
  </r>
  <r>
    <s v="AP10122"/>
    <x v="0"/>
    <x v="117"/>
    <d v="2025-04-12T00:00:00"/>
    <n v="2094.14"/>
    <s v="GBP"/>
    <x v="1"/>
    <m/>
    <s v="Net 30"/>
    <s v="Unpaid"/>
    <x v="0"/>
  </r>
  <r>
    <s v="AP10123"/>
    <x v="4"/>
    <x v="118"/>
    <d v="2025-01-20T00:00:00"/>
    <n v="1636.17"/>
    <s v="GBP"/>
    <x v="0"/>
    <m/>
    <s v="Net 30"/>
    <s v="Unpaid"/>
    <x v="0"/>
  </r>
  <r>
    <s v="AP10124"/>
    <x v="1"/>
    <x v="119"/>
    <d v="2023-11-04T00:00:00"/>
    <n v="1052.47"/>
    <s v="AUD"/>
    <x v="1"/>
    <m/>
    <s v="Net 30"/>
    <s v="Unpaid"/>
    <x v="0"/>
  </r>
  <r>
    <s v="AP10125"/>
    <x v="1"/>
    <x v="120"/>
    <d v="2023-10-17T00:00:00"/>
    <n v="4195.09"/>
    <s v="AUD"/>
    <x v="0"/>
    <m/>
    <s v="Net 30"/>
    <s v="Unpaid"/>
    <x v="0"/>
  </r>
  <r>
    <s v="AP10126"/>
    <x v="2"/>
    <x v="121"/>
    <d v="2023-02-13T00:00:00"/>
    <n v="2545.81"/>
    <s v="USD"/>
    <x v="1"/>
    <m/>
    <s v="Net 30"/>
    <s v="Unpaid"/>
    <x v="0"/>
  </r>
  <r>
    <s v="AP10127"/>
    <x v="3"/>
    <x v="122"/>
    <d v="2024-05-14T00:00:00"/>
    <n v="993.34"/>
    <s v="AUD"/>
    <x v="1"/>
    <m/>
    <s v="Net 30"/>
    <s v="Unpaid"/>
    <x v="0"/>
  </r>
  <r>
    <s v="AP10128"/>
    <x v="3"/>
    <x v="123"/>
    <d v="2023-07-14T00:00:00"/>
    <n v="834.51"/>
    <s v="GBP"/>
    <x v="1"/>
    <m/>
    <s v="Net 30"/>
    <s v="Unpaid"/>
    <x v="0"/>
  </r>
  <r>
    <s v="AP10129"/>
    <x v="3"/>
    <x v="124"/>
    <d v="2024-01-25T00:00:00"/>
    <n v="2107.58"/>
    <s v="USD"/>
    <x v="1"/>
    <m/>
    <s v="Net 30"/>
    <s v="Unpaid"/>
    <x v="0"/>
  </r>
  <r>
    <s v="AP10130"/>
    <x v="4"/>
    <x v="125"/>
    <d v="2025-06-04T00:00:00"/>
    <n v="1874.69"/>
    <s v="USD"/>
    <x v="0"/>
    <m/>
    <s v="Net 30"/>
    <s v="Unpaid"/>
    <x v="0"/>
  </r>
  <r>
    <s v="AP10131"/>
    <x v="3"/>
    <x v="126"/>
    <d v="2024-07-28T00:00:00"/>
    <n v="4388.51"/>
    <s v="EUR"/>
    <x v="2"/>
    <d v="2024-07-28T00:00:00"/>
    <s v="Net 30"/>
    <s v="On Time"/>
    <x v="1"/>
  </r>
  <r>
    <s v="AP10132"/>
    <x v="1"/>
    <x v="127"/>
    <d v="2024-04-13T00:00:00"/>
    <n v="125.24"/>
    <s v="CAD"/>
    <x v="1"/>
    <m/>
    <s v="Net 30"/>
    <s v="Unpaid"/>
    <x v="0"/>
  </r>
  <r>
    <s v="AP10133"/>
    <x v="2"/>
    <x v="128"/>
    <d v="2024-05-10T00:00:00"/>
    <n v="1249.8900000000001"/>
    <s v="AUD"/>
    <x v="0"/>
    <m/>
    <s v="Net 30"/>
    <s v="Unpaid"/>
    <x v="0"/>
  </r>
  <r>
    <s v="AP10134"/>
    <x v="2"/>
    <x v="129"/>
    <d v="2025-01-04T00:00:00"/>
    <n v="4937.78"/>
    <s v="EUR"/>
    <x v="0"/>
    <m/>
    <s v="Net 30"/>
    <s v="Unpaid"/>
    <x v="0"/>
  </r>
  <r>
    <s v="AP10135"/>
    <x v="0"/>
    <x v="130"/>
    <d v="2024-04-29T00:00:00"/>
    <n v="2379.1799999999998"/>
    <s v="AUD"/>
    <x v="2"/>
    <d v="2024-04-29T00:00:00"/>
    <s v="Net 30"/>
    <s v="On Time"/>
    <x v="1"/>
  </r>
  <r>
    <s v="AP10136"/>
    <x v="0"/>
    <x v="131"/>
    <d v="2024-01-04T00:00:00"/>
    <n v="4032.55"/>
    <s v="CAD"/>
    <x v="2"/>
    <d v="2024-01-04T00:00:00"/>
    <s v="Net 30"/>
    <s v="On Time"/>
    <x v="1"/>
  </r>
  <r>
    <s v="AP10137"/>
    <x v="4"/>
    <x v="132"/>
    <d v="2024-08-20T00:00:00"/>
    <n v="3922.59"/>
    <s v="AUD"/>
    <x v="2"/>
    <d v="2024-08-20T00:00:00"/>
    <s v="Net 30"/>
    <s v="On Time"/>
    <x v="1"/>
  </r>
  <r>
    <s v="AP10138"/>
    <x v="4"/>
    <x v="133"/>
    <d v="2023-10-05T00:00:00"/>
    <n v="3377.42"/>
    <s v="GBP"/>
    <x v="2"/>
    <d v="2023-10-05T00:00:00"/>
    <s v="Net 30"/>
    <s v="On Time"/>
    <x v="1"/>
  </r>
  <r>
    <s v="AP10139"/>
    <x v="3"/>
    <x v="134"/>
    <d v="2025-01-11T00:00:00"/>
    <n v="3927.21"/>
    <s v="EUR"/>
    <x v="1"/>
    <m/>
    <s v="Net 30"/>
    <s v="Unpaid"/>
    <x v="0"/>
  </r>
  <r>
    <s v="AP10140"/>
    <x v="3"/>
    <x v="135"/>
    <d v="2024-05-18T00:00:00"/>
    <n v="4292.3500000000004"/>
    <s v="CAD"/>
    <x v="0"/>
    <m/>
    <s v="Net 30"/>
    <s v="Unpaid"/>
    <x v="0"/>
  </r>
  <r>
    <s v="AP10141"/>
    <x v="1"/>
    <x v="136"/>
    <d v="2025-07-19T00:00:00"/>
    <n v="3350.66"/>
    <s v="USD"/>
    <x v="1"/>
    <m/>
    <s v="Net 30"/>
    <s v="Unpaid"/>
    <x v="0"/>
  </r>
  <r>
    <s v="AP10142"/>
    <x v="4"/>
    <x v="137"/>
    <d v="2023-06-27T00:00:00"/>
    <n v="4762.47"/>
    <s v="USD"/>
    <x v="1"/>
    <m/>
    <s v="Net 30"/>
    <s v="Unpaid"/>
    <x v="0"/>
  </r>
  <r>
    <s v="AP10143"/>
    <x v="4"/>
    <x v="138"/>
    <d v="2023-08-31T00:00:00"/>
    <n v="1589.97"/>
    <s v="AUD"/>
    <x v="0"/>
    <m/>
    <s v="Net 30"/>
    <s v="Unpaid"/>
    <x v="0"/>
  </r>
  <r>
    <s v="AP10144"/>
    <x v="2"/>
    <x v="139"/>
    <d v="2024-07-24T00:00:00"/>
    <n v="2206.4"/>
    <s v="GBP"/>
    <x v="1"/>
    <m/>
    <s v="Net 30"/>
    <s v="Unpaid"/>
    <x v="0"/>
  </r>
  <r>
    <s v="AP10145"/>
    <x v="3"/>
    <x v="140"/>
    <d v="2023-12-28T00:00:00"/>
    <n v="2642.46"/>
    <s v="GBP"/>
    <x v="2"/>
    <d v="2023-12-28T00:00:00"/>
    <s v="Net 30"/>
    <s v="On Time"/>
    <x v="1"/>
  </r>
  <r>
    <s v="AP10146"/>
    <x v="4"/>
    <x v="128"/>
    <d v="2024-05-10T00:00:00"/>
    <n v="2413.9"/>
    <s v="CAD"/>
    <x v="1"/>
    <m/>
    <s v="Net 30"/>
    <s v="Unpaid"/>
    <x v="0"/>
  </r>
  <r>
    <s v="AP10147"/>
    <x v="3"/>
    <x v="141"/>
    <d v="2023-09-15T00:00:00"/>
    <n v="2803.47"/>
    <s v="USD"/>
    <x v="1"/>
    <m/>
    <s v="Net 30"/>
    <s v="Unpaid"/>
    <x v="0"/>
  </r>
  <r>
    <s v="AP10148"/>
    <x v="1"/>
    <x v="23"/>
    <d v="2023-10-30T00:00:00"/>
    <n v="3709.9"/>
    <s v="EUR"/>
    <x v="1"/>
    <m/>
    <s v="Net 30"/>
    <s v="Unpaid"/>
    <x v="0"/>
  </r>
  <r>
    <s v="AP10149"/>
    <x v="2"/>
    <x v="84"/>
    <d v="2024-07-13T00:00:00"/>
    <n v="4721.1499999999996"/>
    <s v="AUD"/>
    <x v="2"/>
    <d v="2024-07-13T00:00:00"/>
    <s v="Net 30"/>
    <s v="On Time"/>
    <x v="1"/>
  </r>
  <r>
    <s v="AP10150"/>
    <x v="4"/>
    <x v="142"/>
    <d v="2023-09-05T00:00:00"/>
    <n v="1555.44"/>
    <s v="USD"/>
    <x v="1"/>
    <m/>
    <s v="Net 30"/>
    <s v="Unpaid"/>
    <x v="0"/>
  </r>
  <r>
    <s v="AP10151"/>
    <x v="2"/>
    <x v="143"/>
    <d v="2024-05-08T00:00:00"/>
    <n v="2731.15"/>
    <s v="USD"/>
    <x v="2"/>
    <d v="2024-05-08T00:00:00"/>
    <s v="Net 30"/>
    <s v="On Time"/>
    <x v="1"/>
  </r>
  <r>
    <s v="AP10152"/>
    <x v="0"/>
    <x v="144"/>
    <d v="2024-12-26T00:00:00"/>
    <n v="3600.41"/>
    <s v="CAD"/>
    <x v="1"/>
    <m/>
    <s v="Net 30"/>
    <s v="Unpaid"/>
    <x v="0"/>
  </r>
  <r>
    <s v="AP10153"/>
    <x v="0"/>
    <x v="145"/>
    <d v="2023-04-04T00:00:00"/>
    <n v="1532.1"/>
    <s v="EUR"/>
    <x v="2"/>
    <d v="2023-04-04T00:00:00"/>
    <s v="Net 30"/>
    <s v="On Time"/>
    <x v="1"/>
  </r>
  <r>
    <s v="AP10154"/>
    <x v="1"/>
    <x v="146"/>
    <d v="2024-08-01T00:00:00"/>
    <n v="3671.9"/>
    <s v="USD"/>
    <x v="0"/>
    <m/>
    <s v="Net 30"/>
    <s v="Unpaid"/>
    <x v="0"/>
  </r>
  <r>
    <s v="AP10155"/>
    <x v="2"/>
    <x v="147"/>
    <d v="2024-03-24T00:00:00"/>
    <n v="249.12"/>
    <s v="USD"/>
    <x v="0"/>
    <m/>
    <s v="Net 30"/>
    <s v="Unpaid"/>
    <x v="0"/>
  </r>
  <r>
    <s v="AP10156"/>
    <x v="3"/>
    <x v="148"/>
    <d v="2024-11-01T00:00:00"/>
    <n v="1247.49"/>
    <s v="EUR"/>
    <x v="1"/>
    <m/>
    <s v="Net 30"/>
    <s v="Unpaid"/>
    <x v="0"/>
  </r>
  <r>
    <s v="AP10157"/>
    <x v="3"/>
    <x v="15"/>
    <d v="2023-07-04T00:00:00"/>
    <n v="4374.63"/>
    <s v="USD"/>
    <x v="1"/>
    <m/>
    <s v="Net 30"/>
    <s v="Unpaid"/>
    <x v="0"/>
  </r>
  <r>
    <s v="AP10158"/>
    <x v="3"/>
    <x v="149"/>
    <d v="2023-05-28T00:00:00"/>
    <n v="3691.12"/>
    <s v="EUR"/>
    <x v="1"/>
    <m/>
    <s v="Net 30"/>
    <s v="Unpaid"/>
    <x v="0"/>
  </r>
  <r>
    <s v="AP10159"/>
    <x v="3"/>
    <x v="150"/>
    <d v="2024-06-30T00:00:00"/>
    <n v="4217.3900000000003"/>
    <s v="AUD"/>
    <x v="2"/>
    <d v="2024-06-30T00:00:00"/>
    <s v="Net 30"/>
    <s v="On Time"/>
    <x v="1"/>
  </r>
  <r>
    <s v="AP10160"/>
    <x v="1"/>
    <x v="119"/>
    <d v="2023-11-04T00:00:00"/>
    <n v="4642.3599999999997"/>
    <s v="CAD"/>
    <x v="0"/>
    <m/>
    <s v="Net 30"/>
    <s v="Unpaid"/>
    <x v="0"/>
  </r>
  <r>
    <s v="AP10161"/>
    <x v="0"/>
    <x v="151"/>
    <d v="2025-04-17T00:00:00"/>
    <n v="3580.35"/>
    <s v="AUD"/>
    <x v="1"/>
    <m/>
    <s v="Net 30"/>
    <s v="Unpaid"/>
    <x v="0"/>
  </r>
  <r>
    <s v="AP10162"/>
    <x v="4"/>
    <x v="152"/>
    <d v="2024-03-04T00:00:00"/>
    <n v="3588.69"/>
    <s v="AUD"/>
    <x v="1"/>
    <m/>
    <s v="Net 30"/>
    <s v="Unpaid"/>
    <x v="0"/>
  </r>
  <r>
    <s v="AP10163"/>
    <x v="4"/>
    <x v="153"/>
    <d v="2024-11-20T00:00:00"/>
    <n v="2407.4"/>
    <s v="CAD"/>
    <x v="1"/>
    <m/>
    <s v="Net 30"/>
    <s v="Unpaid"/>
    <x v="0"/>
  </r>
  <r>
    <s v="AP10164"/>
    <x v="4"/>
    <x v="154"/>
    <d v="2023-05-01T00:00:00"/>
    <n v="649.78"/>
    <s v="CAD"/>
    <x v="1"/>
    <m/>
    <s v="Net 30"/>
    <s v="Unpaid"/>
    <x v="0"/>
  </r>
  <r>
    <s v="AP10165"/>
    <x v="2"/>
    <x v="155"/>
    <d v="2024-10-14T00:00:00"/>
    <n v="143.83000000000001"/>
    <s v="CAD"/>
    <x v="2"/>
    <d v="2024-10-14T00:00:00"/>
    <s v="Net 30"/>
    <s v="On Time"/>
    <x v="1"/>
  </r>
  <r>
    <s v="AP10166"/>
    <x v="3"/>
    <x v="156"/>
    <d v="2025-07-05T00:00:00"/>
    <n v="1041.99"/>
    <s v="USD"/>
    <x v="0"/>
    <m/>
    <s v="Net 30"/>
    <s v="Unpaid"/>
    <x v="0"/>
  </r>
  <r>
    <s v="AP10167"/>
    <x v="0"/>
    <x v="91"/>
    <d v="2023-07-11T00:00:00"/>
    <n v="2826"/>
    <s v="CAD"/>
    <x v="0"/>
    <m/>
    <s v="Net 30"/>
    <s v="Unpaid"/>
    <x v="0"/>
  </r>
  <r>
    <s v="AP10168"/>
    <x v="0"/>
    <x v="157"/>
    <d v="2025-01-10T00:00:00"/>
    <n v="3078.5"/>
    <s v="GBP"/>
    <x v="2"/>
    <d v="2025-01-10T00:00:00"/>
    <s v="Net 30"/>
    <s v="On Time"/>
    <x v="1"/>
  </r>
  <r>
    <s v="AP10169"/>
    <x v="1"/>
    <x v="158"/>
    <d v="2025-05-01T00:00:00"/>
    <n v="3139.88"/>
    <s v="AUD"/>
    <x v="1"/>
    <m/>
    <s v="Net 30"/>
    <s v="Unpaid"/>
    <x v="0"/>
  </r>
  <r>
    <s v="AP10170"/>
    <x v="4"/>
    <x v="159"/>
    <d v="2023-05-27T00:00:00"/>
    <n v="4899.6400000000003"/>
    <s v="AUD"/>
    <x v="2"/>
    <d v="2023-05-27T00:00:00"/>
    <s v="Net 30"/>
    <s v="On Time"/>
    <x v="1"/>
  </r>
  <r>
    <s v="AP10171"/>
    <x v="0"/>
    <x v="160"/>
    <d v="2025-01-08T00:00:00"/>
    <n v="3205.33"/>
    <s v="USD"/>
    <x v="1"/>
    <m/>
    <s v="Net 30"/>
    <s v="Unpaid"/>
    <x v="0"/>
  </r>
  <r>
    <s v="AP10172"/>
    <x v="2"/>
    <x v="161"/>
    <d v="2024-12-09T00:00:00"/>
    <n v="1285.77"/>
    <s v="USD"/>
    <x v="1"/>
    <m/>
    <s v="Net 30"/>
    <s v="Unpaid"/>
    <x v="0"/>
  </r>
  <r>
    <s v="AP10173"/>
    <x v="0"/>
    <x v="162"/>
    <d v="2025-07-20T00:00:00"/>
    <n v="216.78"/>
    <s v="USD"/>
    <x v="1"/>
    <m/>
    <s v="Net 30"/>
    <s v="Unpaid"/>
    <x v="0"/>
  </r>
  <r>
    <s v="AP10174"/>
    <x v="4"/>
    <x v="145"/>
    <d v="2023-04-04T00:00:00"/>
    <n v="4512.7700000000004"/>
    <s v="CAD"/>
    <x v="1"/>
    <m/>
    <s v="Net 30"/>
    <s v="Unpaid"/>
    <x v="0"/>
  </r>
  <r>
    <s v="AP10175"/>
    <x v="1"/>
    <x v="163"/>
    <d v="2023-12-11T00:00:00"/>
    <n v="4283.63"/>
    <s v="AUD"/>
    <x v="2"/>
    <d v="2023-12-11T00:00:00"/>
    <s v="Net 30"/>
    <s v="On Time"/>
    <x v="1"/>
  </r>
  <r>
    <s v="AP10176"/>
    <x v="0"/>
    <x v="164"/>
    <d v="2024-10-29T00:00:00"/>
    <n v="370.46"/>
    <s v="CAD"/>
    <x v="2"/>
    <d v="2024-10-29T00:00:00"/>
    <s v="Net 30"/>
    <s v="On Time"/>
    <x v="1"/>
  </r>
  <r>
    <s v="AP10177"/>
    <x v="3"/>
    <x v="165"/>
    <d v="2024-07-10T00:00:00"/>
    <n v="3313.07"/>
    <s v="EUR"/>
    <x v="0"/>
    <m/>
    <s v="Net 30"/>
    <s v="Unpaid"/>
    <x v="0"/>
  </r>
  <r>
    <s v="AP10178"/>
    <x v="2"/>
    <x v="116"/>
    <d v="2023-12-23T00:00:00"/>
    <n v="4616.42"/>
    <s v="USD"/>
    <x v="2"/>
    <d v="2023-12-23T00:00:00"/>
    <s v="Net 30"/>
    <s v="On Time"/>
    <x v="1"/>
  </r>
  <r>
    <s v="AP10179"/>
    <x v="2"/>
    <x v="166"/>
    <d v="2023-04-12T00:00:00"/>
    <n v="1731.08"/>
    <s v="USD"/>
    <x v="0"/>
    <m/>
    <s v="Net 30"/>
    <s v="Unpaid"/>
    <x v="0"/>
  </r>
  <r>
    <s v="AP10180"/>
    <x v="0"/>
    <x v="167"/>
    <d v="2025-03-07T00:00:00"/>
    <n v="4027.83"/>
    <s v="CAD"/>
    <x v="1"/>
    <m/>
    <s v="Net 30"/>
    <s v="Unpaid"/>
    <x v="0"/>
  </r>
  <r>
    <s v="AP10181"/>
    <x v="4"/>
    <x v="168"/>
    <d v="2024-08-24T00:00:00"/>
    <n v="1770.47"/>
    <s v="CAD"/>
    <x v="2"/>
    <d v="2024-08-24T00:00:00"/>
    <s v="Net 30"/>
    <s v="On Time"/>
    <x v="1"/>
  </r>
  <r>
    <s v="AP10182"/>
    <x v="1"/>
    <x v="6"/>
    <d v="2025-01-19T00:00:00"/>
    <n v="4140.83"/>
    <s v="EUR"/>
    <x v="2"/>
    <d v="2025-01-19T00:00:00"/>
    <s v="Net 30"/>
    <s v="On Time"/>
    <x v="1"/>
  </r>
  <r>
    <s v="AP10183"/>
    <x v="2"/>
    <x v="169"/>
    <d v="2025-05-16T00:00:00"/>
    <n v="606.74"/>
    <s v="EUR"/>
    <x v="1"/>
    <m/>
    <s v="Net 30"/>
    <s v="Unpaid"/>
    <x v="0"/>
  </r>
  <r>
    <s v="AP10184"/>
    <x v="4"/>
    <x v="170"/>
    <d v="2023-03-06T00:00:00"/>
    <n v="3488.56"/>
    <s v="GBP"/>
    <x v="0"/>
    <m/>
    <s v="Net 30"/>
    <s v="Unpaid"/>
    <x v="0"/>
  </r>
  <r>
    <s v="AP10185"/>
    <x v="2"/>
    <x v="171"/>
    <d v="2025-07-22T00:00:00"/>
    <n v="816.61"/>
    <s v="CAD"/>
    <x v="0"/>
    <m/>
    <s v="Net 30"/>
    <s v="Unpaid"/>
    <x v="0"/>
  </r>
  <r>
    <s v="AP10186"/>
    <x v="0"/>
    <x v="172"/>
    <d v="2024-06-01T00:00:00"/>
    <n v="2178.88"/>
    <s v="GBP"/>
    <x v="2"/>
    <d v="2024-06-01T00:00:00"/>
    <s v="Net 30"/>
    <s v="On Time"/>
    <x v="1"/>
  </r>
  <r>
    <s v="AP10187"/>
    <x v="1"/>
    <x v="52"/>
    <d v="2024-01-18T00:00:00"/>
    <n v="4356.53"/>
    <s v="USD"/>
    <x v="1"/>
    <m/>
    <s v="Net 30"/>
    <s v="Unpaid"/>
    <x v="0"/>
  </r>
  <r>
    <s v="AP10188"/>
    <x v="0"/>
    <x v="173"/>
    <d v="2024-05-17T00:00:00"/>
    <n v="2905.63"/>
    <s v="AUD"/>
    <x v="0"/>
    <m/>
    <s v="Net 30"/>
    <s v="Unpaid"/>
    <x v="0"/>
  </r>
  <r>
    <s v="AP10189"/>
    <x v="3"/>
    <x v="172"/>
    <d v="2024-06-01T00:00:00"/>
    <n v="940.95"/>
    <s v="CAD"/>
    <x v="2"/>
    <d v="2024-06-01T00:00:00"/>
    <s v="Net 30"/>
    <s v="On Time"/>
    <x v="1"/>
  </r>
  <r>
    <s v="AP10190"/>
    <x v="2"/>
    <x v="174"/>
    <d v="2023-03-19T00:00:00"/>
    <n v="4744.18"/>
    <s v="AUD"/>
    <x v="1"/>
    <m/>
    <s v="Net 30"/>
    <s v="Unpaid"/>
    <x v="0"/>
  </r>
  <r>
    <s v="AP10191"/>
    <x v="3"/>
    <x v="175"/>
    <d v="2025-03-24T00:00:00"/>
    <n v="147.49"/>
    <s v="AUD"/>
    <x v="2"/>
    <d v="2025-03-24T00:00:00"/>
    <s v="Net 30"/>
    <s v="On Time"/>
    <x v="1"/>
  </r>
  <r>
    <s v="AP10192"/>
    <x v="4"/>
    <x v="176"/>
    <d v="2025-07-09T00:00:00"/>
    <n v="495.23"/>
    <s v="CAD"/>
    <x v="1"/>
    <m/>
    <s v="Net 30"/>
    <s v="Unpaid"/>
    <x v="0"/>
  </r>
  <r>
    <s v="AP10193"/>
    <x v="3"/>
    <x v="177"/>
    <d v="2023-06-29T00:00:00"/>
    <n v="2497.87"/>
    <s v="GBP"/>
    <x v="1"/>
    <m/>
    <s v="Net 30"/>
    <s v="Unpaid"/>
    <x v="0"/>
  </r>
  <r>
    <s v="AP10194"/>
    <x v="4"/>
    <x v="178"/>
    <d v="2024-07-11T00:00:00"/>
    <n v="1407.52"/>
    <s v="CAD"/>
    <x v="0"/>
    <m/>
    <s v="Net 30"/>
    <s v="Unpaid"/>
    <x v="0"/>
  </r>
  <r>
    <s v="AP10195"/>
    <x v="4"/>
    <x v="179"/>
    <d v="2025-04-06T00:00:00"/>
    <n v="2632.28"/>
    <s v="AUD"/>
    <x v="1"/>
    <m/>
    <s v="Net 30"/>
    <s v="Unpaid"/>
    <x v="0"/>
  </r>
  <r>
    <s v="AP10196"/>
    <x v="1"/>
    <x v="180"/>
    <d v="2024-05-02T00:00:00"/>
    <n v="3255.92"/>
    <s v="GBP"/>
    <x v="0"/>
    <m/>
    <s v="Net 30"/>
    <s v="Unpaid"/>
    <x v="0"/>
  </r>
  <r>
    <s v="AP10197"/>
    <x v="0"/>
    <x v="181"/>
    <d v="2023-10-21T00:00:00"/>
    <n v="392.7"/>
    <s v="USD"/>
    <x v="2"/>
    <d v="2023-10-21T00:00:00"/>
    <s v="Net 30"/>
    <s v="On Time"/>
    <x v="1"/>
  </r>
  <r>
    <s v="AP10198"/>
    <x v="1"/>
    <x v="182"/>
    <d v="2024-05-06T00:00:00"/>
    <n v="4366.6499999999996"/>
    <s v="USD"/>
    <x v="1"/>
    <m/>
    <s v="Net 30"/>
    <s v="Unpaid"/>
    <x v="0"/>
  </r>
  <r>
    <s v="AP10199"/>
    <x v="4"/>
    <x v="183"/>
    <d v="2024-04-20T00:00:00"/>
    <n v="1348.94"/>
    <s v="EUR"/>
    <x v="2"/>
    <d v="2024-04-20T00:00:00"/>
    <s v="Net 30"/>
    <s v="On Time"/>
    <x v="1"/>
  </r>
  <r>
    <s v="AP10200"/>
    <x v="3"/>
    <x v="184"/>
    <d v="2025-07-29T00:00:00"/>
    <n v="4373.5200000000004"/>
    <s v="GBP"/>
    <x v="0"/>
    <m/>
    <s v="Net 30"/>
    <s v="Unpaid"/>
    <x v="0"/>
  </r>
  <r>
    <s v="AP10201"/>
    <x v="3"/>
    <x v="185"/>
    <d v="2023-12-02T00:00:00"/>
    <n v="3414.97"/>
    <s v="USD"/>
    <x v="2"/>
    <d v="2023-12-02T00:00:00"/>
    <s v="Net 30"/>
    <s v="On Time"/>
    <x v="1"/>
  </r>
  <r>
    <s v="AP10202"/>
    <x v="3"/>
    <x v="186"/>
    <d v="2025-02-07T00:00:00"/>
    <n v="1646.53"/>
    <s v="CAD"/>
    <x v="2"/>
    <d v="2025-02-07T00:00:00"/>
    <s v="Net 30"/>
    <s v="On Time"/>
    <x v="1"/>
  </r>
  <r>
    <s v="AP10203"/>
    <x v="1"/>
    <x v="187"/>
    <d v="2025-04-10T00:00:00"/>
    <n v="2688.88"/>
    <s v="EUR"/>
    <x v="0"/>
    <m/>
    <s v="Net 30"/>
    <s v="Unpaid"/>
    <x v="0"/>
  </r>
  <r>
    <s v="AP10204"/>
    <x v="2"/>
    <x v="188"/>
    <d v="2023-02-06T00:00:00"/>
    <n v="2187.09"/>
    <s v="AUD"/>
    <x v="1"/>
    <m/>
    <s v="Net 30"/>
    <s v="Unpaid"/>
    <x v="0"/>
  </r>
  <r>
    <s v="AP10205"/>
    <x v="4"/>
    <x v="189"/>
    <d v="2025-06-27T00:00:00"/>
    <n v="3171.13"/>
    <s v="USD"/>
    <x v="2"/>
    <d v="2025-06-27T00:00:00"/>
    <s v="Net 30"/>
    <s v="On Time"/>
    <x v="1"/>
  </r>
  <r>
    <s v="AP10206"/>
    <x v="0"/>
    <x v="190"/>
    <d v="2024-06-24T00:00:00"/>
    <n v="2235.4699999999998"/>
    <s v="EUR"/>
    <x v="2"/>
    <d v="2024-06-24T00:00:00"/>
    <s v="Net 30"/>
    <s v="On Time"/>
    <x v="1"/>
  </r>
  <r>
    <s v="AP10207"/>
    <x v="0"/>
    <x v="191"/>
    <d v="2024-07-02T00:00:00"/>
    <n v="4392.95"/>
    <s v="USD"/>
    <x v="2"/>
    <d v="2024-07-02T00:00:00"/>
    <s v="Net 30"/>
    <s v="On Time"/>
    <x v="1"/>
  </r>
  <r>
    <s v="AP10208"/>
    <x v="3"/>
    <x v="119"/>
    <d v="2023-11-04T00:00:00"/>
    <n v="765.04"/>
    <s v="EUR"/>
    <x v="2"/>
    <d v="2023-11-04T00:00:00"/>
    <s v="Net 30"/>
    <s v="On Time"/>
    <x v="1"/>
  </r>
  <r>
    <s v="AP10209"/>
    <x v="0"/>
    <x v="128"/>
    <d v="2024-05-10T00:00:00"/>
    <n v="4435.17"/>
    <s v="USD"/>
    <x v="0"/>
    <m/>
    <s v="Net 30"/>
    <s v="Unpaid"/>
    <x v="0"/>
  </r>
  <r>
    <s v="AP10210"/>
    <x v="0"/>
    <x v="192"/>
    <d v="2023-02-21T00:00:00"/>
    <n v="2626.85"/>
    <s v="CAD"/>
    <x v="0"/>
    <m/>
    <s v="Net 30"/>
    <s v="Unpaid"/>
    <x v="0"/>
  </r>
  <r>
    <s v="AP10211"/>
    <x v="0"/>
    <x v="193"/>
    <d v="2024-07-17T00:00:00"/>
    <n v="4803.24"/>
    <s v="USD"/>
    <x v="1"/>
    <m/>
    <s v="Net 30"/>
    <s v="Unpaid"/>
    <x v="0"/>
  </r>
  <r>
    <s v="AP10212"/>
    <x v="1"/>
    <x v="194"/>
    <d v="2024-08-22T00:00:00"/>
    <n v="3007.22"/>
    <s v="USD"/>
    <x v="2"/>
    <d v="2024-08-22T00:00:00"/>
    <s v="Net 30"/>
    <s v="On Time"/>
    <x v="1"/>
  </r>
  <r>
    <s v="AP10213"/>
    <x v="0"/>
    <x v="195"/>
    <d v="2025-03-18T00:00:00"/>
    <n v="4929.75"/>
    <s v="CAD"/>
    <x v="0"/>
    <m/>
    <s v="Net 30"/>
    <s v="Unpaid"/>
    <x v="0"/>
  </r>
  <r>
    <s v="AP10214"/>
    <x v="1"/>
    <x v="196"/>
    <d v="2024-07-06T00:00:00"/>
    <n v="1536.2"/>
    <s v="EUR"/>
    <x v="1"/>
    <m/>
    <s v="Net 30"/>
    <s v="Unpaid"/>
    <x v="0"/>
  </r>
  <r>
    <s v="AP10215"/>
    <x v="1"/>
    <x v="197"/>
    <d v="2024-08-17T00:00:00"/>
    <n v="2978.71"/>
    <s v="GBP"/>
    <x v="1"/>
    <m/>
    <s v="Net 30"/>
    <s v="Unpaid"/>
    <x v="0"/>
  </r>
  <r>
    <s v="AP10216"/>
    <x v="3"/>
    <x v="198"/>
    <d v="2024-03-05T00:00:00"/>
    <n v="915.17"/>
    <s v="GBP"/>
    <x v="2"/>
    <d v="2024-03-05T00:00:00"/>
    <s v="Net 30"/>
    <s v="On Time"/>
    <x v="1"/>
  </r>
  <r>
    <s v="AP10217"/>
    <x v="1"/>
    <x v="199"/>
    <d v="2023-08-01T00:00:00"/>
    <n v="3188.52"/>
    <s v="GBP"/>
    <x v="1"/>
    <m/>
    <s v="Net 30"/>
    <s v="Unpaid"/>
    <x v="0"/>
  </r>
  <r>
    <s v="AP10218"/>
    <x v="2"/>
    <x v="200"/>
    <d v="2024-06-19T00:00:00"/>
    <n v="2307.79"/>
    <s v="USD"/>
    <x v="1"/>
    <m/>
    <s v="Net 30"/>
    <s v="Unpaid"/>
    <x v="0"/>
  </r>
  <r>
    <s v="AP10219"/>
    <x v="2"/>
    <x v="201"/>
    <d v="2023-12-21T00:00:00"/>
    <n v="2903.71"/>
    <s v="EUR"/>
    <x v="1"/>
    <m/>
    <s v="Net 30"/>
    <s v="Unpaid"/>
    <x v="0"/>
  </r>
  <r>
    <s v="AP10220"/>
    <x v="2"/>
    <x v="200"/>
    <d v="2024-06-19T00:00:00"/>
    <n v="2565.02"/>
    <s v="USD"/>
    <x v="1"/>
    <m/>
    <s v="Net 30"/>
    <s v="Unpaid"/>
    <x v="0"/>
  </r>
  <r>
    <s v="AP10221"/>
    <x v="1"/>
    <x v="202"/>
    <d v="2025-06-12T00:00:00"/>
    <n v="2121.21"/>
    <s v="USD"/>
    <x v="0"/>
    <m/>
    <s v="Net 30"/>
    <s v="Unpaid"/>
    <x v="0"/>
  </r>
  <r>
    <s v="AP10222"/>
    <x v="1"/>
    <x v="158"/>
    <d v="2025-05-01T00:00:00"/>
    <n v="1273.9000000000001"/>
    <s v="EUR"/>
    <x v="0"/>
    <m/>
    <s v="Net 30"/>
    <s v="Unpaid"/>
    <x v="0"/>
  </r>
  <r>
    <s v="AP10223"/>
    <x v="1"/>
    <x v="203"/>
    <d v="2025-03-25T00:00:00"/>
    <n v="3975.5"/>
    <s v="AUD"/>
    <x v="0"/>
    <m/>
    <s v="Net 30"/>
    <s v="Unpaid"/>
    <x v="0"/>
  </r>
  <r>
    <s v="AP10224"/>
    <x v="0"/>
    <x v="204"/>
    <d v="2024-11-22T00:00:00"/>
    <n v="2421.44"/>
    <s v="AUD"/>
    <x v="0"/>
    <m/>
    <s v="Net 30"/>
    <s v="Unpaid"/>
    <x v="0"/>
  </r>
  <r>
    <s v="AP10225"/>
    <x v="0"/>
    <x v="205"/>
    <d v="2025-03-02T00:00:00"/>
    <n v="2458.0100000000002"/>
    <s v="EUR"/>
    <x v="0"/>
    <m/>
    <s v="Net 30"/>
    <s v="Unpaid"/>
    <x v="0"/>
  </r>
  <r>
    <s v="AP10226"/>
    <x v="0"/>
    <x v="206"/>
    <d v="2023-08-28T00:00:00"/>
    <n v="2854.39"/>
    <s v="EUR"/>
    <x v="2"/>
    <d v="2023-08-28T00:00:00"/>
    <s v="Net 30"/>
    <s v="On Time"/>
    <x v="1"/>
  </r>
  <r>
    <s v="AP10227"/>
    <x v="1"/>
    <x v="207"/>
    <d v="2024-02-27T00:00:00"/>
    <n v="2918.95"/>
    <s v="EUR"/>
    <x v="0"/>
    <m/>
    <s v="Net 30"/>
    <s v="Unpaid"/>
    <x v="0"/>
  </r>
  <r>
    <s v="AP10228"/>
    <x v="3"/>
    <x v="208"/>
    <d v="2023-04-11T00:00:00"/>
    <n v="328.97"/>
    <s v="USD"/>
    <x v="2"/>
    <d v="2023-04-11T00:00:00"/>
    <s v="Net 30"/>
    <s v="On Time"/>
    <x v="1"/>
  </r>
  <r>
    <s v="AP10229"/>
    <x v="3"/>
    <x v="209"/>
    <d v="2024-09-18T00:00:00"/>
    <n v="1213.71"/>
    <s v="USD"/>
    <x v="0"/>
    <m/>
    <s v="Net 30"/>
    <s v="Unpaid"/>
    <x v="0"/>
  </r>
  <r>
    <s v="AP10230"/>
    <x v="2"/>
    <x v="210"/>
    <d v="2025-05-25T00:00:00"/>
    <n v="454.59"/>
    <s v="USD"/>
    <x v="0"/>
    <m/>
    <s v="Net 30"/>
    <s v="Unpaid"/>
    <x v="0"/>
  </r>
  <r>
    <s v="AP10231"/>
    <x v="2"/>
    <x v="211"/>
    <d v="2023-05-24T00:00:00"/>
    <n v="4278.37"/>
    <s v="CAD"/>
    <x v="2"/>
    <d v="2023-05-24T00:00:00"/>
    <s v="Net 30"/>
    <s v="On Time"/>
    <x v="1"/>
  </r>
  <r>
    <s v="AP10232"/>
    <x v="0"/>
    <x v="212"/>
    <d v="2024-09-19T00:00:00"/>
    <n v="3048.16"/>
    <s v="USD"/>
    <x v="0"/>
    <m/>
    <s v="Net 30"/>
    <s v="Unpaid"/>
    <x v="0"/>
  </r>
  <r>
    <s v="AP10233"/>
    <x v="3"/>
    <x v="12"/>
    <d v="2023-06-18T00:00:00"/>
    <n v="4611.88"/>
    <s v="AUD"/>
    <x v="1"/>
    <m/>
    <s v="Net 30"/>
    <s v="Unpaid"/>
    <x v="0"/>
  </r>
  <r>
    <s v="AP10234"/>
    <x v="0"/>
    <x v="213"/>
    <d v="2024-02-23T00:00:00"/>
    <n v="2206.77"/>
    <s v="USD"/>
    <x v="0"/>
    <m/>
    <s v="Net 30"/>
    <s v="Unpaid"/>
    <x v="0"/>
  </r>
  <r>
    <s v="AP10235"/>
    <x v="0"/>
    <x v="214"/>
    <d v="2024-01-08T00:00:00"/>
    <n v="1191.52"/>
    <s v="USD"/>
    <x v="2"/>
    <d v="2024-01-08T00:00:00"/>
    <s v="Net 30"/>
    <s v="On Time"/>
    <x v="1"/>
  </r>
  <r>
    <s v="AP10236"/>
    <x v="0"/>
    <x v="215"/>
    <d v="2023-02-11T00:00:00"/>
    <n v="1715.9"/>
    <s v="CAD"/>
    <x v="1"/>
    <m/>
    <s v="Net 30"/>
    <s v="Unpaid"/>
    <x v="0"/>
  </r>
  <r>
    <s v="AP10237"/>
    <x v="1"/>
    <x v="216"/>
    <d v="2023-03-01T00:00:00"/>
    <n v="2281.3000000000002"/>
    <s v="GBP"/>
    <x v="2"/>
    <d v="2023-03-01T00:00:00"/>
    <s v="Net 30"/>
    <s v="On Time"/>
    <x v="1"/>
  </r>
  <r>
    <s v="AP10238"/>
    <x v="2"/>
    <x v="217"/>
    <d v="2024-04-10T00:00:00"/>
    <n v="3825.33"/>
    <s v="GBP"/>
    <x v="0"/>
    <m/>
    <s v="Net 30"/>
    <s v="Unpaid"/>
    <x v="0"/>
  </r>
  <r>
    <s v="AP10239"/>
    <x v="2"/>
    <x v="218"/>
    <d v="2023-04-22T00:00:00"/>
    <n v="4771.6000000000004"/>
    <s v="AUD"/>
    <x v="1"/>
    <m/>
    <s v="Net 30"/>
    <s v="Unpaid"/>
    <x v="0"/>
  </r>
  <r>
    <s v="AP10240"/>
    <x v="2"/>
    <x v="219"/>
    <d v="2024-07-31T00:00:00"/>
    <n v="3536.61"/>
    <s v="USD"/>
    <x v="1"/>
    <m/>
    <s v="Net 30"/>
    <s v="Unpaid"/>
    <x v="0"/>
  </r>
  <r>
    <s v="AP10241"/>
    <x v="4"/>
    <x v="220"/>
    <d v="2023-07-10T00:00:00"/>
    <n v="4873.4799999999996"/>
    <s v="EUR"/>
    <x v="2"/>
    <d v="2023-07-10T00:00:00"/>
    <s v="Net 30"/>
    <s v="On Time"/>
    <x v="1"/>
  </r>
  <r>
    <s v="AP10242"/>
    <x v="0"/>
    <x v="221"/>
    <d v="2024-12-22T00:00:00"/>
    <n v="3763.83"/>
    <s v="AUD"/>
    <x v="1"/>
    <m/>
    <s v="Net 30"/>
    <s v="Unpaid"/>
    <x v="0"/>
  </r>
  <r>
    <s v="AP10243"/>
    <x v="0"/>
    <x v="222"/>
    <d v="2023-05-29T00:00:00"/>
    <n v="1956.76"/>
    <s v="CAD"/>
    <x v="1"/>
    <m/>
    <s v="Net 30"/>
    <s v="Unpaid"/>
    <x v="0"/>
  </r>
  <r>
    <s v="AP10244"/>
    <x v="0"/>
    <x v="122"/>
    <d v="2024-05-14T00:00:00"/>
    <n v="4541.03"/>
    <s v="AUD"/>
    <x v="1"/>
    <m/>
    <s v="Net 30"/>
    <s v="Unpaid"/>
    <x v="0"/>
  </r>
  <r>
    <s v="AP10245"/>
    <x v="2"/>
    <x v="223"/>
    <d v="2023-11-03T00:00:00"/>
    <n v="3118.33"/>
    <s v="USD"/>
    <x v="1"/>
    <m/>
    <s v="Net 30"/>
    <s v="Unpaid"/>
    <x v="0"/>
  </r>
  <r>
    <s v="AP10246"/>
    <x v="2"/>
    <x v="224"/>
    <d v="2024-08-29T00:00:00"/>
    <n v="4825.22"/>
    <s v="CAD"/>
    <x v="2"/>
    <d v="2024-08-29T00:00:00"/>
    <s v="Net 30"/>
    <s v="On Time"/>
    <x v="1"/>
  </r>
  <r>
    <s v="AP10247"/>
    <x v="4"/>
    <x v="225"/>
    <d v="2025-03-26T00:00:00"/>
    <n v="3534.62"/>
    <s v="AUD"/>
    <x v="1"/>
    <m/>
    <s v="Net 30"/>
    <s v="Unpaid"/>
    <x v="0"/>
  </r>
  <r>
    <s v="AP10248"/>
    <x v="2"/>
    <x v="226"/>
    <d v="2023-06-28T00:00:00"/>
    <n v="2784.2"/>
    <s v="GBP"/>
    <x v="2"/>
    <d v="2023-06-28T00:00:00"/>
    <s v="Net 30"/>
    <s v="On Time"/>
    <x v="1"/>
  </r>
  <r>
    <s v="AP10249"/>
    <x v="1"/>
    <x v="227"/>
    <d v="2025-06-14T00:00:00"/>
    <n v="4703.79"/>
    <s v="AUD"/>
    <x v="0"/>
    <m/>
    <s v="Net 30"/>
    <s v="Unpaid"/>
    <x v="0"/>
  </r>
  <r>
    <s v="AP10250"/>
    <x v="4"/>
    <x v="80"/>
    <d v="2024-06-10T00:00:00"/>
    <n v="3586.26"/>
    <s v="AUD"/>
    <x v="0"/>
    <m/>
    <s v="Net 30"/>
    <s v="Unpaid"/>
    <x v="0"/>
  </r>
  <r>
    <s v="AP10251"/>
    <x v="0"/>
    <x v="228"/>
    <d v="2024-04-21T00:00:00"/>
    <n v="2609.4499999999998"/>
    <s v="USD"/>
    <x v="2"/>
    <d v="2024-04-21T00:00:00"/>
    <s v="Net 30"/>
    <s v="On Time"/>
    <x v="1"/>
  </r>
  <r>
    <s v="AP10252"/>
    <x v="0"/>
    <x v="229"/>
    <d v="2023-04-13T00:00:00"/>
    <n v="527.17999999999995"/>
    <s v="GBP"/>
    <x v="2"/>
    <d v="2023-04-13T00:00:00"/>
    <s v="Net 30"/>
    <s v="On Time"/>
    <x v="1"/>
  </r>
  <r>
    <s v="AP10253"/>
    <x v="3"/>
    <x v="230"/>
    <d v="2023-07-09T00:00:00"/>
    <n v="3705.03"/>
    <s v="AUD"/>
    <x v="1"/>
    <m/>
    <s v="Net 30"/>
    <s v="Unpaid"/>
    <x v="0"/>
  </r>
  <r>
    <s v="AP10254"/>
    <x v="0"/>
    <x v="57"/>
    <d v="2024-06-27T00:00:00"/>
    <n v="1274.56"/>
    <s v="AUD"/>
    <x v="0"/>
    <m/>
    <s v="Net 30"/>
    <s v="Unpaid"/>
    <x v="0"/>
  </r>
  <r>
    <s v="AP10255"/>
    <x v="1"/>
    <x v="231"/>
    <d v="2025-07-07T00:00:00"/>
    <n v="928.12"/>
    <s v="EUR"/>
    <x v="2"/>
    <d v="2025-07-07T00:00:00"/>
    <s v="Net 30"/>
    <s v="On Time"/>
    <x v="1"/>
  </r>
  <r>
    <s v="AP10256"/>
    <x v="4"/>
    <x v="232"/>
    <d v="2025-03-09T00:00:00"/>
    <n v="3380.41"/>
    <s v="GBP"/>
    <x v="1"/>
    <m/>
    <s v="Net 30"/>
    <s v="Unpaid"/>
    <x v="0"/>
  </r>
  <r>
    <s v="AP10257"/>
    <x v="4"/>
    <x v="233"/>
    <d v="2023-02-22T00:00:00"/>
    <n v="489.13"/>
    <s v="EUR"/>
    <x v="0"/>
    <m/>
    <s v="Net 30"/>
    <s v="Unpaid"/>
    <x v="0"/>
  </r>
  <r>
    <s v="AP10258"/>
    <x v="1"/>
    <x v="234"/>
    <d v="2023-12-07T00:00:00"/>
    <n v="2309.52"/>
    <s v="USD"/>
    <x v="1"/>
    <m/>
    <s v="Net 30"/>
    <s v="Unpaid"/>
    <x v="0"/>
  </r>
  <r>
    <s v="AP10259"/>
    <x v="0"/>
    <x v="235"/>
    <d v="2023-09-27T00:00:00"/>
    <n v="2555.11"/>
    <s v="CAD"/>
    <x v="0"/>
    <m/>
    <s v="Net 30"/>
    <s v="Unpaid"/>
    <x v="0"/>
  </r>
  <r>
    <s v="AP10260"/>
    <x v="2"/>
    <x v="228"/>
    <d v="2024-04-21T00:00:00"/>
    <n v="3084.27"/>
    <s v="USD"/>
    <x v="2"/>
    <d v="2024-04-21T00:00:00"/>
    <s v="Net 30"/>
    <s v="On Time"/>
    <x v="1"/>
  </r>
  <r>
    <s v="AP10261"/>
    <x v="0"/>
    <x v="167"/>
    <d v="2025-03-07T00:00:00"/>
    <n v="2226.56"/>
    <s v="EUR"/>
    <x v="2"/>
    <d v="2025-03-07T00:00:00"/>
    <s v="Net 30"/>
    <s v="On Time"/>
    <x v="1"/>
  </r>
  <r>
    <s v="AP10262"/>
    <x v="3"/>
    <x v="236"/>
    <d v="2024-02-24T00:00:00"/>
    <n v="1081.44"/>
    <s v="AUD"/>
    <x v="2"/>
    <d v="2024-02-24T00:00:00"/>
    <s v="Net 30"/>
    <s v="On Time"/>
    <x v="1"/>
  </r>
  <r>
    <s v="AP10263"/>
    <x v="2"/>
    <x v="237"/>
    <d v="2023-07-12T00:00:00"/>
    <n v="985.69"/>
    <s v="USD"/>
    <x v="1"/>
    <m/>
    <s v="Net 30"/>
    <s v="Unpaid"/>
    <x v="0"/>
  </r>
  <r>
    <s v="AP10264"/>
    <x v="0"/>
    <x v="227"/>
    <d v="2025-06-14T00:00:00"/>
    <n v="4502.04"/>
    <s v="CAD"/>
    <x v="1"/>
    <m/>
    <s v="Net 30"/>
    <s v="Unpaid"/>
    <x v="0"/>
  </r>
  <r>
    <s v="AP10265"/>
    <x v="4"/>
    <x v="238"/>
    <d v="2025-02-28T00:00:00"/>
    <n v="1415.18"/>
    <s v="GBP"/>
    <x v="1"/>
    <m/>
    <s v="Net 30"/>
    <s v="Unpaid"/>
    <x v="0"/>
  </r>
  <r>
    <s v="AP10266"/>
    <x v="3"/>
    <x v="239"/>
    <d v="2023-11-09T00:00:00"/>
    <n v="3176.41"/>
    <s v="EUR"/>
    <x v="0"/>
    <m/>
    <s v="Net 30"/>
    <s v="Unpaid"/>
    <x v="0"/>
  </r>
  <r>
    <s v="AP10267"/>
    <x v="2"/>
    <x v="240"/>
    <d v="2023-07-17T00:00:00"/>
    <n v="4887.26"/>
    <s v="USD"/>
    <x v="0"/>
    <m/>
    <s v="Net 30"/>
    <s v="Unpaid"/>
    <x v="0"/>
  </r>
  <r>
    <s v="AP10268"/>
    <x v="3"/>
    <x v="241"/>
    <d v="2024-10-10T00:00:00"/>
    <n v="3883.76"/>
    <s v="GBP"/>
    <x v="1"/>
    <m/>
    <s v="Net 30"/>
    <s v="Unpaid"/>
    <x v="0"/>
  </r>
  <r>
    <s v="AP10269"/>
    <x v="3"/>
    <x v="82"/>
    <d v="2025-07-12T00:00:00"/>
    <n v="1284.06"/>
    <s v="CAD"/>
    <x v="0"/>
    <m/>
    <s v="Net 30"/>
    <s v="Unpaid"/>
    <x v="0"/>
  </r>
  <r>
    <s v="AP10270"/>
    <x v="3"/>
    <x v="242"/>
    <d v="2025-07-26T00:00:00"/>
    <n v="4305.1899999999996"/>
    <s v="GBP"/>
    <x v="2"/>
    <d v="2025-07-26T00:00:00"/>
    <s v="Net 30"/>
    <s v="On Time"/>
    <x v="1"/>
  </r>
  <r>
    <s v="AP10271"/>
    <x v="3"/>
    <x v="243"/>
    <d v="2023-12-12T00:00:00"/>
    <n v="1810.33"/>
    <s v="AUD"/>
    <x v="0"/>
    <m/>
    <s v="Net 30"/>
    <s v="Unpaid"/>
    <x v="0"/>
  </r>
  <r>
    <s v="AP10272"/>
    <x v="0"/>
    <x v="228"/>
    <d v="2024-04-21T00:00:00"/>
    <n v="3741.63"/>
    <s v="EUR"/>
    <x v="0"/>
    <m/>
    <s v="Net 30"/>
    <s v="Unpaid"/>
    <x v="0"/>
  </r>
  <r>
    <s v="AP10273"/>
    <x v="1"/>
    <x v="244"/>
    <d v="2024-03-01T00:00:00"/>
    <n v="2037.12"/>
    <s v="AUD"/>
    <x v="2"/>
    <d v="2024-03-01T00:00:00"/>
    <s v="Net 30"/>
    <s v="On Time"/>
    <x v="1"/>
  </r>
  <r>
    <s v="AP10274"/>
    <x v="1"/>
    <x v="245"/>
    <d v="2024-03-11T00:00:00"/>
    <n v="970.98"/>
    <s v="USD"/>
    <x v="0"/>
    <m/>
    <s v="Net 30"/>
    <s v="Unpaid"/>
    <x v="0"/>
  </r>
  <r>
    <s v="AP10275"/>
    <x v="3"/>
    <x v="208"/>
    <d v="2023-04-11T00:00:00"/>
    <n v="743.53"/>
    <s v="AUD"/>
    <x v="2"/>
    <d v="2023-04-11T00:00:00"/>
    <s v="Net 30"/>
    <s v="On Time"/>
    <x v="1"/>
  </r>
  <r>
    <s v="AP10276"/>
    <x v="2"/>
    <x v="246"/>
    <d v="2024-08-04T00:00:00"/>
    <n v="983.96"/>
    <s v="GBP"/>
    <x v="0"/>
    <m/>
    <s v="Net 30"/>
    <s v="Unpaid"/>
    <x v="0"/>
  </r>
  <r>
    <s v="AP10277"/>
    <x v="2"/>
    <x v="247"/>
    <d v="2024-09-08T00:00:00"/>
    <n v="1917.71"/>
    <s v="GBP"/>
    <x v="0"/>
    <m/>
    <s v="Net 30"/>
    <s v="Unpaid"/>
    <x v="0"/>
  </r>
  <r>
    <s v="AP10278"/>
    <x v="0"/>
    <x v="248"/>
    <d v="2024-08-13T00:00:00"/>
    <n v="1199.03"/>
    <s v="USD"/>
    <x v="1"/>
    <m/>
    <s v="Net 30"/>
    <s v="Unpaid"/>
    <x v="0"/>
  </r>
  <r>
    <s v="AP10279"/>
    <x v="2"/>
    <x v="249"/>
    <d v="2023-06-10T00:00:00"/>
    <n v="317.85000000000002"/>
    <s v="USD"/>
    <x v="2"/>
    <d v="2023-06-10T00:00:00"/>
    <s v="Net 30"/>
    <s v="On Time"/>
    <x v="1"/>
  </r>
  <r>
    <s v="AP10280"/>
    <x v="1"/>
    <x v="250"/>
    <d v="2025-05-06T00:00:00"/>
    <n v="4556.93"/>
    <s v="EUR"/>
    <x v="1"/>
    <m/>
    <s v="Net 30"/>
    <s v="Unpaid"/>
    <x v="0"/>
  </r>
  <r>
    <s v="AP10281"/>
    <x v="0"/>
    <x v="251"/>
    <d v="2024-12-10T00:00:00"/>
    <n v="1600.22"/>
    <s v="GBP"/>
    <x v="0"/>
    <m/>
    <s v="Net 30"/>
    <s v="Unpaid"/>
    <x v="0"/>
  </r>
  <r>
    <s v="AP10282"/>
    <x v="1"/>
    <x v="174"/>
    <d v="2023-03-19T00:00:00"/>
    <n v="2011.23"/>
    <s v="GBP"/>
    <x v="0"/>
    <m/>
    <s v="Net 30"/>
    <s v="Unpaid"/>
    <x v="0"/>
  </r>
  <r>
    <s v="AP10283"/>
    <x v="1"/>
    <x v="252"/>
    <d v="2024-11-15T00:00:00"/>
    <n v="2093.29"/>
    <s v="CAD"/>
    <x v="0"/>
    <m/>
    <s v="Net 30"/>
    <s v="Unpaid"/>
    <x v="0"/>
  </r>
  <r>
    <s v="AP10284"/>
    <x v="4"/>
    <x v="253"/>
    <d v="2025-05-05T00:00:00"/>
    <n v="4095"/>
    <s v="CAD"/>
    <x v="1"/>
    <m/>
    <s v="Net 30"/>
    <s v="Unpaid"/>
    <x v="0"/>
  </r>
  <r>
    <s v="AP10285"/>
    <x v="0"/>
    <x v="254"/>
    <d v="2024-02-10T00:00:00"/>
    <n v="3459.29"/>
    <s v="GBP"/>
    <x v="1"/>
    <m/>
    <s v="Net 30"/>
    <s v="Unpaid"/>
    <x v="0"/>
  </r>
  <r>
    <s v="AP10286"/>
    <x v="1"/>
    <x v="255"/>
    <d v="2023-11-25T00:00:00"/>
    <n v="310.83999999999997"/>
    <s v="USD"/>
    <x v="2"/>
    <d v="2023-11-25T00:00:00"/>
    <s v="Net 30"/>
    <s v="On Time"/>
    <x v="1"/>
  </r>
  <r>
    <s v="AP10287"/>
    <x v="2"/>
    <x v="256"/>
    <d v="2024-10-24T00:00:00"/>
    <n v="929.39"/>
    <s v="EUR"/>
    <x v="1"/>
    <m/>
    <s v="Net 30"/>
    <s v="Unpaid"/>
    <x v="0"/>
  </r>
  <r>
    <s v="AP10288"/>
    <x v="4"/>
    <x v="257"/>
    <d v="2023-04-15T00:00:00"/>
    <n v="4087.15"/>
    <s v="USD"/>
    <x v="2"/>
    <d v="2023-04-15T00:00:00"/>
    <s v="Net 30"/>
    <s v="On Time"/>
    <x v="1"/>
  </r>
  <r>
    <s v="AP10289"/>
    <x v="3"/>
    <x v="258"/>
    <d v="2025-04-24T00:00:00"/>
    <n v="2351.0300000000002"/>
    <s v="CAD"/>
    <x v="0"/>
    <m/>
    <s v="Net 30"/>
    <s v="Unpaid"/>
    <x v="0"/>
  </r>
  <r>
    <s v="AP10290"/>
    <x v="4"/>
    <x v="113"/>
    <d v="2023-09-13T00:00:00"/>
    <n v="4799.5"/>
    <s v="GBP"/>
    <x v="2"/>
    <d v="2023-09-13T00:00:00"/>
    <s v="Net 30"/>
    <s v="On Time"/>
    <x v="1"/>
  </r>
  <r>
    <s v="AP10291"/>
    <x v="4"/>
    <x v="20"/>
    <d v="2023-07-28T00:00:00"/>
    <n v="2284.77"/>
    <s v="AUD"/>
    <x v="0"/>
    <m/>
    <s v="Net 30"/>
    <s v="Unpaid"/>
    <x v="0"/>
  </r>
  <r>
    <s v="AP10292"/>
    <x v="1"/>
    <x v="259"/>
    <d v="2023-09-03T00:00:00"/>
    <n v="2951.68"/>
    <s v="AUD"/>
    <x v="2"/>
    <d v="2023-09-03T00:00:00"/>
    <s v="Net 30"/>
    <s v="On Time"/>
    <x v="1"/>
  </r>
  <r>
    <s v="AP10293"/>
    <x v="2"/>
    <x v="260"/>
    <d v="2024-07-14T00:00:00"/>
    <n v="4227.92"/>
    <s v="AUD"/>
    <x v="1"/>
    <m/>
    <s v="Net 30"/>
    <s v="Unpaid"/>
    <x v="0"/>
  </r>
  <r>
    <s v="AP10294"/>
    <x v="4"/>
    <x v="261"/>
    <d v="2024-12-21T00:00:00"/>
    <n v="1060.77"/>
    <s v="AUD"/>
    <x v="2"/>
    <d v="2024-12-21T00:00:00"/>
    <s v="Net 30"/>
    <s v="On Time"/>
    <x v="1"/>
  </r>
  <r>
    <s v="AP10295"/>
    <x v="0"/>
    <x v="262"/>
    <d v="2024-01-24T00:00:00"/>
    <n v="4147.42"/>
    <s v="AUD"/>
    <x v="1"/>
    <m/>
    <s v="Net 30"/>
    <s v="Unpaid"/>
    <x v="0"/>
  </r>
  <r>
    <s v="AP10296"/>
    <x v="2"/>
    <x v="263"/>
    <d v="2023-11-06T00:00:00"/>
    <n v="4406.58"/>
    <s v="GBP"/>
    <x v="2"/>
    <d v="2023-11-06T00:00:00"/>
    <s v="Net 30"/>
    <s v="On Time"/>
    <x v="1"/>
  </r>
  <r>
    <s v="AP10297"/>
    <x v="3"/>
    <x v="264"/>
    <d v="2023-06-22T00:00:00"/>
    <n v="3855.44"/>
    <s v="CAD"/>
    <x v="0"/>
    <m/>
    <s v="Net 30"/>
    <s v="Unpaid"/>
    <x v="0"/>
  </r>
  <r>
    <s v="AP10298"/>
    <x v="2"/>
    <x v="265"/>
    <d v="2025-05-26T00:00:00"/>
    <n v="1239.49"/>
    <s v="CAD"/>
    <x v="0"/>
    <m/>
    <s v="Net 30"/>
    <s v="Unpaid"/>
    <x v="0"/>
  </r>
  <r>
    <s v="AP10299"/>
    <x v="3"/>
    <x v="266"/>
    <d v="2025-07-11T00:00:00"/>
    <n v="4842.93"/>
    <s v="AUD"/>
    <x v="0"/>
    <m/>
    <s v="Net 30"/>
    <s v="Unpaid"/>
    <x v="0"/>
  </r>
  <r>
    <s v="AP10300"/>
    <x v="0"/>
    <x v="267"/>
    <d v="2025-07-25T00:00:00"/>
    <n v="1477.77"/>
    <s v="USD"/>
    <x v="0"/>
    <m/>
    <s v="Net 30"/>
    <s v="Unpaid"/>
    <x v="0"/>
  </r>
  <r>
    <s v="AP10301"/>
    <x v="1"/>
    <x v="268"/>
    <d v="2025-03-31T00:00:00"/>
    <n v="4772.12"/>
    <s v="USD"/>
    <x v="2"/>
    <d v="2025-03-31T00:00:00"/>
    <s v="Net 30"/>
    <s v="On Time"/>
    <x v="1"/>
  </r>
  <r>
    <s v="AP10302"/>
    <x v="4"/>
    <x v="269"/>
    <d v="2023-05-19T00:00:00"/>
    <n v="2860.03"/>
    <s v="AUD"/>
    <x v="2"/>
    <d v="2023-05-19T00:00:00"/>
    <s v="Net 30"/>
    <s v="On Time"/>
    <x v="1"/>
  </r>
  <r>
    <s v="AP10303"/>
    <x v="4"/>
    <x v="36"/>
    <d v="2024-08-30T00:00:00"/>
    <n v="1886.55"/>
    <s v="AUD"/>
    <x v="1"/>
    <m/>
    <s v="Net 30"/>
    <s v="Unpaid"/>
    <x v="0"/>
  </r>
  <r>
    <s v="AP10304"/>
    <x v="0"/>
    <x v="196"/>
    <d v="2024-07-06T00:00:00"/>
    <n v="4336.49"/>
    <s v="AUD"/>
    <x v="0"/>
    <m/>
    <s v="Net 30"/>
    <s v="Unpaid"/>
    <x v="0"/>
  </r>
  <r>
    <s v="AP10305"/>
    <x v="0"/>
    <x v="270"/>
    <d v="2023-12-26T00:00:00"/>
    <n v="4046.8"/>
    <s v="USD"/>
    <x v="1"/>
    <m/>
    <s v="Net 30"/>
    <s v="Unpaid"/>
    <x v="0"/>
  </r>
  <r>
    <s v="AP10306"/>
    <x v="0"/>
    <x v="104"/>
    <d v="2025-06-09T00:00:00"/>
    <n v="3387.6"/>
    <s v="AUD"/>
    <x v="2"/>
    <d v="2025-06-09T00:00:00"/>
    <s v="Net 30"/>
    <s v="On Time"/>
    <x v="1"/>
  </r>
  <r>
    <s v="AP10307"/>
    <x v="3"/>
    <x v="271"/>
    <d v="2025-02-21T00:00:00"/>
    <n v="4207.8599999999997"/>
    <s v="EUR"/>
    <x v="0"/>
    <m/>
    <s v="Net 30"/>
    <s v="Unpaid"/>
    <x v="0"/>
  </r>
  <r>
    <s v="AP10308"/>
    <x v="4"/>
    <x v="272"/>
    <d v="2024-02-28T00:00:00"/>
    <n v="2784.29"/>
    <s v="CAD"/>
    <x v="0"/>
    <m/>
    <s v="Net 30"/>
    <s v="Unpaid"/>
    <x v="0"/>
  </r>
  <r>
    <s v="AP10309"/>
    <x v="4"/>
    <x v="273"/>
    <d v="2024-11-10T00:00:00"/>
    <n v="2721.22"/>
    <s v="GBP"/>
    <x v="1"/>
    <m/>
    <s v="Net 30"/>
    <s v="Unpaid"/>
    <x v="0"/>
  </r>
  <r>
    <s v="AP10310"/>
    <x v="1"/>
    <x v="274"/>
    <d v="2023-04-07T00:00:00"/>
    <n v="1741.36"/>
    <s v="CAD"/>
    <x v="1"/>
    <m/>
    <s v="Net 30"/>
    <s v="Unpaid"/>
    <x v="0"/>
  </r>
  <r>
    <s v="AP10311"/>
    <x v="4"/>
    <x v="275"/>
    <d v="2024-07-22T00:00:00"/>
    <n v="4981.4399999999996"/>
    <s v="USD"/>
    <x v="2"/>
    <d v="2024-07-22T00:00:00"/>
    <s v="Net 30"/>
    <s v="On Time"/>
    <x v="1"/>
  </r>
  <r>
    <s v="AP10312"/>
    <x v="2"/>
    <x v="22"/>
    <d v="2023-06-15T00:00:00"/>
    <n v="2244.6799999999998"/>
    <s v="EUR"/>
    <x v="0"/>
    <m/>
    <s v="Net 30"/>
    <s v="Unpaid"/>
    <x v="0"/>
  </r>
  <r>
    <s v="AP10313"/>
    <x v="0"/>
    <x v="148"/>
    <d v="2024-11-01T00:00:00"/>
    <n v="660.06"/>
    <s v="AUD"/>
    <x v="2"/>
    <d v="2024-11-01T00:00:00"/>
    <s v="Net 30"/>
    <s v="On Time"/>
    <x v="1"/>
  </r>
  <r>
    <s v="AP10314"/>
    <x v="3"/>
    <x v="276"/>
    <d v="2025-04-05T00:00:00"/>
    <n v="2932.27"/>
    <s v="AUD"/>
    <x v="2"/>
    <d v="2025-04-05T00:00:00"/>
    <s v="Net 30"/>
    <s v="On Time"/>
    <x v="1"/>
  </r>
  <r>
    <s v="AP10315"/>
    <x v="3"/>
    <x v="277"/>
    <d v="2024-09-06T00:00:00"/>
    <n v="451.25"/>
    <s v="GBP"/>
    <x v="0"/>
    <m/>
    <s v="Net 30"/>
    <s v="Unpaid"/>
    <x v="0"/>
  </r>
  <r>
    <s v="AP10316"/>
    <x v="1"/>
    <x v="98"/>
    <d v="2025-07-30T00:00:00"/>
    <n v="2665.5"/>
    <s v="CAD"/>
    <x v="1"/>
    <m/>
    <s v="Net 30"/>
    <s v="Unpaid"/>
    <x v="0"/>
  </r>
  <r>
    <s v="AP10317"/>
    <x v="0"/>
    <x v="278"/>
    <d v="2025-03-21T00:00:00"/>
    <n v="1471.82"/>
    <s v="USD"/>
    <x v="0"/>
    <m/>
    <s v="Net 30"/>
    <s v="Unpaid"/>
    <x v="0"/>
  </r>
  <r>
    <s v="AP10318"/>
    <x v="2"/>
    <x v="279"/>
    <d v="2024-05-09T00:00:00"/>
    <n v="1830.02"/>
    <s v="GBP"/>
    <x v="2"/>
    <d v="2024-05-09T00:00:00"/>
    <s v="Net 30"/>
    <s v="On Time"/>
    <x v="1"/>
  </r>
  <r>
    <s v="AP10319"/>
    <x v="2"/>
    <x v="280"/>
    <d v="2023-03-24T00:00:00"/>
    <n v="4995.3900000000003"/>
    <s v="CAD"/>
    <x v="1"/>
    <m/>
    <s v="Net 30"/>
    <s v="Unpaid"/>
    <x v="0"/>
  </r>
  <r>
    <s v="AP10320"/>
    <x v="2"/>
    <x v="73"/>
    <d v="2023-06-21T00:00:00"/>
    <n v="4822.93"/>
    <s v="AUD"/>
    <x v="1"/>
    <m/>
    <s v="Net 30"/>
    <s v="Unpaid"/>
    <x v="0"/>
  </r>
  <r>
    <s v="AP10321"/>
    <x v="0"/>
    <x v="281"/>
    <d v="2023-02-01T00:00:00"/>
    <n v="1174.97"/>
    <s v="USD"/>
    <x v="2"/>
    <d v="2023-02-01T00:00:00"/>
    <s v="Net 30"/>
    <s v="On Time"/>
    <x v="1"/>
  </r>
  <r>
    <s v="AP10322"/>
    <x v="3"/>
    <x v="282"/>
    <d v="2024-05-05T00:00:00"/>
    <n v="1018.67"/>
    <s v="EUR"/>
    <x v="1"/>
    <m/>
    <s v="Net 30"/>
    <s v="Unpaid"/>
    <x v="0"/>
  </r>
  <r>
    <s v="AP10323"/>
    <x v="4"/>
    <x v="283"/>
    <d v="2024-09-23T00:00:00"/>
    <n v="525.23"/>
    <s v="AUD"/>
    <x v="0"/>
    <m/>
    <s v="Net 30"/>
    <s v="Unpaid"/>
    <x v="0"/>
  </r>
  <r>
    <s v="AP10324"/>
    <x v="4"/>
    <x v="284"/>
    <d v="2023-04-28T00:00:00"/>
    <n v="4607.07"/>
    <s v="USD"/>
    <x v="0"/>
    <m/>
    <s v="Net 30"/>
    <s v="Unpaid"/>
    <x v="0"/>
  </r>
  <r>
    <s v="AP10325"/>
    <x v="0"/>
    <x v="285"/>
    <d v="2023-06-07T00:00:00"/>
    <n v="2792.15"/>
    <s v="CAD"/>
    <x v="2"/>
    <d v="2023-06-07T00:00:00"/>
    <s v="Net 30"/>
    <s v="On Time"/>
    <x v="1"/>
  </r>
  <r>
    <s v="AP10326"/>
    <x v="0"/>
    <x v="277"/>
    <d v="2024-09-06T00:00:00"/>
    <n v="3719.04"/>
    <s v="GBP"/>
    <x v="0"/>
    <m/>
    <s v="Net 30"/>
    <s v="Unpaid"/>
    <x v="0"/>
  </r>
  <r>
    <s v="AP10327"/>
    <x v="1"/>
    <x v="273"/>
    <d v="2024-11-10T00:00:00"/>
    <n v="4169.05"/>
    <s v="EUR"/>
    <x v="2"/>
    <d v="2024-11-10T00:00:00"/>
    <s v="Net 30"/>
    <s v="On Time"/>
    <x v="1"/>
  </r>
  <r>
    <s v="AP10328"/>
    <x v="3"/>
    <x v="286"/>
    <d v="2025-01-16T00:00:00"/>
    <n v="1405.35"/>
    <s v="AUD"/>
    <x v="0"/>
    <m/>
    <s v="Net 30"/>
    <s v="Unpaid"/>
    <x v="0"/>
  </r>
  <r>
    <s v="AP10329"/>
    <x v="3"/>
    <x v="75"/>
    <d v="2024-05-19T00:00:00"/>
    <n v="4512.4399999999996"/>
    <s v="AUD"/>
    <x v="1"/>
    <m/>
    <s v="Net 30"/>
    <s v="Unpaid"/>
    <x v="0"/>
  </r>
  <r>
    <s v="AP10330"/>
    <x v="2"/>
    <x v="287"/>
    <d v="2024-05-13T00:00:00"/>
    <n v="1855.47"/>
    <s v="EUR"/>
    <x v="0"/>
    <m/>
    <s v="Net 30"/>
    <s v="Unpaid"/>
    <x v="0"/>
  </r>
  <r>
    <s v="AP10331"/>
    <x v="1"/>
    <x v="288"/>
    <d v="2025-01-06T00:00:00"/>
    <n v="1596.9"/>
    <s v="CAD"/>
    <x v="2"/>
    <d v="2025-01-06T00:00:00"/>
    <s v="Net 30"/>
    <s v="On Time"/>
    <x v="1"/>
  </r>
  <r>
    <s v="AP10332"/>
    <x v="1"/>
    <x v="233"/>
    <d v="2023-02-22T00:00:00"/>
    <n v="176.54"/>
    <s v="CAD"/>
    <x v="2"/>
    <d v="2023-02-22T00:00:00"/>
    <s v="Net 30"/>
    <s v="On Time"/>
    <x v="1"/>
  </r>
  <r>
    <s v="AP10333"/>
    <x v="2"/>
    <x v="289"/>
    <d v="2025-03-19T00:00:00"/>
    <n v="1225.82"/>
    <s v="CAD"/>
    <x v="0"/>
    <m/>
    <s v="Net 30"/>
    <s v="Unpaid"/>
    <x v="0"/>
  </r>
  <r>
    <s v="AP10334"/>
    <x v="0"/>
    <x v="290"/>
    <d v="2024-02-29T00:00:00"/>
    <n v="355.21"/>
    <s v="CAD"/>
    <x v="0"/>
    <m/>
    <s v="Net 30"/>
    <s v="Unpaid"/>
    <x v="0"/>
  </r>
  <r>
    <s v="AP10335"/>
    <x v="3"/>
    <x v="291"/>
    <d v="2025-04-19T00:00:00"/>
    <n v="4628.8599999999997"/>
    <s v="EUR"/>
    <x v="2"/>
    <d v="2025-04-19T00:00:00"/>
    <s v="Net 30"/>
    <s v="On Time"/>
    <x v="1"/>
  </r>
  <r>
    <s v="AP10336"/>
    <x v="4"/>
    <x v="292"/>
    <d v="2024-01-07T00:00:00"/>
    <n v="2845.8"/>
    <s v="EUR"/>
    <x v="1"/>
    <m/>
    <s v="Net 30"/>
    <s v="Unpaid"/>
    <x v="0"/>
  </r>
  <r>
    <s v="AP10337"/>
    <x v="2"/>
    <x v="293"/>
    <d v="2025-07-02T00:00:00"/>
    <n v="1566.29"/>
    <s v="EUR"/>
    <x v="0"/>
    <m/>
    <s v="Net 30"/>
    <s v="Unpaid"/>
    <x v="0"/>
  </r>
  <r>
    <s v="AP10338"/>
    <x v="3"/>
    <x v="294"/>
    <d v="2023-12-05T00:00:00"/>
    <n v="4917.53"/>
    <s v="EUR"/>
    <x v="2"/>
    <d v="2023-12-05T00:00:00"/>
    <s v="Net 30"/>
    <s v="On Time"/>
    <x v="1"/>
  </r>
  <r>
    <s v="AP10339"/>
    <x v="4"/>
    <x v="295"/>
    <d v="2024-01-21T00:00:00"/>
    <n v="2748.45"/>
    <s v="GBP"/>
    <x v="0"/>
    <m/>
    <s v="Net 30"/>
    <s v="Unpaid"/>
    <x v="0"/>
  </r>
  <r>
    <s v="AP10340"/>
    <x v="3"/>
    <x v="296"/>
    <d v="2025-02-14T00:00:00"/>
    <n v="2910.56"/>
    <s v="AUD"/>
    <x v="2"/>
    <d v="2025-02-14T00:00:00"/>
    <s v="Net 30"/>
    <s v="On Time"/>
    <x v="1"/>
  </r>
  <r>
    <s v="AP10341"/>
    <x v="2"/>
    <x v="297"/>
    <d v="2025-07-23T00:00:00"/>
    <n v="728.89"/>
    <s v="USD"/>
    <x v="1"/>
    <m/>
    <s v="Net 30"/>
    <s v="Unpaid"/>
    <x v="0"/>
  </r>
  <r>
    <s v="AP10342"/>
    <x v="0"/>
    <x v="59"/>
    <d v="2023-03-26T00:00:00"/>
    <n v="1790.61"/>
    <s v="USD"/>
    <x v="1"/>
    <m/>
    <s v="Net 30"/>
    <s v="Unpaid"/>
    <x v="0"/>
  </r>
  <r>
    <s v="AP10343"/>
    <x v="3"/>
    <x v="298"/>
    <d v="2024-04-06T00:00:00"/>
    <n v="3085.28"/>
    <s v="GBP"/>
    <x v="2"/>
    <d v="2024-04-06T00:00:00"/>
    <s v="Net 30"/>
    <s v="On Time"/>
    <x v="1"/>
  </r>
  <r>
    <s v="AP10344"/>
    <x v="1"/>
    <x v="141"/>
    <d v="2023-09-15T00:00:00"/>
    <n v="899.5"/>
    <s v="GBP"/>
    <x v="0"/>
    <m/>
    <s v="Net 30"/>
    <s v="Unpaid"/>
    <x v="0"/>
  </r>
  <r>
    <s v="AP10345"/>
    <x v="3"/>
    <x v="299"/>
    <d v="2023-02-10T00:00:00"/>
    <n v="1797.02"/>
    <s v="USD"/>
    <x v="0"/>
    <m/>
    <s v="Net 30"/>
    <s v="Unpaid"/>
    <x v="0"/>
  </r>
  <r>
    <s v="AP10346"/>
    <x v="2"/>
    <x v="300"/>
    <d v="2023-09-30T00:00:00"/>
    <n v="4901.42"/>
    <s v="CAD"/>
    <x v="0"/>
    <m/>
    <s v="Net 30"/>
    <s v="Unpaid"/>
    <x v="0"/>
  </r>
  <r>
    <s v="AP10347"/>
    <x v="3"/>
    <x v="301"/>
    <d v="2023-03-07T00:00:00"/>
    <n v="4612.1400000000003"/>
    <s v="GBP"/>
    <x v="2"/>
    <d v="2023-03-07T00:00:00"/>
    <s v="Net 30"/>
    <s v="On Time"/>
    <x v="1"/>
  </r>
  <r>
    <s v="AP10348"/>
    <x v="0"/>
    <x v="302"/>
    <d v="2024-07-09T00:00:00"/>
    <n v="3151.2"/>
    <s v="CAD"/>
    <x v="1"/>
    <m/>
    <s v="Net 30"/>
    <s v="Unpaid"/>
    <x v="0"/>
  </r>
  <r>
    <s v="AP10349"/>
    <x v="3"/>
    <x v="183"/>
    <d v="2024-04-20T00:00:00"/>
    <n v="4219.03"/>
    <s v="AUD"/>
    <x v="2"/>
    <d v="2024-04-20T00:00:00"/>
    <s v="Net 30"/>
    <s v="On Time"/>
    <x v="1"/>
  </r>
  <r>
    <s v="AP10350"/>
    <x v="2"/>
    <x v="106"/>
    <d v="2024-01-12T00:00:00"/>
    <n v="4971.99"/>
    <s v="EUR"/>
    <x v="0"/>
    <m/>
    <s v="Net 30"/>
    <s v="Unpaid"/>
    <x v="0"/>
  </r>
  <r>
    <s v="AP10351"/>
    <x v="1"/>
    <x v="303"/>
    <d v="2024-01-20T00:00:00"/>
    <n v="3366.62"/>
    <s v="GBP"/>
    <x v="2"/>
    <d v="2024-01-20T00:00:00"/>
    <s v="Net 30"/>
    <s v="On Time"/>
    <x v="1"/>
  </r>
  <r>
    <s v="AP10352"/>
    <x v="4"/>
    <x v="304"/>
    <d v="2025-04-18T00:00:00"/>
    <n v="499.9"/>
    <s v="CAD"/>
    <x v="2"/>
    <d v="2025-04-18T00:00:00"/>
    <s v="Net 30"/>
    <s v="On Time"/>
    <x v="1"/>
  </r>
  <r>
    <s v="AP10353"/>
    <x v="1"/>
    <x v="47"/>
    <d v="2023-10-28T00:00:00"/>
    <n v="4834.01"/>
    <s v="GBP"/>
    <x v="2"/>
    <d v="2023-10-28T00:00:00"/>
    <s v="Net 30"/>
    <s v="On Time"/>
    <x v="1"/>
  </r>
  <r>
    <s v="AP10354"/>
    <x v="4"/>
    <x v="305"/>
    <d v="2023-05-11T00:00:00"/>
    <n v="1132.31"/>
    <s v="USD"/>
    <x v="1"/>
    <m/>
    <s v="Net 30"/>
    <s v="Unpaid"/>
    <x v="0"/>
  </r>
  <r>
    <s v="AP10355"/>
    <x v="4"/>
    <x v="306"/>
    <d v="2025-06-19T00:00:00"/>
    <n v="239.21"/>
    <s v="EUR"/>
    <x v="1"/>
    <m/>
    <s v="Net 30"/>
    <s v="Unpaid"/>
    <x v="0"/>
  </r>
  <r>
    <s v="AP10356"/>
    <x v="0"/>
    <x v="181"/>
    <d v="2023-10-21T00:00:00"/>
    <n v="1990.65"/>
    <s v="EUR"/>
    <x v="0"/>
    <m/>
    <s v="Net 30"/>
    <s v="Unpaid"/>
    <x v="0"/>
  </r>
  <r>
    <s v="AP10357"/>
    <x v="0"/>
    <x v="307"/>
    <d v="2023-09-21T00:00:00"/>
    <n v="4029.65"/>
    <s v="CAD"/>
    <x v="2"/>
    <d v="2023-09-21T00:00:00"/>
    <s v="Net 30"/>
    <s v="On Time"/>
    <x v="1"/>
  </r>
  <r>
    <s v="AP10358"/>
    <x v="1"/>
    <x v="241"/>
    <d v="2024-10-10T00:00:00"/>
    <n v="1667.66"/>
    <s v="AUD"/>
    <x v="0"/>
    <m/>
    <s v="Net 30"/>
    <s v="Unpaid"/>
    <x v="0"/>
  </r>
  <r>
    <s v="AP10359"/>
    <x v="1"/>
    <x v="152"/>
    <d v="2024-03-04T00:00:00"/>
    <n v="687.7"/>
    <s v="AUD"/>
    <x v="0"/>
    <m/>
    <s v="Net 30"/>
    <s v="Unpaid"/>
    <x v="0"/>
  </r>
  <r>
    <s v="AP10360"/>
    <x v="3"/>
    <x v="133"/>
    <d v="2023-10-05T00:00:00"/>
    <n v="1555.59"/>
    <s v="USD"/>
    <x v="2"/>
    <d v="2023-10-05T00:00:00"/>
    <s v="Net 30"/>
    <s v="On Time"/>
    <x v="1"/>
  </r>
  <r>
    <s v="AP10361"/>
    <x v="0"/>
    <x v="308"/>
    <d v="2024-02-06T00:00:00"/>
    <n v="937.69"/>
    <s v="AUD"/>
    <x v="2"/>
    <d v="2024-02-06T00:00:00"/>
    <s v="Net 30"/>
    <s v="On Time"/>
    <x v="1"/>
  </r>
  <r>
    <s v="AP10362"/>
    <x v="2"/>
    <x v="309"/>
    <d v="2024-02-15T00:00:00"/>
    <n v="2005.72"/>
    <s v="USD"/>
    <x v="2"/>
    <d v="2024-02-15T00:00:00"/>
    <s v="Net 30"/>
    <s v="On Time"/>
    <x v="1"/>
  </r>
  <r>
    <s v="AP10363"/>
    <x v="0"/>
    <x v="310"/>
    <d v="2024-02-14T00:00:00"/>
    <n v="4353.25"/>
    <s v="CAD"/>
    <x v="2"/>
    <d v="2024-02-14T00:00:00"/>
    <s v="Net 30"/>
    <s v="On Time"/>
    <x v="1"/>
  </r>
  <r>
    <s v="AP10364"/>
    <x v="0"/>
    <x v="21"/>
    <d v="2025-01-26T00:00:00"/>
    <n v="2122.23"/>
    <s v="AUD"/>
    <x v="0"/>
    <m/>
    <s v="Net 30"/>
    <s v="Unpaid"/>
    <x v="0"/>
  </r>
  <r>
    <s v="AP10365"/>
    <x v="4"/>
    <x v="311"/>
    <d v="2025-05-09T00:00:00"/>
    <n v="3957.87"/>
    <s v="CAD"/>
    <x v="1"/>
    <m/>
    <s v="Net 30"/>
    <s v="Unpaid"/>
    <x v="0"/>
  </r>
  <r>
    <s v="AP10366"/>
    <x v="0"/>
    <x v="312"/>
    <d v="2024-08-21T00:00:00"/>
    <n v="3266.74"/>
    <s v="AUD"/>
    <x v="1"/>
    <m/>
    <s v="Net 30"/>
    <s v="Unpaid"/>
    <x v="0"/>
  </r>
  <r>
    <s v="AP10367"/>
    <x v="4"/>
    <x v="313"/>
    <d v="2024-05-29T00:00:00"/>
    <n v="4729.29"/>
    <s v="AUD"/>
    <x v="1"/>
    <m/>
    <s v="Net 30"/>
    <s v="Unpaid"/>
    <x v="0"/>
  </r>
  <r>
    <s v="AP10368"/>
    <x v="2"/>
    <x v="314"/>
    <d v="2025-04-14T00:00:00"/>
    <n v="1404.93"/>
    <s v="AUD"/>
    <x v="1"/>
    <m/>
    <s v="Net 30"/>
    <s v="Unpaid"/>
    <x v="0"/>
  </r>
  <r>
    <s v="AP10369"/>
    <x v="4"/>
    <x v="129"/>
    <d v="2025-01-04T00:00:00"/>
    <n v="2397.5100000000002"/>
    <s v="CAD"/>
    <x v="1"/>
    <m/>
    <s v="Net 30"/>
    <s v="Unpaid"/>
    <x v="0"/>
  </r>
  <r>
    <s v="AP10370"/>
    <x v="4"/>
    <x v="315"/>
    <d v="2023-04-19T00:00:00"/>
    <n v="3324.14"/>
    <s v="AUD"/>
    <x v="2"/>
    <d v="2023-04-19T00:00:00"/>
    <s v="Net 30"/>
    <s v="On Time"/>
    <x v="1"/>
  </r>
  <r>
    <s v="AP10371"/>
    <x v="3"/>
    <x v="316"/>
    <d v="2024-01-29T00:00:00"/>
    <n v="4000.08"/>
    <s v="GBP"/>
    <x v="0"/>
    <m/>
    <s v="Net 30"/>
    <s v="Unpaid"/>
    <x v="0"/>
  </r>
  <r>
    <s v="AP10372"/>
    <x v="3"/>
    <x v="317"/>
    <d v="2025-06-10T00:00:00"/>
    <n v="692.78"/>
    <s v="EUR"/>
    <x v="2"/>
    <d v="2025-06-10T00:00:00"/>
    <s v="Net 30"/>
    <s v="On Time"/>
    <x v="1"/>
  </r>
  <r>
    <s v="AP10373"/>
    <x v="2"/>
    <x v="318"/>
    <d v="2023-06-19T00:00:00"/>
    <n v="485.69"/>
    <s v="EUR"/>
    <x v="1"/>
    <m/>
    <s v="Net 30"/>
    <s v="Unpaid"/>
    <x v="0"/>
  </r>
  <r>
    <s v="AP10374"/>
    <x v="4"/>
    <x v="319"/>
    <d v="2023-09-29T00:00:00"/>
    <n v="2956.85"/>
    <s v="EUR"/>
    <x v="2"/>
    <d v="2023-09-29T00:00:00"/>
    <s v="Net 30"/>
    <s v="On Time"/>
    <x v="1"/>
  </r>
  <r>
    <s v="AP10375"/>
    <x v="1"/>
    <x v="320"/>
    <d v="2023-12-03T00:00:00"/>
    <n v="2455.2600000000002"/>
    <s v="CAD"/>
    <x v="1"/>
    <m/>
    <s v="Net 30"/>
    <s v="Unpaid"/>
    <x v="0"/>
  </r>
  <r>
    <s v="AP10376"/>
    <x v="2"/>
    <x v="66"/>
    <d v="2023-03-03T00:00:00"/>
    <n v="852.36"/>
    <s v="CAD"/>
    <x v="2"/>
    <d v="2023-03-03T00:00:00"/>
    <s v="Net 30"/>
    <s v="On Time"/>
    <x v="1"/>
  </r>
  <r>
    <s v="AP10377"/>
    <x v="4"/>
    <x v="321"/>
    <d v="2023-08-21T00:00:00"/>
    <n v="4885.47"/>
    <s v="EUR"/>
    <x v="1"/>
    <m/>
    <s v="Net 30"/>
    <s v="Unpaid"/>
    <x v="0"/>
  </r>
  <r>
    <s v="AP10378"/>
    <x v="4"/>
    <x v="322"/>
    <d v="2024-09-16T00:00:00"/>
    <n v="3332.33"/>
    <s v="USD"/>
    <x v="0"/>
    <m/>
    <s v="Net 30"/>
    <s v="Unpaid"/>
    <x v="0"/>
  </r>
  <r>
    <s v="AP10379"/>
    <x v="4"/>
    <x v="323"/>
    <d v="2023-10-01T00:00:00"/>
    <n v="431.39"/>
    <s v="USD"/>
    <x v="2"/>
    <d v="2023-10-01T00:00:00"/>
    <s v="Net 30"/>
    <s v="On Time"/>
    <x v="1"/>
  </r>
  <r>
    <s v="AP10380"/>
    <x v="0"/>
    <x v="324"/>
    <d v="2024-04-11T00:00:00"/>
    <n v="2201.16"/>
    <s v="GBP"/>
    <x v="0"/>
    <m/>
    <s v="Net 30"/>
    <s v="Unpaid"/>
    <x v="0"/>
  </r>
  <r>
    <s v="AP10381"/>
    <x v="3"/>
    <x v="101"/>
    <d v="2024-10-17T00:00:00"/>
    <n v="726.32"/>
    <s v="GBP"/>
    <x v="2"/>
    <d v="2024-10-17T00:00:00"/>
    <s v="Net 30"/>
    <s v="On Time"/>
    <x v="1"/>
  </r>
  <r>
    <s v="AP10382"/>
    <x v="4"/>
    <x v="325"/>
    <d v="2024-03-08T00:00:00"/>
    <n v="4541.1000000000004"/>
    <s v="AUD"/>
    <x v="1"/>
    <m/>
    <s v="Net 30"/>
    <s v="Unpaid"/>
    <x v="0"/>
  </r>
  <r>
    <s v="AP10383"/>
    <x v="1"/>
    <x v="306"/>
    <d v="2025-06-19T00:00:00"/>
    <n v="249.48"/>
    <s v="CAD"/>
    <x v="2"/>
    <d v="2025-06-19T00:00:00"/>
    <s v="Net 30"/>
    <s v="On Time"/>
    <x v="1"/>
  </r>
  <r>
    <s v="AP10384"/>
    <x v="0"/>
    <x v="326"/>
    <d v="2024-01-23T00:00:00"/>
    <n v="3005.5"/>
    <s v="EUR"/>
    <x v="0"/>
    <m/>
    <s v="Net 30"/>
    <s v="Unpaid"/>
    <x v="0"/>
  </r>
  <r>
    <s v="AP10385"/>
    <x v="4"/>
    <x v="327"/>
    <d v="2023-02-03T00:00:00"/>
    <n v="1857.96"/>
    <s v="EUR"/>
    <x v="2"/>
    <d v="2023-02-03T00:00:00"/>
    <s v="Net 30"/>
    <s v="On Time"/>
    <x v="1"/>
  </r>
  <r>
    <s v="AP10386"/>
    <x v="4"/>
    <x v="328"/>
    <d v="2024-12-20T00:00:00"/>
    <n v="915.02"/>
    <s v="AUD"/>
    <x v="0"/>
    <m/>
    <s v="Net 30"/>
    <s v="Unpaid"/>
    <x v="0"/>
  </r>
  <r>
    <s v="AP10387"/>
    <x v="0"/>
    <x v="329"/>
    <d v="2024-08-06T00:00:00"/>
    <n v="4101.55"/>
    <s v="GBP"/>
    <x v="0"/>
    <m/>
    <s v="Net 30"/>
    <s v="Unpaid"/>
    <x v="0"/>
  </r>
  <r>
    <s v="AP10388"/>
    <x v="3"/>
    <x v="330"/>
    <d v="2024-01-11T00:00:00"/>
    <n v="4184.6499999999996"/>
    <s v="EUR"/>
    <x v="1"/>
    <m/>
    <s v="Net 30"/>
    <s v="Unpaid"/>
    <x v="0"/>
  </r>
  <r>
    <s v="AP10389"/>
    <x v="2"/>
    <x v="58"/>
    <d v="2024-05-26T00:00:00"/>
    <n v="4769.93"/>
    <s v="CAD"/>
    <x v="0"/>
    <m/>
    <s v="Net 30"/>
    <s v="Unpaid"/>
    <x v="0"/>
  </r>
  <r>
    <s v="AP10390"/>
    <x v="3"/>
    <x v="282"/>
    <d v="2024-05-05T00:00:00"/>
    <n v="3082.55"/>
    <s v="AUD"/>
    <x v="1"/>
    <m/>
    <s v="Net 30"/>
    <s v="Unpaid"/>
    <x v="0"/>
  </r>
  <r>
    <s v="AP10391"/>
    <x v="1"/>
    <x v="234"/>
    <d v="2023-12-07T00:00:00"/>
    <n v="4720.7700000000004"/>
    <s v="USD"/>
    <x v="2"/>
    <d v="2023-12-07T00:00:00"/>
    <s v="Net 30"/>
    <s v="On Time"/>
    <x v="1"/>
  </r>
  <r>
    <s v="AP10392"/>
    <x v="1"/>
    <x v="331"/>
    <d v="2024-06-23T00:00:00"/>
    <n v="4645.08"/>
    <s v="AUD"/>
    <x v="0"/>
    <m/>
    <s v="Net 30"/>
    <s v="Unpaid"/>
    <x v="0"/>
  </r>
  <r>
    <s v="AP10393"/>
    <x v="1"/>
    <x v="332"/>
    <d v="2024-07-21T00:00:00"/>
    <n v="2488.5"/>
    <s v="USD"/>
    <x v="0"/>
    <m/>
    <s v="Net 30"/>
    <s v="Unpaid"/>
    <x v="0"/>
  </r>
  <r>
    <s v="AP10394"/>
    <x v="3"/>
    <x v="333"/>
    <d v="2024-02-16T00:00:00"/>
    <n v="4687.1499999999996"/>
    <s v="CAD"/>
    <x v="1"/>
    <m/>
    <s v="Net 30"/>
    <s v="Unpaid"/>
    <x v="0"/>
  </r>
  <r>
    <s v="AP10395"/>
    <x v="3"/>
    <x v="90"/>
    <d v="2023-11-27T00:00:00"/>
    <n v="3299.79"/>
    <s v="USD"/>
    <x v="0"/>
    <m/>
    <s v="Net 30"/>
    <s v="Unpaid"/>
    <x v="0"/>
  </r>
  <r>
    <s v="AP10396"/>
    <x v="1"/>
    <x v="334"/>
    <d v="2024-10-06T00:00:00"/>
    <n v="1150.1099999999999"/>
    <s v="GBP"/>
    <x v="2"/>
    <d v="2024-10-06T00:00:00"/>
    <s v="Net 30"/>
    <s v="On Time"/>
    <x v="1"/>
  </r>
  <r>
    <s v="AP10397"/>
    <x v="3"/>
    <x v="325"/>
    <d v="2024-03-08T00:00:00"/>
    <n v="1440.98"/>
    <s v="CAD"/>
    <x v="0"/>
    <m/>
    <s v="Net 30"/>
    <s v="Unpaid"/>
    <x v="0"/>
  </r>
  <r>
    <s v="AP10398"/>
    <x v="2"/>
    <x v="335"/>
    <d v="2023-04-26T00:00:00"/>
    <n v="4705.1499999999996"/>
    <s v="AUD"/>
    <x v="2"/>
    <d v="2023-04-26T00:00:00"/>
    <s v="Net 30"/>
    <s v="On Time"/>
    <x v="1"/>
  </r>
  <r>
    <s v="AP10399"/>
    <x v="4"/>
    <x v="230"/>
    <d v="2023-07-09T00:00:00"/>
    <n v="4226.8900000000003"/>
    <s v="AUD"/>
    <x v="2"/>
    <d v="2023-07-09T00:00:00"/>
    <s v="Net 30"/>
    <s v="On Time"/>
    <x v="1"/>
  </r>
  <r>
    <s v="AP10400"/>
    <x v="3"/>
    <x v="336"/>
    <d v="2025-05-29T00:00:00"/>
    <n v="4706.16"/>
    <s v="GBP"/>
    <x v="2"/>
    <d v="2025-05-29T00:00:00"/>
    <s v="Net 30"/>
    <s v="On Time"/>
    <x v="1"/>
  </r>
  <r>
    <s v="AP10401"/>
    <x v="3"/>
    <x v="337"/>
    <d v="2023-09-06T00:00:00"/>
    <n v="4149.5200000000004"/>
    <s v="USD"/>
    <x v="2"/>
    <d v="2023-09-06T00:00:00"/>
    <s v="Net 30"/>
    <s v="On Time"/>
    <x v="1"/>
  </r>
  <r>
    <s v="AP10402"/>
    <x v="1"/>
    <x v="124"/>
    <d v="2024-01-25T00:00:00"/>
    <n v="1586.89"/>
    <s v="EUR"/>
    <x v="1"/>
    <m/>
    <s v="Net 30"/>
    <s v="Unpaid"/>
    <x v="0"/>
  </r>
  <r>
    <s v="AP10403"/>
    <x v="0"/>
    <x v="338"/>
    <d v="2025-05-10T00:00:00"/>
    <n v="2473.2600000000002"/>
    <s v="USD"/>
    <x v="0"/>
    <m/>
    <s v="Net 30"/>
    <s v="Unpaid"/>
    <x v="0"/>
  </r>
  <r>
    <s v="AP10404"/>
    <x v="0"/>
    <x v="339"/>
    <d v="2024-11-11T00:00:00"/>
    <n v="3115.36"/>
    <s v="GBP"/>
    <x v="0"/>
    <m/>
    <s v="Net 30"/>
    <s v="Unpaid"/>
    <x v="0"/>
  </r>
  <r>
    <s v="AP10405"/>
    <x v="3"/>
    <x v="340"/>
    <d v="2025-05-28T00:00:00"/>
    <n v="2243.81"/>
    <s v="AUD"/>
    <x v="2"/>
    <d v="2025-05-28T00:00:00"/>
    <s v="Net 30"/>
    <s v="On Time"/>
    <x v="1"/>
  </r>
  <r>
    <s v="AP10406"/>
    <x v="1"/>
    <x v="117"/>
    <d v="2025-04-12T00:00:00"/>
    <n v="2764.23"/>
    <s v="GBP"/>
    <x v="1"/>
    <m/>
    <s v="Net 30"/>
    <s v="Unpaid"/>
    <x v="0"/>
  </r>
  <r>
    <s v="AP10407"/>
    <x v="4"/>
    <x v="124"/>
    <d v="2024-01-25T00:00:00"/>
    <n v="4219.16"/>
    <s v="USD"/>
    <x v="1"/>
    <m/>
    <s v="Net 30"/>
    <s v="Unpaid"/>
    <x v="0"/>
  </r>
  <r>
    <s v="AP10408"/>
    <x v="3"/>
    <x v="1"/>
    <d v="2024-06-17T00:00:00"/>
    <n v="2719.44"/>
    <s v="CAD"/>
    <x v="0"/>
    <m/>
    <s v="Net 30"/>
    <s v="Unpaid"/>
    <x v="0"/>
  </r>
  <r>
    <s v="AP10409"/>
    <x v="4"/>
    <x v="261"/>
    <d v="2024-12-21T00:00:00"/>
    <n v="3651.79"/>
    <s v="CAD"/>
    <x v="1"/>
    <m/>
    <s v="Net 30"/>
    <s v="Unpaid"/>
    <x v="0"/>
  </r>
  <r>
    <s v="AP10410"/>
    <x v="3"/>
    <x v="298"/>
    <d v="2024-04-06T00:00:00"/>
    <n v="1247.3"/>
    <s v="AUD"/>
    <x v="2"/>
    <d v="2024-04-06T00:00:00"/>
    <s v="Net 30"/>
    <s v="On Time"/>
    <x v="1"/>
  </r>
  <r>
    <s v="AP10411"/>
    <x v="4"/>
    <x v="153"/>
    <d v="2024-11-20T00:00:00"/>
    <n v="1665.2"/>
    <s v="AUD"/>
    <x v="0"/>
    <m/>
    <s v="Net 30"/>
    <s v="Unpaid"/>
    <x v="0"/>
  </r>
  <r>
    <s v="AP10412"/>
    <x v="0"/>
    <x v="341"/>
    <d v="2025-05-22T00:00:00"/>
    <n v="4157.1000000000004"/>
    <s v="GBP"/>
    <x v="1"/>
    <m/>
    <s v="Net 30"/>
    <s v="Unpaid"/>
    <x v="0"/>
  </r>
  <r>
    <s v="AP10413"/>
    <x v="3"/>
    <x v="342"/>
    <d v="2023-07-01T00:00:00"/>
    <n v="4306.1000000000004"/>
    <s v="CAD"/>
    <x v="1"/>
    <m/>
    <s v="Net 30"/>
    <s v="Unpaid"/>
    <x v="0"/>
  </r>
  <r>
    <s v="AP10414"/>
    <x v="2"/>
    <x v="155"/>
    <d v="2024-10-14T00:00:00"/>
    <n v="432.27"/>
    <s v="AUD"/>
    <x v="2"/>
    <d v="2024-10-14T00:00:00"/>
    <s v="Net 30"/>
    <s v="On Time"/>
    <x v="1"/>
  </r>
  <r>
    <s v="AP10415"/>
    <x v="0"/>
    <x v="343"/>
    <d v="2023-12-30T00:00:00"/>
    <n v="2075.2199999999998"/>
    <s v="AUD"/>
    <x v="1"/>
    <m/>
    <s v="Net 30"/>
    <s v="Unpaid"/>
    <x v="0"/>
  </r>
  <r>
    <s v="AP10416"/>
    <x v="3"/>
    <x v="344"/>
    <d v="2023-03-14T00:00:00"/>
    <n v="2515.5700000000002"/>
    <s v="GBP"/>
    <x v="0"/>
    <m/>
    <s v="Net 30"/>
    <s v="Unpaid"/>
    <x v="0"/>
  </r>
  <r>
    <s v="AP10417"/>
    <x v="3"/>
    <x v="131"/>
    <d v="2024-01-04T00:00:00"/>
    <n v="1960.15"/>
    <s v="USD"/>
    <x v="1"/>
    <m/>
    <s v="Net 30"/>
    <s v="Unpaid"/>
    <x v="0"/>
  </r>
  <r>
    <s v="AP10418"/>
    <x v="2"/>
    <x v="345"/>
    <d v="2023-08-23T00:00:00"/>
    <n v="3168.02"/>
    <s v="AUD"/>
    <x v="1"/>
    <m/>
    <s v="Net 30"/>
    <s v="Unpaid"/>
    <x v="0"/>
  </r>
  <r>
    <s v="AP10419"/>
    <x v="4"/>
    <x v="346"/>
    <d v="2023-06-30T00:00:00"/>
    <n v="576.42999999999995"/>
    <s v="USD"/>
    <x v="2"/>
    <d v="2023-06-30T00:00:00"/>
    <s v="Net 30"/>
    <s v="On Time"/>
    <x v="1"/>
  </r>
  <r>
    <s v="AP10420"/>
    <x v="3"/>
    <x v="347"/>
    <d v="2025-02-12T00:00:00"/>
    <n v="460.35"/>
    <s v="USD"/>
    <x v="0"/>
    <m/>
    <s v="Net 30"/>
    <s v="Unpaid"/>
    <x v="0"/>
  </r>
  <r>
    <s v="AP10421"/>
    <x v="3"/>
    <x v="195"/>
    <d v="2025-03-18T00:00:00"/>
    <n v="2305.42"/>
    <s v="USD"/>
    <x v="0"/>
    <m/>
    <s v="Net 30"/>
    <s v="Unpaid"/>
    <x v="0"/>
  </r>
  <r>
    <s v="AP10422"/>
    <x v="2"/>
    <x v="348"/>
    <d v="2024-01-15T00:00:00"/>
    <n v="2623.62"/>
    <s v="GBP"/>
    <x v="1"/>
    <m/>
    <s v="Net 30"/>
    <s v="Unpaid"/>
    <x v="0"/>
  </r>
  <r>
    <s v="AP10423"/>
    <x v="1"/>
    <x v="349"/>
    <d v="2024-03-21T00:00:00"/>
    <n v="1571.77"/>
    <s v="EUR"/>
    <x v="0"/>
    <m/>
    <s v="Net 30"/>
    <s v="Unpaid"/>
    <x v="0"/>
  </r>
  <r>
    <s v="AP10424"/>
    <x v="1"/>
    <x v="350"/>
    <d v="2023-06-14T00:00:00"/>
    <n v="4241.5600000000004"/>
    <s v="CAD"/>
    <x v="0"/>
    <m/>
    <s v="Net 30"/>
    <s v="Unpaid"/>
    <x v="0"/>
  </r>
  <r>
    <s v="AP10425"/>
    <x v="0"/>
    <x v="230"/>
    <d v="2023-07-09T00:00:00"/>
    <n v="3066.36"/>
    <s v="CAD"/>
    <x v="2"/>
    <d v="2023-07-09T00:00:00"/>
    <s v="Net 30"/>
    <s v="On Time"/>
    <x v="1"/>
  </r>
  <r>
    <s v="AP10426"/>
    <x v="2"/>
    <x v="21"/>
    <d v="2025-01-26T00:00:00"/>
    <n v="1623.29"/>
    <s v="AUD"/>
    <x v="1"/>
    <m/>
    <s v="Net 30"/>
    <s v="Unpaid"/>
    <x v="0"/>
  </r>
  <r>
    <s v="AP10427"/>
    <x v="0"/>
    <x v="351"/>
    <d v="2023-08-07T00:00:00"/>
    <n v="4738.84"/>
    <s v="USD"/>
    <x v="1"/>
    <m/>
    <s v="Net 30"/>
    <s v="Unpaid"/>
    <x v="0"/>
  </r>
  <r>
    <s v="AP10428"/>
    <x v="0"/>
    <x v="352"/>
    <d v="2023-10-10T00:00:00"/>
    <n v="2769.92"/>
    <s v="CAD"/>
    <x v="1"/>
    <m/>
    <s v="Net 30"/>
    <s v="Unpaid"/>
    <x v="0"/>
  </r>
  <r>
    <s v="AP10429"/>
    <x v="0"/>
    <x v="353"/>
    <d v="2025-01-14T00:00:00"/>
    <n v="2883.34"/>
    <s v="GBP"/>
    <x v="0"/>
    <m/>
    <s v="Net 30"/>
    <s v="Unpaid"/>
    <x v="0"/>
  </r>
  <r>
    <s v="AP10430"/>
    <x v="2"/>
    <x v="354"/>
    <d v="2024-07-04T00:00:00"/>
    <n v="2334.1799999999998"/>
    <s v="AUD"/>
    <x v="0"/>
    <m/>
    <s v="Net 30"/>
    <s v="Unpaid"/>
    <x v="0"/>
  </r>
  <r>
    <s v="AP10431"/>
    <x v="4"/>
    <x v="355"/>
    <d v="2023-11-19T00:00:00"/>
    <n v="3148.17"/>
    <s v="USD"/>
    <x v="0"/>
    <m/>
    <s v="Net 30"/>
    <s v="Unpaid"/>
    <x v="0"/>
  </r>
  <r>
    <s v="AP10432"/>
    <x v="4"/>
    <x v="356"/>
    <d v="2024-11-07T00:00:00"/>
    <n v="1378.14"/>
    <s v="GBP"/>
    <x v="2"/>
    <d v="2024-11-07T00:00:00"/>
    <s v="Net 30"/>
    <s v="On Time"/>
    <x v="1"/>
  </r>
  <r>
    <s v="AP10433"/>
    <x v="3"/>
    <x v="357"/>
    <d v="2025-03-13T00:00:00"/>
    <n v="275.33999999999997"/>
    <s v="GBP"/>
    <x v="0"/>
    <m/>
    <s v="Net 30"/>
    <s v="Unpaid"/>
    <x v="0"/>
  </r>
  <r>
    <s v="AP10434"/>
    <x v="0"/>
    <x v="358"/>
    <d v="2023-04-30T00:00:00"/>
    <n v="2274.14"/>
    <s v="EUR"/>
    <x v="1"/>
    <m/>
    <s v="Net 30"/>
    <s v="Unpaid"/>
    <x v="0"/>
  </r>
  <r>
    <s v="AP10435"/>
    <x v="3"/>
    <x v="359"/>
    <d v="2023-10-12T00:00:00"/>
    <n v="800.97"/>
    <s v="CAD"/>
    <x v="2"/>
    <d v="2023-10-12T00:00:00"/>
    <s v="Net 30"/>
    <s v="On Time"/>
    <x v="1"/>
  </r>
  <r>
    <s v="AP10436"/>
    <x v="2"/>
    <x v="360"/>
    <d v="2023-03-09T00:00:00"/>
    <n v="2595.11"/>
    <s v="AUD"/>
    <x v="0"/>
    <m/>
    <s v="Net 30"/>
    <s v="Unpaid"/>
    <x v="0"/>
  </r>
  <r>
    <s v="AP10437"/>
    <x v="3"/>
    <x v="31"/>
    <d v="2023-11-10T00:00:00"/>
    <n v="4967.66"/>
    <s v="USD"/>
    <x v="2"/>
    <d v="2023-11-10T00:00:00"/>
    <s v="Net 30"/>
    <s v="On Time"/>
    <x v="1"/>
  </r>
  <r>
    <s v="AP10438"/>
    <x v="0"/>
    <x v="361"/>
    <d v="2024-04-09T00:00:00"/>
    <n v="523.04999999999995"/>
    <s v="EUR"/>
    <x v="0"/>
    <m/>
    <s v="Net 30"/>
    <s v="Unpaid"/>
    <x v="0"/>
  </r>
  <r>
    <s v="AP10439"/>
    <x v="2"/>
    <x v="226"/>
    <d v="2023-06-28T00:00:00"/>
    <n v="3485.01"/>
    <s v="EUR"/>
    <x v="2"/>
    <d v="2023-06-28T00:00:00"/>
    <s v="Net 30"/>
    <s v="On Time"/>
    <x v="1"/>
  </r>
  <r>
    <s v="AP10440"/>
    <x v="1"/>
    <x v="170"/>
    <d v="2023-03-06T00:00:00"/>
    <n v="2251.04"/>
    <s v="EUR"/>
    <x v="2"/>
    <d v="2023-03-06T00:00:00"/>
    <s v="Net 30"/>
    <s v="On Time"/>
    <x v="1"/>
  </r>
  <r>
    <s v="AP10441"/>
    <x v="4"/>
    <x v="31"/>
    <d v="2023-11-10T00:00:00"/>
    <n v="3521.51"/>
    <s v="GBP"/>
    <x v="2"/>
    <d v="2023-11-10T00:00:00"/>
    <s v="Net 30"/>
    <s v="On Time"/>
    <x v="1"/>
  </r>
  <r>
    <s v="AP10442"/>
    <x v="1"/>
    <x v="311"/>
    <d v="2025-05-09T00:00:00"/>
    <n v="3808.69"/>
    <s v="CAD"/>
    <x v="0"/>
    <m/>
    <s v="Net 30"/>
    <s v="Unpaid"/>
    <x v="0"/>
  </r>
  <r>
    <s v="AP10443"/>
    <x v="2"/>
    <x v="362"/>
    <d v="2023-06-16T00:00:00"/>
    <n v="3920.07"/>
    <s v="AUD"/>
    <x v="2"/>
    <d v="2023-06-16T00:00:00"/>
    <s v="Net 30"/>
    <s v="On Time"/>
    <x v="1"/>
  </r>
  <r>
    <s v="AP10444"/>
    <x v="2"/>
    <x v="363"/>
    <d v="2023-04-21T00:00:00"/>
    <n v="4941.76"/>
    <s v="GBP"/>
    <x v="1"/>
    <m/>
    <s v="Net 30"/>
    <s v="Unpaid"/>
    <x v="0"/>
  </r>
  <r>
    <s v="AP10445"/>
    <x v="2"/>
    <x v="364"/>
    <d v="2023-12-04T00:00:00"/>
    <n v="1079.6099999999999"/>
    <s v="USD"/>
    <x v="0"/>
    <m/>
    <s v="Net 30"/>
    <s v="Unpaid"/>
    <x v="0"/>
  </r>
  <r>
    <s v="AP10446"/>
    <x v="2"/>
    <x v="365"/>
    <d v="2023-06-25T00:00:00"/>
    <n v="4688.33"/>
    <s v="AUD"/>
    <x v="2"/>
    <d v="2023-06-25T00:00:00"/>
    <s v="Net 30"/>
    <s v="On Time"/>
    <x v="1"/>
  </r>
  <r>
    <s v="AP10447"/>
    <x v="2"/>
    <x v="366"/>
    <d v="2024-01-03T00:00:00"/>
    <n v="705.05"/>
    <s v="USD"/>
    <x v="1"/>
    <m/>
    <s v="Net 30"/>
    <s v="Unpaid"/>
    <x v="0"/>
  </r>
  <r>
    <s v="AP10448"/>
    <x v="3"/>
    <x v="73"/>
    <d v="2023-06-21T00:00:00"/>
    <n v="1193.94"/>
    <s v="CAD"/>
    <x v="0"/>
    <m/>
    <s v="Net 30"/>
    <s v="Unpaid"/>
    <x v="0"/>
  </r>
  <r>
    <s v="AP10449"/>
    <x v="3"/>
    <x v="367"/>
    <d v="2024-11-05T00:00:00"/>
    <n v="232.29"/>
    <s v="USD"/>
    <x v="2"/>
    <d v="2024-11-05T00:00:00"/>
    <s v="Net 30"/>
    <s v="On Time"/>
    <x v="1"/>
  </r>
  <r>
    <s v="AP10450"/>
    <x v="1"/>
    <x v="368"/>
    <d v="2024-02-25T00:00:00"/>
    <n v="4202.26"/>
    <s v="EUR"/>
    <x v="1"/>
    <m/>
    <s v="Net 30"/>
    <s v="Unpaid"/>
    <x v="0"/>
  </r>
  <r>
    <s v="AP10451"/>
    <x v="4"/>
    <x v="213"/>
    <d v="2024-02-23T00:00:00"/>
    <n v="3696.33"/>
    <s v="AUD"/>
    <x v="2"/>
    <d v="2024-02-23T00:00:00"/>
    <s v="Net 30"/>
    <s v="On Time"/>
    <x v="1"/>
  </r>
  <r>
    <s v="AP10452"/>
    <x v="3"/>
    <x v="207"/>
    <d v="2024-02-27T00:00:00"/>
    <n v="3133.53"/>
    <s v="USD"/>
    <x v="2"/>
    <d v="2024-02-27T00:00:00"/>
    <s v="Net 30"/>
    <s v="On Time"/>
    <x v="1"/>
  </r>
  <r>
    <s v="AP10453"/>
    <x v="0"/>
    <x v="193"/>
    <d v="2024-07-17T00:00:00"/>
    <n v="2405.39"/>
    <s v="USD"/>
    <x v="2"/>
    <d v="2024-07-17T00:00:00"/>
    <s v="Net 30"/>
    <s v="On Time"/>
    <x v="1"/>
  </r>
  <r>
    <s v="AP10454"/>
    <x v="3"/>
    <x v="254"/>
    <d v="2024-02-10T00:00:00"/>
    <n v="1074.8499999999999"/>
    <s v="USD"/>
    <x v="1"/>
    <m/>
    <s v="Net 30"/>
    <s v="Unpaid"/>
    <x v="0"/>
  </r>
  <r>
    <s v="AP10455"/>
    <x v="2"/>
    <x v="369"/>
    <d v="2025-01-21T00:00:00"/>
    <n v="3359"/>
    <s v="GBP"/>
    <x v="0"/>
    <m/>
    <s v="Net 30"/>
    <s v="Unpaid"/>
    <x v="0"/>
  </r>
  <r>
    <s v="AP10456"/>
    <x v="4"/>
    <x v="370"/>
    <d v="2025-03-14T00:00:00"/>
    <n v="419.58"/>
    <s v="AUD"/>
    <x v="2"/>
    <d v="2025-03-14T00:00:00"/>
    <s v="Net 30"/>
    <s v="On Time"/>
    <x v="1"/>
  </r>
  <r>
    <s v="AP10457"/>
    <x v="1"/>
    <x v="26"/>
    <d v="2024-04-24T00:00:00"/>
    <n v="1704.27"/>
    <s v="CAD"/>
    <x v="0"/>
    <m/>
    <s v="Net 30"/>
    <s v="Unpaid"/>
    <x v="0"/>
  </r>
  <r>
    <s v="AP10458"/>
    <x v="2"/>
    <x v="371"/>
    <d v="2024-05-15T00:00:00"/>
    <n v="1545.19"/>
    <s v="GBP"/>
    <x v="2"/>
    <d v="2024-05-15T00:00:00"/>
    <s v="Net 30"/>
    <s v="On Time"/>
    <x v="1"/>
  </r>
  <r>
    <s v="AP10459"/>
    <x v="2"/>
    <x v="372"/>
    <d v="2023-10-29T00:00:00"/>
    <n v="3414.41"/>
    <s v="AUD"/>
    <x v="1"/>
    <m/>
    <s v="Net 30"/>
    <s v="Unpaid"/>
    <x v="0"/>
  </r>
  <r>
    <s v="AP10460"/>
    <x v="0"/>
    <x v="373"/>
    <d v="2025-06-01T00:00:00"/>
    <n v="3597.78"/>
    <s v="USD"/>
    <x v="1"/>
    <m/>
    <s v="Net 30"/>
    <s v="Unpaid"/>
    <x v="0"/>
  </r>
  <r>
    <s v="AP10461"/>
    <x v="1"/>
    <x v="374"/>
    <d v="2024-12-03T00:00:00"/>
    <n v="2642.3"/>
    <s v="EUR"/>
    <x v="0"/>
    <m/>
    <s v="Net 30"/>
    <s v="Unpaid"/>
    <x v="0"/>
  </r>
  <r>
    <s v="AP10462"/>
    <x v="1"/>
    <x v="375"/>
    <d v="2023-03-28T00:00:00"/>
    <n v="4728.07"/>
    <s v="AUD"/>
    <x v="1"/>
    <m/>
    <s v="Net 30"/>
    <s v="Unpaid"/>
    <x v="0"/>
  </r>
  <r>
    <s v="AP10463"/>
    <x v="4"/>
    <x v="376"/>
    <d v="2024-12-28T00:00:00"/>
    <n v="1560.4"/>
    <s v="CAD"/>
    <x v="1"/>
    <m/>
    <s v="Net 30"/>
    <s v="Unpaid"/>
    <x v="0"/>
  </r>
  <r>
    <s v="AP10464"/>
    <x v="3"/>
    <x v="377"/>
    <d v="2024-04-22T00:00:00"/>
    <n v="2026.99"/>
    <s v="GBP"/>
    <x v="0"/>
    <m/>
    <s v="Net 30"/>
    <s v="Unpaid"/>
    <x v="0"/>
  </r>
  <r>
    <s v="AP10465"/>
    <x v="0"/>
    <x v="378"/>
    <d v="2024-11-08T00:00:00"/>
    <n v="1142.8399999999999"/>
    <s v="USD"/>
    <x v="2"/>
    <d v="2024-11-08T00:00:00"/>
    <s v="Net 30"/>
    <s v="On Time"/>
    <x v="1"/>
  </r>
  <r>
    <s v="AP10466"/>
    <x v="3"/>
    <x v="172"/>
    <d v="2024-06-01T00:00:00"/>
    <n v="3401.72"/>
    <s v="GBP"/>
    <x v="0"/>
    <m/>
    <s v="Net 30"/>
    <s v="Unpaid"/>
    <x v="0"/>
  </r>
  <r>
    <s v="AP10467"/>
    <x v="0"/>
    <x v="177"/>
    <d v="2023-06-29T00:00:00"/>
    <n v="4753.22"/>
    <s v="GBP"/>
    <x v="1"/>
    <m/>
    <s v="Net 30"/>
    <s v="Unpaid"/>
    <x v="0"/>
  </r>
  <r>
    <s v="AP10468"/>
    <x v="0"/>
    <x v="379"/>
    <d v="2025-06-11T00:00:00"/>
    <n v="3640.83"/>
    <s v="GBP"/>
    <x v="1"/>
    <m/>
    <s v="Net 30"/>
    <s v="Unpaid"/>
    <x v="0"/>
  </r>
  <r>
    <s v="AP10469"/>
    <x v="1"/>
    <x v="298"/>
    <d v="2024-04-06T00:00:00"/>
    <n v="2662.58"/>
    <s v="CAD"/>
    <x v="1"/>
    <m/>
    <s v="Net 30"/>
    <s v="Unpaid"/>
    <x v="0"/>
  </r>
  <r>
    <s v="AP10470"/>
    <x v="0"/>
    <x v="380"/>
    <d v="2024-12-23T00:00:00"/>
    <n v="212.92"/>
    <s v="EUR"/>
    <x v="0"/>
    <m/>
    <s v="Net 30"/>
    <s v="Unpaid"/>
    <x v="0"/>
  </r>
  <r>
    <s v="AP10471"/>
    <x v="0"/>
    <x v="381"/>
    <d v="2023-12-24T00:00:00"/>
    <n v="980.09"/>
    <s v="GBP"/>
    <x v="2"/>
    <d v="2023-12-24T00:00:00"/>
    <s v="Net 30"/>
    <s v="On Time"/>
    <x v="1"/>
  </r>
  <r>
    <s v="AP10472"/>
    <x v="2"/>
    <x v="382"/>
    <d v="2024-01-01T00:00:00"/>
    <n v="1179.8800000000001"/>
    <s v="GBP"/>
    <x v="0"/>
    <m/>
    <s v="Net 30"/>
    <s v="Unpaid"/>
    <x v="0"/>
  </r>
  <r>
    <s v="AP10473"/>
    <x v="1"/>
    <x v="383"/>
    <d v="2024-03-03T00:00:00"/>
    <n v="1750.63"/>
    <s v="AUD"/>
    <x v="0"/>
    <m/>
    <s v="Net 30"/>
    <s v="Unpaid"/>
    <x v="0"/>
  </r>
  <r>
    <s v="AP10474"/>
    <x v="1"/>
    <x v="376"/>
    <d v="2024-12-28T00:00:00"/>
    <n v="3207.4"/>
    <s v="AUD"/>
    <x v="2"/>
    <d v="2024-12-28T00:00:00"/>
    <s v="Net 30"/>
    <s v="On Time"/>
    <x v="1"/>
  </r>
  <r>
    <s v="AP10475"/>
    <x v="1"/>
    <x v="384"/>
    <d v="2023-11-29T00:00:00"/>
    <n v="2412.71"/>
    <s v="EUR"/>
    <x v="2"/>
    <d v="2023-11-29T00:00:00"/>
    <s v="Net 30"/>
    <s v="On Time"/>
    <x v="1"/>
  </r>
  <r>
    <s v="AP10476"/>
    <x v="4"/>
    <x v="294"/>
    <d v="2023-12-05T00:00:00"/>
    <n v="382.4"/>
    <s v="USD"/>
    <x v="1"/>
    <m/>
    <s v="Net 30"/>
    <s v="Unpaid"/>
    <x v="0"/>
  </r>
  <r>
    <s v="AP10477"/>
    <x v="2"/>
    <x v="385"/>
    <d v="2023-07-29T00:00:00"/>
    <n v="4004.66"/>
    <s v="CAD"/>
    <x v="2"/>
    <d v="2023-07-29T00:00:00"/>
    <s v="Net 30"/>
    <s v="On Time"/>
    <x v="1"/>
  </r>
  <r>
    <s v="AP10478"/>
    <x v="3"/>
    <x v="349"/>
    <d v="2024-03-21T00:00:00"/>
    <n v="4777.58"/>
    <s v="AUD"/>
    <x v="0"/>
    <m/>
    <s v="Net 30"/>
    <s v="Unpaid"/>
    <x v="0"/>
  </r>
  <r>
    <s v="AP10479"/>
    <x v="1"/>
    <x v="386"/>
    <d v="2023-10-16T00:00:00"/>
    <n v="1599.7"/>
    <s v="GBP"/>
    <x v="1"/>
    <m/>
    <s v="Net 30"/>
    <s v="Unpaid"/>
    <x v="0"/>
  </r>
  <r>
    <s v="AP10480"/>
    <x v="1"/>
    <x v="278"/>
    <d v="2025-03-21T00:00:00"/>
    <n v="4973.3"/>
    <s v="USD"/>
    <x v="0"/>
    <m/>
    <s v="Net 30"/>
    <s v="Unpaid"/>
    <x v="0"/>
  </r>
  <r>
    <s v="AP10481"/>
    <x v="2"/>
    <x v="387"/>
    <d v="2023-07-22T00:00:00"/>
    <n v="717.91"/>
    <s v="EUR"/>
    <x v="0"/>
    <m/>
    <s v="Net 30"/>
    <s v="Unpaid"/>
    <x v="0"/>
  </r>
  <r>
    <s v="AP10482"/>
    <x v="3"/>
    <x v="388"/>
    <d v="2025-02-26T00:00:00"/>
    <n v="1388.79"/>
    <s v="GBP"/>
    <x v="2"/>
    <d v="2025-02-26T00:00:00"/>
    <s v="Net 30"/>
    <s v="On Time"/>
    <x v="1"/>
  </r>
  <r>
    <s v="AP10483"/>
    <x v="0"/>
    <x v="389"/>
    <d v="2025-07-15T00:00:00"/>
    <n v="669.06"/>
    <s v="GBP"/>
    <x v="2"/>
    <d v="2025-07-15T00:00:00"/>
    <s v="Net 30"/>
    <s v="On Time"/>
    <x v="1"/>
  </r>
  <r>
    <s v="AP10484"/>
    <x v="2"/>
    <x v="390"/>
    <d v="2023-10-23T00:00:00"/>
    <n v="158.72"/>
    <s v="AUD"/>
    <x v="2"/>
    <d v="2023-10-23T00:00:00"/>
    <s v="Net 30"/>
    <s v="On Time"/>
    <x v="1"/>
  </r>
  <r>
    <s v="AP10485"/>
    <x v="4"/>
    <x v="391"/>
    <d v="2024-03-25T00:00:00"/>
    <n v="502.65"/>
    <s v="USD"/>
    <x v="1"/>
    <m/>
    <s v="Net 30"/>
    <s v="Unpaid"/>
    <x v="0"/>
  </r>
  <r>
    <s v="AP10486"/>
    <x v="3"/>
    <x v="392"/>
    <d v="2023-03-16T00:00:00"/>
    <n v="2135.0100000000002"/>
    <s v="EUR"/>
    <x v="0"/>
    <m/>
    <s v="Net 30"/>
    <s v="Unpaid"/>
    <x v="0"/>
  </r>
  <r>
    <s v="AP10487"/>
    <x v="4"/>
    <x v="299"/>
    <d v="2023-02-10T00:00:00"/>
    <n v="386.6"/>
    <s v="USD"/>
    <x v="1"/>
    <m/>
    <s v="Net 30"/>
    <s v="Unpaid"/>
    <x v="0"/>
  </r>
  <r>
    <s v="AP10488"/>
    <x v="3"/>
    <x v="345"/>
    <d v="2023-08-23T00:00:00"/>
    <n v="3185.2"/>
    <s v="USD"/>
    <x v="0"/>
    <m/>
    <s v="Net 30"/>
    <s v="Unpaid"/>
    <x v="0"/>
  </r>
  <r>
    <s v="AP10489"/>
    <x v="3"/>
    <x v="282"/>
    <d v="2024-05-05T00:00:00"/>
    <n v="2817.08"/>
    <s v="CAD"/>
    <x v="1"/>
    <m/>
    <s v="Net 30"/>
    <s v="Unpaid"/>
    <x v="0"/>
  </r>
  <r>
    <s v="AP10490"/>
    <x v="4"/>
    <x v="28"/>
    <d v="2023-04-05T00:00:00"/>
    <n v="3897.98"/>
    <s v="AUD"/>
    <x v="2"/>
    <d v="2023-04-05T00:00:00"/>
    <s v="Net 30"/>
    <s v="On Time"/>
    <x v="1"/>
  </r>
  <r>
    <s v="AP10491"/>
    <x v="3"/>
    <x v="129"/>
    <d v="2025-01-04T00:00:00"/>
    <n v="3623.95"/>
    <s v="USD"/>
    <x v="1"/>
    <m/>
    <s v="Net 30"/>
    <s v="Unpaid"/>
    <x v="0"/>
  </r>
  <r>
    <s v="AP10492"/>
    <x v="2"/>
    <x v="393"/>
    <d v="2024-06-20T00:00:00"/>
    <n v="1803.9"/>
    <s v="USD"/>
    <x v="1"/>
    <m/>
    <s v="Net 30"/>
    <s v="Unpaid"/>
    <x v="0"/>
  </r>
  <r>
    <s v="AP10493"/>
    <x v="0"/>
    <x v="385"/>
    <d v="2023-07-29T00:00:00"/>
    <n v="2543.84"/>
    <s v="USD"/>
    <x v="1"/>
    <m/>
    <s v="Net 30"/>
    <s v="Unpaid"/>
    <x v="0"/>
  </r>
  <r>
    <s v="AP10494"/>
    <x v="4"/>
    <x v="35"/>
    <d v="2023-08-20T00:00:00"/>
    <n v="292.57"/>
    <s v="CAD"/>
    <x v="0"/>
    <m/>
    <s v="Net 30"/>
    <s v="Unpaid"/>
    <x v="0"/>
  </r>
  <r>
    <s v="AP10495"/>
    <x v="2"/>
    <x v="394"/>
    <d v="2024-09-17T00:00:00"/>
    <n v="688.61"/>
    <s v="USD"/>
    <x v="2"/>
    <d v="2024-09-17T00:00:00"/>
    <s v="Net 30"/>
    <s v="On Time"/>
    <x v="1"/>
  </r>
  <r>
    <s v="AP10496"/>
    <x v="3"/>
    <x v="395"/>
    <d v="2024-01-27T00:00:00"/>
    <n v="1121.18"/>
    <s v="USD"/>
    <x v="1"/>
    <m/>
    <s v="Net 30"/>
    <s v="Unpaid"/>
    <x v="0"/>
  </r>
  <r>
    <s v="AP10497"/>
    <x v="1"/>
    <x v="287"/>
    <d v="2024-05-13T00:00:00"/>
    <n v="3953.98"/>
    <s v="EUR"/>
    <x v="1"/>
    <m/>
    <s v="Net 30"/>
    <s v="Unpaid"/>
    <x v="0"/>
  </r>
  <r>
    <s v="AP10498"/>
    <x v="2"/>
    <x v="396"/>
    <d v="2024-03-06T00:00:00"/>
    <n v="597.75"/>
    <s v="USD"/>
    <x v="0"/>
    <m/>
    <s v="Net 30"/>
    <s v="Unpaid"/>
    <x v="0"/>
  </r>
  <r>
    <s v="AP10499"/>
    <x v="0"/>
    <x v="397"/>
    <d v="2025-02-22T00:00:00"/>
    <n v="1752.55"/>
    <s v="USD"/>
    <x v="0"/>
    <m/>
    <s v="Net 30"/>
    <s v="Unpaid"/>
    <x v="0"/>
  </r>
  <r>
    <s v="AP10500"/>
    <x v="2"/>
    <x v="166"/>
    <d v="2023-04-12T00:00:00"/>
    <n v="3490.73"/>
    <s v="EUR"/>
    <x v="0"/>
    <m/>
    <s v="Net 30"/>
    <s v="Unpaid"/>
    <x v="0"/>
  </r>
  <r>
    <s v="AP10501"/>
    <x v="0"/>
    <x v="398"/>
    <d v="2024-11-18T00:00:00"/>
    <n v="1143.7"/>
    <s v="AUD"/>
    <x v="1"/>
    <m/>
    <s v="Net 30"/>
    <s v="Unpaid"/>
    <x v="0"/>
  </r>
  <r>
    <s v="AP10502"/>
    <x v="4"/>
    <x v="399"/>
    <d v="2024-10-20T00:00:00"/>
    <n v="636.6"/>
    <s v="EUR"/>
    <x v="2"/>
    <d v="2024-10-20T00:00:00"/>
    <s v="Net 30"/>
    <s v="On Time"/>
    <x v="1"/>
  </r>
  <r>
    <s v="AP10503"/>
    <x v="1"/>
    <x v="400"/>
    <d v="2025-05-14T00:00:00"/>
    <n v="3339.54"/>
    <s v="EUR"/>
    <x v="0"/>
    <m/>
    <s v="Net 30"/>
    <s v="Unpaid"/>
    <x v="0"/>
  </r>
  <r>
    <s v="AP10504"/>
    <x v="0"/>
    <x v="353"/>
    <d v="2025-01-14T00:00:00"/>
    <n v="3555.72"/>
    <s v="EUR"/>
    <x v="1"/>
    <m/>
    <s v="Net 30"/>
    <s v="Unpaid"/>
    <x v="0"/>
  </r>
  <r>
    <s v="AP10505"/>
    <x v="2"/>
    <x v="401"/>
    <d v="2025-05-30T00:00:00"/>
    <n v="2971.5"/>
    <s v="USD"/>
    <x v="0"/>
    <m/>
    <s v="Net 30"/>
    <s v="Unpaid"/>
    <x v="0"/>
  </r>
  <r>
    <s v="AP10506"/>
    <x v="0"/>
    <x v="402"/>
    <d v="2025-06-08T00:00:00"/>
    <n v="2945.39"/>
    <s v="AUD"/>
    <x v="2"/>
    <d v="2025-06-08T00:00:00"/>
    <s v="Net 30"/>
    <s v="On Time"/>
    <x v="1"/>
  </r>
  <r>
    <s v="AP10507"/>
    <x v="2"/>
    <x v="403"/>
    <d v="2024-07-29T00:00:00"/>
    <n v="4563.8"/>
    <s v="GBP"/>
    <x v="2"/>
    <d v="2024-07-29T00:00:00"/>
    <s v="Net 30"/>
    <s v="On Time"/>
    <x v="1"/>
  </r>
  <r>
    <s v="AP10508"/>
    <x v="2"/>
    <x v="404"/>
    <d v="2023-04-16T00:00:00"/>
    <n v="3590.5"/>
    <s v="AUD"/>
    <x v="0"/>
    <m/>
    <s v="Net 30"/>
    <s v="Unpaid"/>
    <x v="0"/>
  </r>
  <r>
    <s v="AP10509"/>
    <x v="2"/>
    <x v="192"/>
    <d v="2023-02-21T00:00:00"/>
    <n v="1989.22"/>
    <s v="EUR"/>
    <x v="1"/>
    <m/>
    <s v="Net 30"/>
    <s v="Unpaid"/>
    <x v="0"/>
  </r>
  <r>
    <s v="AP10510"/>
    <x v="0"/>
    <x v="327"/>
    <d v="2023-02-03T00:00:00"/>
    <n v="4650.78"/>
    <s v="CAD"/>
    <x v="0"/>
    <m/>
    <s v="Net 30"/>
    <s v="Unpaid"/>
    <x v="0"/>
  </r>
  <r>
    <s v="AP10511"/>
    <x v="4"/>
    <x v="405"/>
    <d v="2023-08-10T00:00:00"/>
    <n v="3071.51"/>
    <s v="CAD"/>
    <x v="1"/>
    <m/>
    <s v="Net 30"/>
    <s v="Unpaid"/>
    <x v="0"/>
  </r>
  <r>
    <s v="AP10512"/>
    <x v="2"/>
    <x v="406"/>
    <d v="2023-10-27T00:00:00"/>
    <n v="4956.1099999999997"/>
    <s v="GBP"/>
    <x v="0"/>
    <m/>
    <s v="Net 30"/>
    <s v="Unpaid"/>
    <x v="0"/>
  </r>
  <r>
    <s v="AP10513"/>
    <x v="0"/>
    <x v="407"/>
    <d v="2024-07-03T00:00:00"/>
    <n v="2561.35"/>
    <s v="AUD"/>
    <x v="0"/>
    <m/>
    <s v="Net 30"/>
    <s v="Unpaid"/>
    <x v="0"/>
  </r>
  <r>
    <s v="AP10514"/>
    <x v="2"/>
    <x v="157"/>
    <d v="2025-01-10T00:00:00"/>
    <n v="3812.86"/>
    <s v="GBP"/>
    <x v="0"/>
    <m/>
    <s v="Net 30"/>
    <s v="Unpaid"/>
    <x v="0"/>
  </r>
  <r>
    <s v="AP10515"/>
    <x v="1"/>
    <x v="408"/>
    <d v="2024-01-30T00:00:00"/>
    <n v="4798.3"/>
    <s v="CAD"/>
    <x v="0"/>
    <m/>
    <s v="Net 30"/>
    <s v="Unpaid"/>
    <x v="0"/>
  </r>
  <r>
    <s v="AP10516"/>
    <x v="1"/>
    <x v="409"/>
    <d v="2024-10-03T00:00:00"/>
    <n v="2626.26"/>
    <s v="CAD"/>
    <x v="0"/>
    <m/>
    <s v="Net 30"/>
    <s v="Unpaid"/>
    <x v="0"/>
  </r>
  <r>
    <s v="AP10517"/>
    <x v="4"/>
    <x v="410"/>
    <d v="2023-10-04T00:00:00"/>
    <n v="1667.91"/>
    <s v="CAD"/>
    <x v="0"/>
    <m/>
    <s v="Net 30"/>
    <s v="Unpaid"/>
    <x v="0"/>
  </r>
  <r>
    <s v="AP10518"/>
    <x v="0"/>
    <x v="411"/>
    <d v="2025-07-17T00:00:00"/>
    <n v="556.64"/>
    <s v="USD"/>
    <x v="1"/>
    <m/>
    <s v="Net 30"/>
    <s v="Unpaid"/>
    <x v="0"/>
  </r>
  <r>
    <s v="AP10519"/>
    <x v="3"/>
    <x v="412"/>
    <d v="2025-02-13T00:00:00"/>
    <n v="2084.02"/>
    <s v="EUR"/>
    <x v="1"/>
    <m/>
    <s v="Net 30"/>
    <s v="Unpaid"/>
    <x v="0"/>
  </r>
  <r>
    <s v="AP10520"/>
    <x v="4"/>
    <x v="413"/>
    <d v="2024-03-27T00:00:00"/>
    <n v="1225.05"/>
    <s v="GBP"/>
    <x v="1"/>
    <m/>
    <s v="Net 30"/>
    <s v="Unpaid"/>
    <x v="0"/>
  </r>
  <r>
    <s v="AP10521"/>
    <x v="1"/>
    <x v="299"/>
    <d v="2023-02-10T00:00:00"/>
    <n v="1607.66"/>
    <s v="AUD"/>
    <x v="1"/>
    <m/>
    <s v="Net 30"/>
    <s v="Unpaid"/>
    <x v="0"/>
  </r>
  <r>
    <s v="AP10522"/>
    <x v="0"/>
    <x v="302"/>
    <d v="2024-07-09T00:00:00"/>
    <n v="2772.97"/>
    <s v="GBP"/>
    <x v="2"/>
    <d v="2024-07-09T00:00:00"/>
    <s v="Net 30"/>
    <s v="On Time"/>
    <x v="1"/>
  </r>
  <r>
    <s v="AP10523"/>
    <x v="3"/>
    <x v="414"/>
    <d v="2024-11-30T00:00:00"/>
    <n v="1641.38"/>
    <s v="AUD"/>
    <x v="1"/>
    <m/>
    <s v="Net 30"/>
    <s v="Unpaid"/>
    <x v="0"/>
  </r>
  <r>
    <s v="AP10524"/>
    <x v="2"/>
    <x v="415"/>
    <d v="2024-10-04T00:00:00"/>
    <n v="549.14"/>
    <s v="AUD"/>
    <x v="2"/>
    <d v="2024-10-04T00:00:00"/>
    <s v="Net 30"/>
    <s v="On Time"/>
    <x v="1"/>
  </r>
  <r>
    <s v="AP10525"/>
    <x v="4"/>
    <x v="416"/>
    <d v="2024-10-23T00:00:00"/>
    <n v="3700.73"/>
    <s v="GBP"/>
    <x v="0"/>
    <m/>
    <s v="Net 30"/>
    <s v="Unpaid"/>
    <x v="0"/>
  </r>
  <r>
    <s v="AP10526"/>
    <x v="4"/>
    <x v="213"/>
    <d v="2024-02-23T00:00:00"/>
    <n v="1616.2"/>
    <s v="CAD"/>
    <x v="1"/>
    <m/>
    <s v="Net 30"/>
    <s v="Unpaid"/>
    <x v="0"/>
  </r>
  <r>
    <s v="AP10527"/>
    <x v="0"/>
    <x v="417"/>
    <d v="2025-04-01T00:00:00"/>
    <n v="233.75"/>
    <s v="EUR"/>
    <x v="1"/>
    <m/>
    <s v="Net 30"/>
    <s v="Unpaid"/>
    <x v="0"/>
  </r>
  <r>
    <s v="AP10528"/>
    <x v="0"/>
    <x v="252"/>
    <d v="2024-11-15T00:00:00"/>
    <n v="1198.76"/>
    <s v="AUD"/>
    <x v="1"/>
    <m/>
    <s v="Net 30"/>
    <s v="Unpaid"/>
    <x v="0"/>
  </r>
  <r>
    <s v="AP10529"/>
    <x v="4"/>
    <x v="418"/>
    <d v="2025-07-18T00:00:00"/>
    <n v="1819.59"/>
    <s v="GBP"/>
    <x v="1"/>
    <m/>
    <s v="Net 30"/>
    <s v="Unpaid"/>
    <x v="0"/>
  </r>
  <r>
    <s v="AP10530"/>
    <x v="4"/>
    <x v="419"/>
    <d v="2025-03-04T00:00:00"/>
    <n v="3747.3"/>
    <s v="CAD"/>
    <x v="2"/>
    <d v="2025-03-04T00:00:00"/>
    <s v="Net 30"/>
    <s v="On Time"/>
    <x v="1"/>
  </r>
  <r>
    <s v="AP10531"/>
    <x v="1"/>
    <x v="141"/>
    <d v="2023-09-15T00:00:00"/>
    <n v="4706.8100000000004"/>
    <s v="EUR"/>
    <x v="2"/>
    <d v="2023-09-15T00:00:00"/>
    <s v="Net 30"/>
    <s v="On Time"/>
    <x v="1"/>
  </r>
  <r>
    <s v="AP10532"/>
    <x v="3"/>
    <x v="125"/>
    <d v="2025-06-04T00:00:00"/>
    <n v="2329.4299999999998"/>
    <s v="CAD"/>
    <x v="1"/>
    <m/>
    <s v="Net 30"/>
    <s v="Unpaid"/>
    <x v="0"/>
  </r>
  <r>
    <s v="AP10533"/>
    <x v="2"/>
    <x v="420"/>
    <d v="2024-09-11T00:00:00"/>
    <n v="3499.14"/>
    <s v="GBP"/>
    <x v="1"/>
    <m/>
    <s v="Net 30"/>
    <s v="Unpaid"/>
    <x v="0"/>
  </r>
  <r>
    <s v="AP10534"/>
    <x v="3"/>
    <x v="421"/>
    <d v="2023-09-07T00:00:00"/>
    <n v="3732.67"/>
    <s v="GBP"/>
    <x v="2"/>
    <d v="2023-09-07T00:00:00"/>
    <s v="Net 30"/>
    <s v="On Time"/>
    <x v="1"/>
  </r>
  <r>
    <s v="AP10535"/>
    <x v="3"/>
    <x v="422"/>
    <d v="2024-10-07T00:00:00"/>
    <n v="365.59"/>
    <s v="CAD"/>
    <x v="0"/>
    <m/>
    <s v="Net 30"/>
    <s v="Unpaid"/>
    <x v="0"/>
  </r>
  <r>
    <s v="AP10536"/>
    <x v="4"/>
    <x v="423"/>
    <d v="2024-05-01T00:00:00"/>
    <n v="3778.67"/>
    <s v="EUR"/>
    <x v="0"/>
    <m/>
    <s v="Net 30"/>
    <s v="Unpaid"/>
    <x v="0"/>
  </r>
  <r>
    <s v="AP10537"/>
    <x v="2"/>
    <x v="371"/>
    <d v="2024-05-15T00:00:00"/>
    <n v="4324.6400000000003"/>
    <s v="EUR"/>
    <x v="1"/>
    <m/>
    <s v="Net 30"/>
    <s v="Unpaid"/>
    <x v="0"/>
  </r>
  <r>
    <s v="AP10538"/>
    <x v="4"/>
    <x v="424"/>
    <d v="2024-08-26T00:00:00"/>
    <n v="3648.16"/>
    <s v="CAD"/>
    <x v="2"/>
    <d v="2024-08-26T00:00:00"/>
    <s v="Net 30"/>
    <s v="On Time"/>
    <x v="1"/>
  </r>
  <r>
    <s v="AP10539"/>
    <x v="1"/>
    <x v="187"/>
    <d v="2025-04-10T00:00:00"/>
    <n v="106.75"/>
    <s v="AUD"/>
    <x v="2"/>
    <d v="2025-04-10T00:00:00"/>
    <s v="Net 30"/>
    <s v="On Time"/>
    <x v="1"/>
  </r>
  <r>
    <s v="AP10540"/>
    <x v="1"/>
    <x v="425"/>
    <d v="2023-02-20T00:00:00"/>
    <n v="2259.02"/>
    <s v="CAD"/>
    <x v="1"/>
    <m/>
    <s v="Net 30"/>
    <s v="Unpaid"/>
    <x v="0"/>
  </r>
  <r>
    <s v="AP10541"/>
    <x v="3"/>
    <x v="426"/>
    <d v="2023-02-14T00:00:00"/>
    <n v="2046.68"/>
    <s v="CAD"/>
    <x v="0"/>
    <m/>
    <s v="Net 30"/>
    <s v="Unpaid"/>
    <x v="0"/>
  </r>
  <r>
    <s v="AP10542"/>
    <x v="3"/>
    <x v="125"/>
    <d v="2025-06-04T00:00:00"/>
    <n v="3776.36"/>
    <s v="GBP"/>
    <x v="2"/>
    <d v="2025-06-04T00:00:00"/>
    <s v="Net 30"/>
    <s v="On Time"/>
    <x v="1"/>
  </r>
  <r>
    <s v="AP10543"/>
    <x v="1"/>
    <x v="231"/>
    <d v="2025-07-07T00:00:00"/>
    <n v="2839.95"/>
    <s v="EUR"/>
    <x v="2"/>
    <d v="2025-07-07T00:00:00"/>
    <s v="Net 30"/>
    <s v="On Time"/>
    <x v="1"/>
  </r>
  <r>
    <s v="AP10544"/>
    <x v="1"/>
    <x v="427"/>
    <d v="2023-08-14T00:00:00"/>
    <n v="2261.9499999999998"/>
    <s v="GBP"/>
    <x v="0"/>
    <m/>
    <s v="Net 30"/>
    <s v="Unpaid"/>
    <x v="0"/>
  </r>
  <r>
    <s v="AP10545"/>
    <x v="1"/>
    <x v="238"/>
    <d v="2025-02-28T00:00:00"/>
    <n v="104.02"/>
    <s v="EUR"/>
    <x v="1"/>
    <m/>
    <s v="Net 30"/>
    <s v="Unpaid"/>
    <x v="0"/>
  </r>
  <r>
    <s v="AP10546"/>
    <x v="4"/>
    <x v="428"/>
    <d v="2025-07-10T00:00:00"/>
    <n v="3899.93"/>
    <s v="GBP"/>
    <x v="1"/>
    <m/>
    <s v="Net 30"/>
    <s v="Unpaid"/>
    <x v="0"/>
  </r>
  <r>
    <s v="AP10547"/>
    <x v="3"/>
    <x v="429"/>
    <d v="2024-08-02T00:00:00"/>
    <n v="276.7"/>
    <s v="EUR"/>
    <x v="0"/>
    <m/>
    <s v="Net 30"/>
    <s v="Unpaid"/>
    <x v="0"/>
  </r>
  <r>
    <s v="AP10548"/>
    <x v="0"/>
    <x v="430"/>
    <d v="2023-07-19T00:00:00"/>
    <n v="4610.3100000000004"/>
    <s v="USD"/>
    <x v="1"/>
    <m/>
    <s v="Net 30"/>
    <s v="Unpaid"/>
    <x v="0"/>
  </r>
  <r>
    <s v="AP10549"/>
    <x v="2"/>
    <x v="431"/>
    <d v="2025-07-04T00:00:00"/>
    <n v="1285.1300000000001"/>
    <s v="GBP"/>
    <x v="2"/>
    <d v="2025-07-04T00:00:00"/>
    <s v="Net 30"/>
    <s v="On Time"/>
    <x v="1"/>
  </r>
  <r>
    <s v="AP10550"/>
    <x v="4"/>
    <x v="264"/>
    <d v="2023-06-22T00:00:00"/>
    <n v="3752.28"/>
    <s v="GBP"/>
    <x v="1"/>
    <m/>
    <s v="Net 30"/>
    <s v="Unpaid"/>
    <x v="0"/>
  </r>
  <r>
    <s v="AP10551"/>
    <x v="1"/>
    <x v="364"/>
    <d v="2023-12-04T00:00:00"/>
    <n v="3746.16"/>
    <s v="GBP"/>
    <x v="0"/>
    <m/>
    <s v="Net 30"/>
    <s v="Unpaid"/>
    <x v="0"/>
  </r>
  <r>
    <s v="AP10552"/>
    <x v="0"/>
    <x v="432"/>
    <d v="2025-01-17T00:00:00"/>
    <n v="4464.8999999999996"/>
    <s v="USD"/>
    <x v="2"/>
    <d v="2025-01-17T00:00:00"/>
    <s v="Net 30"/>
    <s v="On Time"/>
    <x v="1"/>
  </r>
  <r>
    <s v="AP10553"/>
    <x v="4"/>
    <x v="126"/>
    <d v="2024-07-28T00:00:00"/>
    <n v="4957.1499999999996"/>
    <s v="USD"/>
    <x v="0"/>
    <m/>
    <s v="Net 30"/>
    <s v="Unpaid"/>
    <x v="0"/>
  </r>
  <r>
    <s v="AP10554"/>
    <x v="3"/>
    <x v="224"/>
    <d v="2024-08-29T00:00:00"/>
    <n v="129.91"/>
    <s v="GBP"/>
    <x v="0"/>
    <m/>
    <s v="Net 30"/>
    <s v="Unpaid"/>
    <x v="0"/>
  </r>
  <r>
    <s v="AP10555"/>
    <x v="1"/>
    <x v="433"/>
    <d v="2023-07-03T00:00:00"/>
    <n v="4151.46"/>
    <s v="AUD"/>
    <x v="2"/>
    <d v="2023-07-03T00:00:00"/>
    <s v="Net 30"/>
    <s v="On Time"/>
    <x v="1"/>
  </r>
  <r>
    <s v="AP10556"/>
    <x v="4"/>
    <x v="147"/>
    <d v="2024-03-24T00:00:00"/>
    <n v="4386"/>
    <s v="AUD"/>
    <x v="0"/>
    <m/>
    <s v="Net 30"/>
    <s v="Unpaid"/>
    <x v="0"/>
  </r>
  <r>
    <s v="AP10557"/>
    <x v="3"/>
    <x v="302"/>
    <d v="2024-07-09T00:00:00"/>
    <n v="2792.29"/>
    <s v="AUD"/>
    <x v="2"/>
    <d v="2024-07-09T00:00:00"/>
    <s v="Net 30"/>
    <s v="On Time"/>
    <x v="1"/>
  </r>
  <r>
    <s v="AP10558"/>
    <x v="4"/>
    <x v="434"/>
    <d v="2025-04-21T00:00:00"/>
    <n v="2307.9"/>
    <s v="GBP"/>
    <x v="0"/>
    <m/>
    <s v="Net 30"/>
    <s v="Unpaid"/>
    <x v="0"/>
  </r>
  <r>
    <s v="AP10559"/>
    <x v="0"/>
    <x v="435"/>
    <d v="2024-10-02T00:00:00"/>
    <n v="1432.07"/>
    <s v="AUD"/>
    <x v="2"/>
    <d v="2024-10-02T00:00:00"/>
    <s v="Net 30"/>
    <s v="On Time"/>
    <x v="1"/>
  </r>
  <r>
    <s v="AP10560"/>
    <x v="3"/>
    <x v="403"/>
    <d v="2024-07-29T00:00:00"/>
    <n v="2127.41"/>
    <s v="USD"/>
    <x v="0"/>
    <m/>
    <s v="Net 30"/>
    <s v="Unpaid"/>
    <x v="0"/>
  </r>
  <r>
    <s v="AP10561"/>
    <x v="2"/>
    <x v="436"/>
    <d v="2024-12-27T00:00:00"/>
    <n v="254.96"/>
    <s v="GBP"/>
    <x v="2"/>
    <d v="2024-12-27T00:00:00"/>
    <s v="Net 30"/>
    <s v="On Time"/>
    <x v="1"/>
  </r>
  <r>
    <s v="AP10562"/>
    <x v="3"/>
    <x v="307"/>
    <d v="2023-09-21T00:00:00"/>
    <n v="2704.91"/>
    <s v="AUD"/>
    <x v="0"/>
    <m/>
    <s v="Net 30"/>
    <s v="Unpaid"/>
    <x v="0"/>
  </r>
  <r>
    <s v="AP10563"/>
    <x v="2"/>
    <x v="437"/>
    <d v="2024-06-25T00:00:00"/>
    <n v="1222.6300000000001"/>
    <s v="CAD"/>
    <x v="2"/>
    <d v="2024-06-25T00:00:00"/>
    <s v="Net 30"/>
    <s v="On Time"/>
    <x v="1"/>
  </r>
  <r>
    <s v="AP10564"/>
    <x v="1"/>
    <x v="438"/>
    <d v="2023-02-24T00:00:00"/>
    <n v="2660.77"/>
    <s v="USD"/>
    <x v="1"/>
    <m/>
    <s v="Net 30"/>
    <s v="Unpaid"/>
    <x v="0"/>
  </r>
  <r>
    <s v="AP10565"/>
    <x v="3"/>
    <x v="439"/>
    <d v="2023-08-12T00:00:00"/>
    <n v="1359"/>
    <s v="EUR"/>
    <x v="0"/>
    <m/>
    <s v="Net 30"/>
    <s v="Unpaid"/>
    <x v="0"/>
  </r>
  <r>
    <s v="AP10566"/>
    <x v="3"/>
    <x v="440"/>
    <d v="2023-10-13T00:00:00"/>
    <n v="1597.59"/>
    <s v="EUR"/>
    <x v="2"/>
    <d v="2023-10-13T00:00:00"/>
    <s v="Net 30"/>
    <s v="On Time"/>
    <x v="1"/>
  </r>
  <r>
    <s v="AP10567"/>
    <x v="0"/>
    <x v="208"/>
    <d v="2023-04-11T00:00:00"/>
    <n v="4456.2"/>
    <s v="CAD"/>
    <x v="1"/>
    <m/>
    <s v="Net 30"/>
    <s v="Unpaid"/>
    <x v="0"/>
  </r>
  <r>
    <s v="AP10568"/>
    <x v="4"/>
    <x v="441"/>
    <d v="2024-11-21T00:00:00"/>
    <n v="583.61"/>
    <s v="GBP"/>
    <x v="1"/>
    <m/>
    <s v="Net 30"/>
    <s v="Unpaid"/>
    <x v="0"/>
  </r>
  <r>
    <s v="AP10569"/>
    <x v="4"/>
    <x v="277"/>
    <d v="2024-09-06T00:00:00"/>
    <n v="3912.65"/>
    <s v="USD"/>
    <x v="1"/>
    <m/>
    <s v="Net 30"/>
    <s v="Unpaid"/>
    <x v="0"/>
  </r>
  <r>
    <s v="AP10570"/>
    <x v="3"/>
    <x v="442"/>
    <d v="2023-06-23T00:00:00"/>
    <n v="2835.21"/>
    <s v="USD"/>
    <x v="2"/>
    <d v="2023-06-23T00:00:00"/>
    <s v="Net 30"/>
    <s v="On Time"/>
    <x v="1"/>
  </r>
  <r>
    <s v="AP10571"/>
    <x v="3"/>
    <x v="443"/>
    <d v="2024-07-18T00:00:00"/>
    <n v="865.54"/>
    <s v="EUR"/>
    <x v="1"/>
    <m/>
    <s v="Net 30"/>
    <s v="Unpaid"/>
    <x v="0"/>
  </r>
  <r>
    <s v="AP10572"/>
    <x v="3"/>
    <x v="444"/>
    <d v="2024-07-12T00:00:00"/>
    <n v="3671.15"/>
    <s v="GBP"/>
    <x v="1"/>
    <m/>
    <s v="Net 30"/>
    <s v="Unpaid"/>
    <x v="0"/>
  </r>
  <r>
    <s v="AP10573"/>
    <x v="2"/>
    <x v="340"/>
    <d v="2025-05-28T00:00:00"/>
    <n v="2131.81"/>
    <s v="USD"/>
    <x v="2"/>
    <d v="2025-05-28T00:00:00"/>
    <s v="Net 30"/>
    <s v="On Time"/>
    <x v="1"/>
  </r>
  <r>
    <s v="AP10574"/>
    <x v="1"/>
    <x v="328"/>
    <d v="2024-12-20T00:00:00"/>
    <n v="4512.54"/>
    <s v="AUD"/>
    <x v="1"/>
    <m/>
    <s v="Net 30"/>
    <s v="Unpaid"/>
    <x v="0"/>
  </r>
  <r>
    <s v="AP10575"/>
    <x v="0"/>
    <x v="197"/>
    <d v="2024-08-17T00:00:00"/>
    <n v="4516.3100000000004"/>
    <s v="USD"/>
    <x v="0"/>
    <m/>
    <s v="Net 30"/>
    <s v="Unpaid"/>
    <x v="0"/>
  </r>
  <r>
    <s v="AP10576"/>
    <x v="1"/>
    <x v="97"/>
    <d v="2024-10-19T00:00:00"/>
    <n v="1978.27"/>
    <s v="USD"/>
    <x v="2"/>
    <d v="2024-10-19T00:00:00"/>
    <s v="Net 30"/>
    <s v="On Time"/>
    <x v="1"/>
  </r>
  <r>
    <s v="AP10577"/>
    <x v="2"/>
    <x v="14"/>
    <d v="2024-06-04T00:00:00"/>
    <n v="1703.15"/>
    <s v="GBP"/>
    <x v="2"/>
    <d v="2024-06-04T00:00:00"/>
    <s v="Net 30"/>
    <s v="On Time"/>
    <x v="1"/>
  </r>
  <r>
    <s v="AP10578"/>
    <x v="0"/>
    <x v="445"/>
    <d v="2024-01-26T00:00:00"/>
    <n v="765.18"/>
    <s v="USD"/>
    <x v="0"/>
    <m/>
    <s v="Net 30"/>
    <s v="Unpaid"/>
    <x v="0"/>
  </r>
  <r>
    <s v="AP10579"/>
    <x v="1"/>
    <x v="446"/>
    <d v="2023-04-06T00:00:00"/>
    <n v="4823.6099999999997"/>
    <s v="AUD"/>
    <x v="0"/>
    <m/>
    <s v="Net 30"/>
    <s v="Unpaid"/>
    <x v="0"/>
  </r>
  <r>
    <s v="AP10580"/>
    <x v="4"/>
    <x v="156"/>
    <d v="2025-07-05T00:00:00"/>
    <n v="929.8"/>
    <s v="USD"/>
    <x v="2"/>
    <d v="2025-07-05T00:00:00"/>
    <s v="Net 30"/>
    <s v="On Time"/>
    <x v="1"/>
  </r>
  <r>
    <s v="AP10581"/>
    <x v="3"/>
    <x v="447"/>
    <d v="2024-03-28T00:00:00"/>
    <n v="4543.1099999999997"/>
    <s v="USD"/>
    <x v="2"/>
    <d v="2024-03-28T00:00:00"/>
    <s v="Net 30"/>
    <s v="On Time"/>
    <x v="1"/>
  </r>
  <r>
    <s v="AP10582"/>
    <x v="0"/>
    <x v="448"/>
    <d v="2024-04-02T00:00:00"/>
    <n v="3165.91"/>
    <s v="AUD"/>
    <x v="1"/>
    <m/>
    <s v="Net 30"/>
    <s v="Unpaid"/>
    <x v="0"/>
  </r>
  <r>
    <s v="AP10583"/>
    <x v="4"/>
    <x v="449"/>
    <d v="2025-05-02T00:00:00"/>
    <n v="674.53"/>
    <s v="USD"/>
    <x v="1"/>
    <m/>
    <s v="Net 30"/>
    <s v="Unpaid"/>
    <x v="0"/>
  </r>
  <r>
    <s v="AP10584"/>
    <x v="0"/>
    <x v="349"/>
    <d v="2024-03-21T00:00:00"/>
    <n v="860.37"/>
    <s v="EUR"/>
    <x v="2"/>
    <d v="2024-03-21T00:00:00"/>
    <s v="Net 30"/>
    <s v="On Time"/>
    <x v="1"/>
  </r>
  <r>
    <s v="AP10585"/>
    <x v="0"/>
    <x v="450"/>
    <d v="2023-02-26T00:00:00"/>
    <n v="1506.08"/>
    <s v="EUR"/>
    <x v="1"/>
    <m/>
    <s v="Net 30"/>
    <s v="Unpaid"/>
    <x v="0"/>
  </r>
  <r>
    <s v="AP10586"/>
    <x v="3"/>
    <x v="451"/>
    <d v="2023-09-24T00:00:00"/>
    <n v="1413.73"/>
    <s v="AUD"/>
    <x v="0"/>
    <m/>
    <s v="Net 30"/>
    <s v="Unpaid"/>
    <x v="0"/>
  </r>
  <r>
    <s v="AP10587"/>
    <x v="2"/>
    <x v="452"/>
    <d v="2023-11-30T00:00:00"/>
    <n v="3386.32"/>
    <s v="EUR"/>
    <x v="2"/>
    <d v="2023-11-30T00:00:00"/>
    <s v="Net 30"/>
    <s v="On Time"/>
    <x v="1"/>
  </r>
  <r>
    <s v="AP10588"/>
    <x v="0"/>
    <x v="288"/>
    <d v="2025-01-06T00:00:00"/>
    <n v="3632.78"/>
    <s v="USD"/>
    <x v="2"/>
    <d v="2025-01-06T00:00:00"/>
    <s v="Net 30"/>
    <s v="On Time"/>
    <x v="1"/>
  </r>
  <r>
    <s v="AP10589"/>
    <x v="4"/>
    <x v="219"/>
    <d v="2024-07-31T00:00:00"/>
    <n v="994.97"/>
    <s v="CAD"/>
    <x v="2"/>
    <d v="2024-07-31T00:00:00"/>
    <s v="Net 30"/>
    <s v="On Time"/>
    <x v="1"/>
  </r>
  <r>
    <s v="AP10590"/>
    <x v="4"/>
    <x v="295"/>
    <d v="2024-01-21T00:00:00"/>
    <n v="2164.98"/>
    <s v="AUD"/>
    <x v="2"/>
    <d v="2024-01-21T00:00:00"/>
    <s v="Net 30"/>
    <s v="On Time"/>
    <x v="1"/>
  </r>
  <r>
    <s v="AP10591"/>
    <x v="3"/>
    <x v="453"/>
    <d v="2024-09-05T00:00:00"/>
    <n v="3042.89"/>
    <s v="AUD"/>
    <x v="2"/>
    <d v="2024-09-05T00:00:00"/>
    <s v="Net 30"/>
    <s v="On Time"/>
    <x v="1"/>
  </r>
  <r>
    <s v="AP10592"/>
    <x v="0"/>
    <x v="454"/>
    <d v="2023-12-15T00:00:00"/>
    <n v="4101.79"/>
    <s v="AUD"/>
    <x v="2"/>
    <d v="2023-12-15T00:00:00"/>
    <s v="Net 30"/>
    <s v="On Time"/>
    <x v="1"/>
  </r>
  <r>
    <s v="AP10593"/>
    <x v="4"/>
    <x v="181"/>
    <d v="2023-10-21T00:00:00"/>
    <n v="3506.57"/>
    <s v="GBP"/>
    <x v="2"/>
    <d v="2023-10-21T00:00:00"/>
    <s v="Net 30"/>
    <s v="On Time"/>
    <x v="1"/>
  </r>
  <r>
    <s v="AP10594"/>
    <x v="4"/>
    <x v="306"/>
    <d v="2025-06-19T00:00:00"/>
    <n v="3352.25"/>
    <s v="EUR"/>
    <x v="1"/>
    <m/>
    <s v="Net 30"/>
    <s v="Unpaid"/>
    <x v="0"/>
  </r>
  <r>
    <s v="AP10595"/>
    <x v="4"/>
    <x v="455"/>
    <d v="2023-11-20T00:00:00"/>
    <n v="940.15"/>
    <s v="USD"/>
    <x v="0"/>
    <m/>
    <s v="Net 30"/>
    <s v="Unpaid"/>
    <x v="0"/>
  </r>
  <r>
    <s v="AP10596"/>
    <x v="0"/>
    <x v="50"/>
    <d v="2023-09-23T00:00:00"/>
    <n v="3505.16"/>
    <s v="USD"/>
    <x v="0"/>
    <m/>
    <s v="Net 30"/>
    <s v="Unpaid"/>
    <x v="0"/>
  </r>
  <r>
    <s v="AP10597"/>
    <x v="3"/>
    <x v="456"/>
    <d v="2024-06-07T00:00:00"/>
    <n v="319.55"/>
    <s v="EUR"/>
    <x v="1"/>
    <m/>
    <s v="Net 30"/>
    <s v="Unpaid"/>
    <x v="0"/>
  </r>
  <r>
    <s v="AP10598"/>
    <x v="2"/>
    <x v="457"/>
    <d v="2023-11-23T00:00:00"/>
    <n v="1360.57"/>
    <s v="CAD"/>
    <x v="2"/>
    <d v="2023-11-23T00:00:00"/>
    <s v="Net 30"/>
    <s v="On Time"/>
    <x v="1"/>
  </r>
  <r>
    <s v="AP10599"/>
    <x v="2"/>
    <x v="458"/>
    <d v="2024-01-16T00:00:00"/>
    <n v="2177.67"/>
    <s v="USD"/>
    <x v="2"/>
    <d v="2024-01-16T00:00:00"/>
    <s v="Net 30"/>
    <s v="On Time"/>
    <x v="1"/>
  </r>
  <r>
    <s v="AP10600"/>
    <x v="3"/>
    <x v="459"/>
    <d v="2023-04-18T00:00:00"/>
    <n v="203.9"/>
    <s v="CAD"/>
    <x v="0"/>
    <m/>
    <s v="Net 30"/>
    <s v="Unpaid"/>
    <x v="0"/>
  </r>
  <r>
    <s v="AP10601"/>
    <x v="0"/>
    <x v="90"/>
    <d v="2023-11-27T00:00:00"/>
    <n v="868.73"/>
    <s v="AUD"/>
    <x v="2"/>
    <d v="2023-11-27T00:00:00"/>
    <s v="Net 30"/>
    <s v="On Time"/>
    <x v="1"/>
  </r>
  <r>
    <s v="AP10602"/>
    <x v="4"/>
    <x v="81"/>
    <d v="2023-07-05T00:00:00"/>
    <n v="283.51"/>
    <s v="AUD"/>
    <x v="0"/>
    <m/>
    <s v="Net 30"/>
    <s v="Unpaid"/>
    <x v="0"/>
  </r>
  <r>
    <s v="AP10603"/>
    <x v="1"/>
    <x v="109"/>
    <d v="2024-12-29T00:00:00"/>
    <n v="1373.89"/>
    <s v="USD"/>
    <x v="1"/>
    <m/>
    <s v="Net 30"/>
    <s v="Unpaid"/>
    <x v="0"/>
  </r>
  <r>
    <s v="AP10604"/>
    <x v="0"/>
    <x v="460"/>
    <d v="2025-06-16T00:00:00"/>
    <n v="1032.8399999999999"/>
    <s v="USD"/>
    <x v="1"/>
    <m/>
    <s v="Net 30"/>
    <s v="Unpaid"/>
    <x v="0"/>
  </r>
  <r>
    <s v="AP10605"/>
    <x v="2"/>
    <x v="436"/>
    <d v="2024-12-27T00:00:00"/>
    <n v="389.67"/>
    <s v="GBP"/>
    <x v="1"/>
    <m/>
    <s v="Net 30"/>
    <s v="Unpaid"/>
    <x v="0"/>
  </r>
  <r>
    <s v="AP10606"/>
    <x v="0"/>
    <x v="461"/>
    <d v="2023-04-02T00:00:00"/>
    <n v="3748.86"/>
    <s v="EUR"/>
    <x v="1"/>
    <m/>
    <s v="Net 30"/>
    <s v="Unpaid"/>
    <x v="0"/>
  </r>
  <r>
    <s v="AP10607"/>
    <x v="4"/>
    <x v="160"/>
    <d v="2025-01-08T00:00:00"/>
    <n v="4546.88"/>
    <s v="USD"/>
    <x v="0"/>
    <m/>
    <s v="Net 30"/>
    <s v="Unpaid"/>
    <x v="0"/>
  </r>
  <r>
    <s v="AP10608"/>
    <x v="3"/>
    <x v="3"/>
    <d v="2024-02-07T00:00:00"/>
    <n v="3439.51"/>
    <s v="AUD"/>
    <x v="1"/>
    <m/>
    <s v="Net 30"/>
    <s v="Unpaid"/>
    <x v="0"/>
  </r>
  <r>
    <s v="AP10609"/>
    <x v="4"/>
    <x v="462"/>
    <d v="2023-03-21T00:00:00"/>
    <n v="3319.57"/>
    <s v="GBP"/>
    <x v="0"/>
    <m/>
    <s v="Net 30"/>
    <s v="Unpaid"/>
    <x v="0"/>
  </r>
  <r>
    <s v="AP10610"/>
    <x v="3"/>
    <x v="54"/>
    <d v="2023-02-02T00:00:00"/>
    <n v="3057.93"/>
    <s v="CAD"/>
    <x v="2"/>
    <d v="2023-02-02T00:00:00"/>
    <s v="Net 30"/>
    <s v="On Time"/>
    <x v="1"/>
  </r>
  <r>
    <s v="AP10611"/>
    <x v="2"/>
    <x v="312"/>
    <d v="2024-08-21T00:00:00"/>
    <n v="1043.05"/>
    <s v="AUD"/>
    <x v="1"/>
    <m/>
    <s v="Net 30"/>
    <s v="Unpaid"/>
    <x v="0"/>
  </r>
  <r>
    <s v="AP10612"/>
    <x v="3"/>
    <x v="75"/>
    <d v="2024-05-19T00:00:00"/>
    <n v="1216.7"/>
    <s v="GBP"/>
    <x v="0"/>
    <m/>
    <s v="Net 30"/>
    <s v="Unpaid"/>
    <x v="0"/>
  </r>
  <r>
    <s v="AP10613"/>
    <x v="4"/>
    <x v="463"/>
    <d v="2023-07-08T00:00:00"/>
    <n v="1242.77"/>
    <s v="AUD"/>
    <x v="0"/>
    <m/>
    <s v="Net 30"/>
    <s v="Unpaid"/>
    <x v="0"/>
  </r>
  <r>
    <s v="AP10614"/>
    <x v="3"/>
    <x v="464"/>
    <d v="2023-02-16T00:00:00"/>
    <n v="1253.18"/>
    <s v="EUR"/>
    <x v="0"/>
    <m/>
    <s v="Net 30"/>
    <s v="Unpaid"/>
    <x v="0"/>
  </r>
  <r>
    <s v="AP10615"/>
    <x v="2"/>
    <x v="465"/>
    <d v="2024-01-17T00:00:00"/>
    <n v="1423.03"/>
    <s v="GBP"/>
    <x v="0"/>
    <m/>
    <s v="Net 30"/>
    <s v="Unpaid"/>
    <x v="0"/>
  </r>
  <r>
    <s v="AP10616"/>
    <x v="3"/>
    <x v="121"/>
    <d v="2023-02-13T00:00:00"/>
    <n v="908.37"/>
    <s v="EUR"/>
    <x v="2"/>
    <d v="2023-02-13T00:00:00"/>
    <s v="Net 30"/>
    <s v="On Time"/>
    <x v="1"/>
  </r>
  <r>
    <s v="AP10617"/>
    <x v="0"/>
    <x v="466"/>
    <d v="2024-12-11T00:00:00"/>
    <n v="4103.24"/>
    <s v="GBP"/>
    <x v="0"/>
    <m/>
    <s v="Net 30"/>
    <s v="Unpaid"/>
    <x v="0"/>
  </r>
  <r>
    <s v="AP10618"/>
    <x v="3"/>
    <x v="467"/>
    <d v="2024-11-25T00:00:00"/>
    <n v="2557.84"/>
    <s v="GBP"/>
    <x v="1"/>
    <m/>
    <s v="Net 30"/>
    <s v="Unpaid"/>
    <x v="0"/>
  </r>
  <r>
    <s v="AP10619"/>
    <x v="1"/>
    <x v="468"/>
    <d v="2023-01-31T00:00:00"/>
    <n v="4192.79"/>
    <s v="AUD"/>
    <x v="1"/>
    <m/>
    <s v="Net 30"/>
    <s v="Unpaid"/>
    <x v="0"/>
  </r>
  <r>
    <s v="AP10620"/>
    <x v="2"/>
    <x v="161"/>
    <d v="2024-12-09T00:00:00"/>
    <n v="2144.7199999999998"/>
    <s v="AUD"/>
    <x v="1"/>
    <m/>
    <s v="Net 30"/>
    <s v="Unpaid"/>
    <x v="0"/>
  </r>
  <r>
    <s v="AP10621"/>
    <x v="2"/>
    <x v="469"/>
    <d v="2024-12-08T00:00:00"/>
    <n v="669.43"/>
    <s v="USD"/>
    <x v="0"/>
    <m/>
    <s v="Net 30"/>
    <s v="Unpaid"/>
    <x v="0"/>
  </r>
  <r>
    <s v="AP10622"/>
    <x v="0"/>
    <x v="268"/>
    <d v="2025-03-31T00:00:00"/>
    <n v="2583.87"/>
    <s v="AUD"/>
    <x v="2"/>
    <d v="2025-03-31T00:00:00"/>
    <s v="Net 30"/>
    <s v="On Time"/>
    <x v="1"/>
  </r>
  <r>
    <s v="AP10623"/>
    <x v="1"/>
    <x v="470"/>
    <d v="2025-02-25T00:00:00"/>
    <n v="2870.13"/>
    <s v="GBP"/>
    <x v="0"/>
    <m/>
    <s v="Net 30"/>
    <s v="Unpaid"/>
    <x v="0"/>
  </r>
  <r>
    <s v="AP10624"/>
    <x v="3"/>
    <x v="158"/>
    <d v="2025-05-01T00:00:00"/>
    <n v="308.64"/>
    <s v="CAD"/>
    <x v="0"/>
    <m/>
    <s v="Net 30"/>
    <s v="Unpaid"/>
    <x v="0"/>
  </r>
  <r>
    <s v="AP10625"/>
    <x v="1"/>
    <x v="422"/>
    <d v="2024-10-07T00:00:00"/>
    <n v="754.61"/>
    <s v="USD"/>
    <x v="2"/>
    <d v="2024-10-07T00:00:00"/>
    <s v="Net 30"/>
    <s v="On Time"/>
    <x v="1"/>
  </r>
  <r>
    <s v="AP10626"/>
    <x v="3"/>
    <x v="471"/>
    <d v="2025-06-21T00:00:00"/>
    <n v="1564.86"/>
    <s v="EUR"/>
    <x v="0"/>
    <m/>
    <s v="Net 30"/>
    <s v="Unpaid"/>
    <x v="0"/>
  </r>
  <r>
    <s v="AP10627"/>
    <x v="1"/>
    <x v="426"/>
    <d v="2023-02-14T00:00:00"/>
    <n v="2205.11"/>
    <s v="GBP"/>
    <x v="1"/>
    <m/>
    <s v="Net 30"/>
    <s v="Unpaid"/>
    <x v="0"/>
  </r>
  <r>
    <s v="AP10628"/>
    <x v="3"/>
    <x v="472"/>
    <d v="2024-06-08T00:00:00"/>
    <n v="562.79999999999995"/>
    <s v="GBP"/>
    <x v="1"/>
    <m/>
    <s v="Net 30"/>
    <s v="Unpaid"/>
    <x v="0"/>
  </r>
  <r>
    <s v="AP10629"/>
    <x v="0"/>
    <x v="473"/>
    <d v="2023-04-01T00:00:00"/>
    <n v="3911.54"/>
    <s v="USD"/>
    <x v="1"/>
    <m/>
    <s v="Net 30"/>
    <s v="Unpaid"/>
    <x v="0"/>
  </r>
  <r>
    <s v="AP10630"/>
    <x v="4"/>
    <x v="474"/>
    <d v="2025-07-28T00:00:00"/>
    <n v="3891.61"/>
    <s v="CAD"/>
    <x v="1"/>
    <m/>
    <s v="Net 30"/>
    <s v="Unpaid"/>
    <x v="0"/>
  </r>
  <r>
    <s v="AP10631"/>
    <x v="2"/>
    <x v="475"/>
    <d v="2023-03-17T00:00:00"/>
    <n v="2302.46"/>
    <s v="GBP"/>
    <x v="0"/>
    <m/>
    <s v="Net 30"/>
    <s v="Unpaid"/>
    <x v="0"/>
  </r>
  <r>
    <s v="AP10632"/>
    <x v="3"/>
    <x v="182"/>
    <d v="2024-05-06T00:00:00"/>
    <n v="3723.61"/>
    <s v="USD"/>
    <x v="0"/>
    <m/>
    <s v="Net 30"/>
    <s v="Unpaid"/>
    <x v="0"/>
  </r>
  <r>
    <s v="AP10633"/>
    <x v="0"/>
    <x v="413"/>
    <d v="2024-03-27T00:00:00"/>
    <n v="2892.87"/>
    <s v="EUR"/>
    <x v="0"/>
    <m/>
    <s v="Net 30"/>
    <s v="Unpaid"/>
    <x v="0"/>
  </r>
  <r>
    <s v="AP10634"/>
    <x v="2"/>
    <x v="476"/>
    <d v="2025-01-23T00:00:00"/>
    <n v="2261.7399999999998"/>
    <s v="GBP"/>
    <x v="0"/>
    <m/>
    <s v="Net 30"/>
    <s v="Unpaid"/>
    <x v="0"/>
  </r>
  <r>
    <s v="AP10635"/>
    <x v="3"/>
    <x v="361"/>
    <d v="2024-04-09T00:00:00"/>
    <n v="3900.62"/>
    <s v="AUD"/>
    <x v="1"/>
    <m/>
    <s v="Net 30"/>
    <s v="Unpaid"/>
    <x v="0"/>
  </r>
  <r>
    <s v="AP10636"/>
    <x v="3"/>
    <x v="477"/>
    <d v="2024-06-06T00:00:00"/>
    <n v="4377.2"/>
    <s v="GBP"/>
    <x v="0"/>
    <m/>
    <s v="Net 30"/>
    <s v="Unpaid"/>
    <x v="0"/>
  </r>
  <r>
    <s v="AP10637"/>
    <x v="4"/>
    <x v="347"/>
    <d v="2025-02-12T00:00:00"/>
    <n v="4656.51"/>
    <s v="AUD"/>
    <x v="2"/>
    <d v="2025-02-12T00:00:00"/>
    <s v="Net 30"/>
    <s v="On Time"/>
    <x v="1"/>
  </r>
  <r>
    <s v="AP10638"/>
    <x v="2"/>
    <x v="195"/>
    <d v="2025-03-18T00:00:00"/>
    <n v="4576.1099999999997"/>
    <s v="USD"/>
    <x v="0"/>
    <m/>
    <s v="Net 30"/>
    <s v="Unpaid"/>
    <x v="0"/>
  </r>
  <r>
    <s v="AP10639"/>
    <x v="3"/>
    <x v="478"/>
    <d v="2025-06-03T00:00:00"/>
    <n v="1039.52"/>
    <s v="EUR"/>
    <x v="1"/>
    <m/>
    <s v="Net 30"/>
    <s v="Unpaid"/>
    <x v="0"/>
  </r>
  <r>
    <s v="AP10640"/>
    <x v="4"/>
    <x v="479"/>
    <d v="2023-10-02T00:00:00"/>
    <n v="179.18"/>
    <s v="GBP"/>
    <x v="2"/>
    <d v="2023-10-02T00:00:00"/>
    <s v="Net 30"/>
    <s v="On Time"/>
    <x v="1"/>
  </r>
  <r>
    <s v="AP10641"/>
    <x v="2"/>
    <x v="294"/>
    <d v="2023-12-05T00:00:00"/>
    <n v="2198.02"/>
    <s v="AUD"/>
    <x v="2"/>
    <d v="2023-12-05T00:00:00"/>
    <s v="Net 30"/>
    <s v="On Time"/>
    <x v="1"/>
  </r>
  <r>
    <s v="AP10642"/>
    <x v="1"/>
    <x v="217"/>
    <d v="2024-04-10T00:00:00"/>
    <n v="3150.23"/>
    <s v="AUD"/>
    <x v="1"/>
    <m/>
    <s v="Net 30"/>
    <s v="Unpaid"/>
    <x v="0"/>
  </r>
  <r>
    <s v="AP10643"/>
    <x v="1"/>
    <x v="480"/>
    <d v="2023-12-06T00:00:00"/>
    <n v="4973.37"/>
    <s v="AUD"/>
    <x v="1"/>
    <m/>
    <s v="Net 30"/>
    <s v="Unpaid"/>
    <x v="0"/>
  </r>
  <r>
    <s v="AP10644"/>
    <x v="2"/>
    <x v="338"/>
    <d v="2025-05-10T00:00:00"/>
    <n v="4507.3999999999996"/>
    <s v="CAD"/>
    <x v="2"/>
    <d v="2025-05-10T00:00:00"/>
    <s v="Net 30"/>
    <s v="On Time"/>
    <x v="1"/>
  </r>
  <r>
    <s v="AP10645"/>
    <x v="0"/>
    <x v="481"/>
    <d v="2023-08-17T00:00:00"/>
    <n v="2432.37"/>
    <s v="GBP"/>
    <x v="1"/>
    <m/>
    <s v="Net 30"/>
    <s v="Unpaid"/>
    <x v="0"/>
  </r>
  <r>
    <s v="AP10646"/>
    <x v="3"/>
    <x v="479"/>
    <d v="2023-10-02T00:00:00"/>
    <n v="3421.02"/>
    <s v="AUD"/>
    <x v="0"/>
    <m/>
    <s v="Net 30"/>
    <s v="Unpaid"/>
    <x v="0"/>
  </r>
  <r>
    <s v="AP10647"/>
    <x v="3"/>
    <x v="421"/>
    <d v="2023-09-07T00:00:00"/>
    <n v="223.05"/>
    <s v="GBP"/>
    <x v="2"/>
    <d v="2023-09-07T00:00:00"/>
    <s v="Net 30"/>
    <s v="On Time"/>
    <x v="1"/>
  </r>
  <r>
    <s v="AP10648"/>
    <x v="0"/>
    <x v="444"/>
    <d v="2024-07-12T00:00:00"/>
    <n v="599.71"/>
    <s v="USD"/>
    <x v="0"/>
    <m/>
    <s v="Net 30"/>
    <s v="Unpaid"/>
    <x v="0"/>
  </r>
  <r>
    <s v="AP10649"/>
    <x v="0"/>
    <x v="482"/>
    <d v="2023-05-13T00:00:00"/>
    <n v="4739.08"/>
    <s v="EUR"/>
    <x v="1"/>
    <m/>
    <s v="Net 30"/>
    <s v="Unpaid"/>
    <x v="0"/>
  </r>
  <r>
    <s v="AP10650"/>
    <x v="2"/>
    <x v="483"/>
    <d v="2024-12-13T00:00:00"/>
    <n v="332.35"/>
    <s v="AUD"/>
    <x v="1"/>
    <m/>
    <s v="Net 30"/>
    <s v="Unpaid"/>
    <x v="0"/>
  </r>
  <r>
    <s v="AP10651"/>
    <x v="0"/>
    <x v="146"/>
    <d v="2024-08-01T00:00:00"/>
    <n v="4746.3999999999996"/>
    <s v="USD"/>
    <x v="2"/>
    <d v="2024-08-01T00:00:00"/>
    <s v="Net 30"/>
    <s v="On Time"/>
    <x v="1"/>
  </r>
  <r>
    <s v="AP10652"/>
    <x v="2"/>
    <x v="484"/>
    <d v="2023-08-05T00:00:00"/>
    <n v="4124.6000000000004"/>
    <s v="GBP"/>
    <x v="0"/>
    <m/>
    <s v="Net 30"/>
    <s v="Unpaid"/>
    <x v="0"/>
  </r>
  <r>
    <s v="AP10653"/>
    <x v="4"/>
    <x v="485"/>
    <d v="2023-07-06T00:00:00"/>
    <n v="1630.69"/>
    <s v="GBP"/>
    <x v="2"/>
    <d v="2023-07-06T00:00:00"/>
    <s v="Net 30"/>
    <s v="On Time"/>
    <x v="1"/>
  </r>
  <r>
    <s v="AP10654"/>
    <x v="3"/>
    <x v="155"/>
    <d v="2024-10-14T00:00:00"/>
    <n v="4643.99"/>
    <s v="GBP"/>
    <x v="1"/>
    <m/>
    <s v="Net 30"/>
    <s v="Unpaid"/>
    <x v="0"/>
  </r>
  <r>
    <s v="AP10655"/>
    <x v="1"/>
    <x v="372"/>
    <d v="2023-10-29T00:00:00"/>
    <n v="121.66"/>
    <s v="CAD"/>
    <x v="0"/>
    <m/>
    <s v="Net 30"/>
    <s v="Unpaid"/>
    <x v="0"/>
  </r>
  <r>
    <s v="AP10656"/>
    <x v="2"/>
    <x v="83"/>
    <d v="2023-08-03T00:00:00"/>
    <n v="2464.2399999999998"/>
    <s v="USD"/>
    <x v="1"/>
    <m/>
    <s v="Net 30"/>
    <s v="Unpaid"/>
    <x v="0"/>
  </r>
  <r>
    <s v="AP10657"/>
    <x v="4"/>
    <x v="486"/>
    <d v="2024-01-10T00:00:00"/>
    <n v="4354.51"/>
    <s v="GBP"/>
    <x v="1"/>
    <m/>
    <s v="Net 30"/>
    <s v="Unpaid"/>
    <x v="0"/>
  </r>
  <r>
    <s v="AP10658"/>
    <x v="4"/>
    <x v="106"/>
    <d v="2024-01-12T00:00:00"/>
    <n v="1809.68"/>
    <s v="USD"/>
    <x v="1"/>
    <m/>
    <s v="Net 30"/>
    <s v="Unpaid"/>
    <x v="0"/>
  </r>
  <r>
    <s v="AP10659"/>
    <x v="4"/>
    <x v="204"/>
    <d v="2024-11-22T00:00:00"/>
    <n v="4448.67"/>
    <s v="USD"/>
    <x v="0"/>
    <m/>
    <s v="Net 30"/>
    <s v="Unpaid"/>
    <x v="0"/>
  </r>
  <r>
    <s v="AP10660"/>
    <x v="1"/>
    <x v="293"/>
    <d v="2025-07-02T00:00:00"/>
    <n v="3810.59"/>
    <s v="CAD"/>
    <x v="2"/>
    <d v="2025-07-02T00:00:00"/>
    <s v="Net 30"/>
    <s v="On Time"/>
    <x v="1"/>
  </r>
  <r>
    <s v="AP10661"/>
    <x v="4"/>
    <x v="393"/>
    <d v="2024-06-20T00:00:00"/>
    <n v="4234.42"/>
    <s v="AUD"/>
    <x v="0"/>
    <m/>
    <s v="Net 30"/>
    <s v="Unpaid"/>
    <x v="0"/>
  </r>
  <r>
    <s v="AP10662"/>
    <x v="0"/>
    <x v="290"/>
    <d v="2024-02-29T00:00:00"/>
    <n v="2754.86"/>
    <s v="GBP"/>
    <x v="1"/>
    <m/>
    <s v="Net 30"/>
    <s v="Unpaid"/>
    <x v="0"/>
  </r>
  <r>
    <s v="AP10663"/>
    <x v="4"/>
    <x v="203"/>
    <d v="2025-03-25T00:00:00"/>
    <n v="3198.07"/>
    <s v="GBP"/>
    <x v="1"/>
    <m/>
    <s v="Net 30"/>
    <s v="Unpaid"/>
    <x v="0"/>
  </r>
  <r>
    <s v="AP10664"/>
    <x v="0"/>
    <x v="487"/>
    <d v="2023-11-01T00:00:00"/>
    <n v="3984.98"/>
    <s v="EUR"/>
    <x v="1"/>
    <m/>
    <s v="Net 30"/>
    <s v="Unpaid"/>
    <x v="0"/>
  </r>
  <r>
    <s v="AP10665"/>
    <x v="3"/>
    <x v="430"/>
    <d v="2023-07-19T00:00:00"/>
    <n v="4810.12"/>
    <s v="USD"/>
    <x v="0"/>
    <m/>
    <s v="Net 30"/>
    <s v="Unpaid"/>
    <x v="0"/>
  </r>
  <r>
    <s v="AP10666"/>
    <x v="2"/>
    <x v="108"/>
    <d v="2024-02-19T00:00:00"/>
    <n v="4712.91"/>
    <s v="EUR"/>
    <x v="0"/>
    <m/>
    <s v="Net 30"/>
    <s v="Unpaid"/>
    <x v="0"/>
  </r>
  <r>
    <s v="AP10667"/>
    <x v="0"/>
    <x v="488"/>
    <d v="2025-03-06T00:00:00"/>
    <n v="4624.82"/>
    <s v="AUD"/>
    <x v="2"/>
    <d v="2025-03-06T00:00:00"/>
    <s v="Net 30"/>
    <s v="On Time"/>
    <x v="1"/>
  </r>
  <r>
    <s v="AP10668"/>
    <x v="4"/>
    <x v="394"/>
    <d v="2024-09-17T00:00:00"/>
    <n v="3779.89"/>
    <s v="CAD"/>
    <x v="0"/>
    <m/>
    <s v="Net 30"/>
    <s v="Unpaid"/>
    <x v="0"/>
  </r>
  <r>
    <s v="AP10669"/>
    <x v="3"/>
    <x v="405"/>
    <d v="2023-08-10T00:00:00"/>
    <n v="528.42999999999995"/>
    <s v="GBP"/>
    <x v="1"/>
    <m/>
    <s v="Net 30"/>
    <s v="Unpaid"/>
    <x v="0"/>
  </r>
  <r>
    <s v="AP10670"/>
    <x v="2"/>
    <x v="489"/>
    <d v="2024-02-13T00:00:00"/>
    <n v="3542.71"/>
    <s v="AUD"/>
    <x v="2"/>
    <d v="2024-02-13T00:00:00"/>
    <s v="Net 30"/>
    <s v="On Time"/>
    <x v="1"/>
  </r>
  <r>
    <s v="AP10671"/>
    <x v="2"/>
    <x v="490"/>
    <d v="2025-07-16T00:00:00"/>
    <n v="1625.04"/>
    <s v="GBP"/>
    <x v="2"/>
    <d v="2025-07-16T00:00:00"/>
    <s v="Net 30"/>
    <s v="On Time"/>
    <x v="1"/>
  </r>
  <r>
    <s v="AP10672"/>
    <x v="1"/>
    <x v="491"/>
    <d v="2023-11-13T00:00:00"/>
    <n v="3513.91"/>
    <s v="AUD"/>
    <x v="1"/>
    <m/>
    <s v="Net 30"/>
    <s v="Unpaid"/>
    <x v="0"/>
  </r>
  <r>
    <s v="AP10673"/>
    <x v="4"/>
    <x v="492"/>
    <d v="2023-07-02T00:00:00"/>
    <n v="1005.78"/>
    <s v="GBP"/>
    <x v="2"/>
    <d v="2023-07-02T00:00:00"/>
    <s v="Net 30"/>
    <s v="On Time"/>
    <x v="1"/>
  </r>
  <r>
    <s v="AP10674"/>
    <x v="4"/>
    <x v="68"/>
    <d v="2025-07-13T00:00:00"/>
    <n v="4800.13"/>
    <s v="AUD"/>
    <x v="1"/>
    <m/>
    <s v="Net 30"/>
    <s v="Unpaid"/>
    <x v="0"/>
  </r>
  <r>
    <s v="AP10675"/>
    <x v="2"/>
    <x v="493"/>
    <d v="2025-05-13T00:00:00"/>
    <n v="2790.67"/>
    <s v="AUD"/>
    <x v="1"/>
    <m/>
    <s v="Net 30"/>
    <s v="Unpaid"/>
    <x v="0"/>
  </r>
  <r>
    <s v="AP10676"/>
    <x v="4"/>
    <x v="461"/>
    <d v="2023-04-02T00:00:00"/>
    <n v="3677.45"/>
    <s v="GBP"/>
    <x v="0"/>
    <m/>
    <s v="Net 30"/>
    <s v="Unpaid"/>
    <x v="0"/>
  </r>
  <r>
    <s v="AP10677"/>
    <x v="1"/>
    <x v="494"/>
    <d v="2023-02-28T00:00:00"/>
    <n v="2795.97"/>
    <s v="AUD"/>
    <x v="1"/>
    <m/>
    <s v="Net 30"/>
    <s v="Unpaid"/>
    <x v="0"/>
  </r>
  <r>
    <s v="AP10678"/>
    <x v="1"/>
    <x v="113"/>
    <d v="2023-09-13T00:00:00"/>
    <n v="3609.91"/>
    <s v="EUR"/>
    <x v="0"/>
    <m/>
    <s v="Net 30"/>
    <s v="Unpaid"/>
    <x v="0"/>
  </r>
  <r>
    <s v="AP10679"/>
    <x v="2"/>
    <x v="139"/>
    <d v="2024-07-24T00:00:00"/>
    <n v="415.41"/>
    <s v="CAD"/>
    <x v="0"/>
    <m/>
    <s v="Net 30"/>
    <s v="Unpaid"/>
    <x v="0"/>
  </r>
  <r>
    <s v="AP10680"/>
    <x v="0"/>
    <x v="495"/>
    <d v="2024-06-28T00:00:00"/>
    <n v="3262.02"/>
    <s v="EUR"/>
    <x v="1"/>
    <m/>
    <s v="Net 30"/>
    <s v="Unpaid"/>
    <x v="0"/>
  </r>
  <r>
    <s v="AP10681"/>
    <x v="1"/>
    <x v="496"/>
    <d v="2024-09-09T00:00:00"/>
    <n v="386.52"/>
    <s v="EUR"/>
    <x v="0"/>
    <m/>
    <s v="Net 30"/>
    <s v="Unpaid"/>
    <x v="0"/>
  </r>
  <r>
    <s v="AP10682"/>
    <x v="4"/>
    <x v="497"/>
    <d v="2023-09-11T00:00:00"/>
    <n v="3339.93"/>
    <s v="GBP"/>
    <x v="1"/>
    <m/>
    <s v="Net 30"/>
    <s v="Unpaid"/>
    <x v="0"/>
  </r>
  <r>
    <s v="AP10683"/>
    <x v="2"/>
    <x v="12"/>
    <d v="2023-06-18T00:00:00"/>
    <n v="4195.2"/>
    <s v="EUR"/>
    <x v="1"/>
    <m/>
    <s v="Net 30"/>
    <s v="Unpaid"/>
    <x v="0"/>
  </r>
  <r>
    <s v="AP10684"/>
    <x v="2"/>
    <x v="12"/>
    <d v="2023-06-18T00:00:00"/>
    <n v="2911.89"/>
    <s v="EUR"/>
    <x v="0"/>
    <m/>
    <s v="Net 30"/>
    <s v="Unpaid"/>
    <x v="0"/>
  </r>
  <r>
    <s v="AP10685"/>
    <x v="4"/>
    <x v="498"/>
    <d v="2025-04-29T00:00:00"/>
    <n v="1595.21"/>
    <s v="CAD"/>
    <x v="0"/>
    <m/>
    <s v="Net 30"/>
    <s v="Unpaid"/>
    <x v="0"/>
  </r>
  <r>
    <s v="AP10686"/>
    <x v="2"/>
    <x v="499"/>
    <d v="2023-05-07T00:00:00"/>
    <n v="2246.04"/>
    <s v="EUR"/>
    <x v="0"/>
    <m/>
    <s v="Net 30"/>
    <s v="Unpaid"/>
    <x v="0"/>
  </r>
  <r>
    <s v="AP10687"/>
    <x v="4"/>
    <x v="500"/>
    <d v="2024-01-31T00:00:00"/>
    <n v="560.41999999999996"/>
    <s v="EUR"/>
    <x v="2"/>
    <d v="2024-01-31T00:00:00"/>
    <s v="Net 30"/>
    <s v="On Time"/>
    <x v="1"/>
  </r>
  <r>
    <s v="AP10688"/>
    <x v="3"/>
    <x v="501"/>
    <d v="2023-12-29T00:00:00"/>
    <n v="1796.7"/>
    <s v="EUR"/>
    <x v="0"/>
    <m/>
    <s v="Net 30"/>
    <s v="Unpaid"/>
    <x v="0"/>
  </r>
  <r>
    <s v="AP10689"/>
    <x v="1"/>
    <x v="502"/>
    <d v="2024-07-01T00:00:00"/>
    <n v="1049.54"/>
    <s v="EUR"/>
    <x v="1"/>
    <m/>
    <s v="Net 30"/>
    <s v="Unpaid"/>
    <x v="0"/>
  </r>
  <r>
    <s v="AP10690"/>
    <x v="2"/>
    <x v="503"/>
    <d v="2023-10-09T00:00:00"/>
    <n v="2858.31"/>
    <s v="EUR"/>
    <x v="0"/>
    <m/>
    <s v="Net 30"/>
    <s v="Unpaid"/>
    <x v="0"/>
  </r>
  <r>
    <s v="AP10691"/>
    <x v="2"/>
    <x v="52"/>
    <d v="2024-01-18T00:00:00"/>
    <n v="2144.37"/>
    <s v="CAD"/>
    <x v="0"/>
    <m/>
    <s v="Net 30"/>
    <s v="Unpaid"/>
    <x v="0"/>
  </r>
  <r>
    <s v="AP10692"/>
    <x v="3"/>
    <x v="231"/>
    <d v="2025-07-07T00:00:00"/>
    <n v="1051.29"/>
    <s v="EUR"/>
    <x v="2"/>
    <d v="2025-07-07T00:00:00"/>
    <s v="Net 30"/>
    <s v="On Time"/>
    <x v="1"/>
  </r>
  <r>
    <s v="AP10693"/>
    <x v="3"/>
    <x v="504"/>
    <d v="2023-04-20T00:00:00"/>
    <n v="212.66"/>
    <s v="USD"/>
    <x v="1"/>
    <m/>
    <s v="Net 30"/>
    <s v="Unpaid"/>
    <x v="0"/>
  </r>
  <r>
    <s v="AP10694"/>
    <x v="1"/>
    <x v="486"/>
    <d v="2024-01-10T00:00:00"/>
    <n v="2649.88"/>
    <s v="EUR"/>
    <x v="2"/>
    <d v="2024-01-10T00:00:00"/>
    <s v="Net 30"/>
    <s v="On Time"/>
    <x v="1"/>
  </r>
  <r>
    <s v="AP10695"/>
    <x v="0"/>
    <x v="137"/>
    <d v="2023-06-27T00:00:00"/>
    <n v="2025.22"/>
    <s v="GBP"/>
    <x v="0"/>
    <m/>
    <s v="Net 30"/>
    <s v="Unpaid"/>
    <x v="0"/>
  </r>
  <r>
    <s v="AP10696"/>
    <x v="1"/>
    <x v="373"/>
    <d v="2025-06-01T00:00:00"/>
    <n v="2110.4899999999998"/>
    <s v="GBP"/>
    <x v="2"/>
    <d v="2025-06-01T00:00:00"/>
    <s v="Net 30"/>
    <s v="On Time"/>
    <x v="1"/>
  </r>
  <r>
    <s v="AP10697"/>
    <x v="1"/>
    <x v="376"/>
    <d v="2024-12-28T00:00:00"/>
    <n v="4740.3"/>
    <s v="CAD"/>
    <x v="2"/>
    <d v="2024-12-28T00:00:00"/>
    <s v="Net 30"/>
    <s v="On Time"/>
    <x v="1"/>
  </r>
  <r>
    <s v="AP10698"/>
    <x v="4"/>
    <x v="367"/>
    <d v="2024-11-05T00:00:00"/>
    <n v="2511.0500000000002"/>
    <s v="CAD"/>
    <x v="1"/>
    <m/>
    <s v="Net 30"/>
    <s v="Unpaid"/>
    <x v="0"/>
  </r>
  <r>
    <s v="AP10699"/>
    <x v="1"/>
    <x v="505"/>
    <d v="2024-07-16T00:00:00"/>
    <n v="1198.06"/>
    <s v="USD"/>
    <x v="0"/>
    <m/>
    <s v="Net 30"/>
    <s v="Unpaid"/>
    <x v="0"/>
  </r>
  <r>
    <s v="AP10700"/>
    <x v="2"/>
    <x v="506"/>
    <d v="2024-12-31T00:00:00"/>
    <n v="4648.54"/>
    <s v="USD"/>
    <x v="1"/>
    <m/>
    <s v="Net 30"/>
    <s v="Unpaid"/>
    <x v="0"/>
  </r>
  <r>
    <s v="AP10701"/>
    <x v="3"/>
    <x v="279"/>
    <d v="2024-05-09T00:00:00"/>
    <n v="1123.9000000000001"/>
    <s v="USD"/>
    <x v="0"/>
    <m/>
    <s v="Net 30"/>
    <s v="Unpaid"/>
    <x v="0"/>
  </r>
  <r>
    <s v="AP10702"/>
    <x v="0"/>
    <x v="486"/>
    <d v="2024-01-10T00:00:00"/>
    <n v="137.11000000000001"/>
    <s v="USD"/>
    <x v="1"/>
    <m/>
    <s v="Net 30"/>
    <s v="Unpaid"/>
    <x v="0"/>
  </r>
  <r>
    <s v="AP10703"/>
    <x v="0"/>
    <x v="191"/>
    <d v="2024-07-02T00:00:00"/>
    <n v="1824.99"/>
    <s v="EUR"/>
    <x v="2"/>
    <d v="2024-07-02T00:00:00"/>
    <s v="Net 30"/>
    <s v="On Time"/>
    <x v="1"/>
  </r>
  <r>
    <s v="AP10704"/>
    <x v="3"/>
    <x v="492"/>
    <d v="2023-07-02T00:00:00"/>
    <n v="3916.78"/>
    <s v="GBP"/>
    <x v="1"/>
    <m/>
    <s v="Net 30"/>
    <s v="Unpaid"/>
    <x v="0"/>
  </r>
  <r>
    <s v="AP10705"/>
    <x v="2"/>
    <x v="123"/>
    <d v="2023-07-14T00:00:00"/>
    <n v="4748.8999999999996"/>
    <s v="AUD"/>
    <x v="1"/>
    <m/>
    <s v="Net 30"/>
    <s v="Unpaid"/>
    <x v="0"/>
  </r>
  <r>
    <s v="AP10706"/>
    <x v="4"/>
    <x v="507"/>
    <d v="2025-05-23T00:00:00"/>
    <n v="2620.19"/>
    <s v="EUR"/>
    <x v="0"/>
    <m/>
    <s v="Net 30"/>
    <s v="Unpaid"/>
    <x v="0"/>
  </r>
  <r>
    <s v="AP10707"/>
    <x v="1"/>
    <x v="145"/>
    <d v="2023-04-04T00:00:00"/>
    <n v="3038.06"/>
    <s v="AUD"/>
    <x v="0"/>
    <m/>
    <s v="Net 30"/>
    <s v="Unpaid"/>
    <x v="0"/>
  </r>
  <r>
    <s v="AP10708"/>
    <x v="1"/>
    <x v="508"/>
    <d v="2024-01-14T00:00:00"/>
    <n v="1309.8800000000001"/>
    <s v="EUR"/>
    <x v="2"/>
    <d v="2024-01-14T00:00:00"/>
    <s v="Net 30"/>
    <s v="On Time"/>
    <x v="1"/>
  </r>
  <r>
    <s v="AP10709"/>
    <x v="2"/>
    <x v="107"/>
    <d v="2023-05-12T00:00:00"/>
    <n v="3542.51"/>
    <s v="GBP"/>
    <x v="2"/>
    <d v="2023-05-12T00:00:00"/>
    <s v="Net 30"/>
    <s v="On Time"/>
    <x v="1"/>
  </r>
  <r>
    <s v="AP10710"/>
    <x v="0"/>
    <x v="509"/>
    <d v="2023-03-31T00:00:00"/>
    <n v="1785.99"/>
    <s v="AUD"/>
    <x v="1"/>
    <m/>
    <s v="Net 30"/>
    <s v="Unpaid"/>
    <x v="0"/>
  </r>
  <r>
    <s v="AP10711"/>
    <x v="1"/>
    <x v="510"/>
    <d v="2023-09-19T00:00:00"/>
    <n v="2979.86"/>
    <s v="CAD"/>
    <x v="2"/>
    <d v="2023-09-19T00:00:00"/>
    <s v="Net 30"/>
    <s v="On Time"/>
    <x v="1"/>
  </r>
  <r>
    <s v="AP10712"/>
    <x v="3"/>
    <x v="141"/>
    <d v="2023-09-15T00:00:00"/>
    <n v="3891.24"/>
    <s v="GBP"/>
    <x v="1"/>
    <m/>
    <s v="Net 30"/>
    <s v="Unpaid"/>
    <x v="0"/>
  </r>
  <r>
    <s v="AP10713"/>
    <x v="1"/>
    <x v="511"/>
    <d v="2025-03-12T00:00:00"/>
    <n v="4674.42"/>
    <s v="USD"/>
    <x v="2"/>
    <d v="2025-03-12T00:00:00"/>
    <s v="Net 30"/>
    <s v="On Time"/>
    <x v="1"/>
  </r>
  <r>
    <s v="AP10714"/>
    <x v="0"/>
    <x v="332"/>
    <d v="2024-07-21T00:00:00"/>
    <n v="2370.71"/>
    <s v="GBP"/>
    <x v="1"/>
    <m/>
    <s v="Net 30"/>
    <s v="Unpaid"/>
    <x v="0"/>
  </r>
  <r>
    <s v="AP10715"/>
    <x v="0"/>
    <x v="319"/>
    <d v="2023-09-29T00:00:00"/>
    <n v="2872.68"/>
    <s v="AUD"/>
    <x v="1"/>
    <m/>
    <s v="Net 30"/>
    <s v="Unpaid"/>
    <x v="0"/>
  </r>
  <r>
    <s v="AP10716"/>
    <x v="4"/>
    <x v="512"/>
    <d v="2023-12-16T00:00:00"/>
    <n v="1865.16"/>
    <s v="CAD"/>
    <x v="1"/>
    <m/>
    <s v="Net 30"/>
    <s v="Unpaid"/>
    <x v="0"/>
  </r>
  <r>
    <s v="AP10717"/>
    <x v="1"/>
    <x v="315"/>
    <d v="2023-04-19T00:00:00"/>
    <n v="2554.81"/>
    <s v="AUD"/>
    <x v="2"/>
    <d v="2023-04-19T00:00:00"/>
    <s v="Net 30"/>
    <s v="On Time"/>
    <x v="1"/>
  </r>
  <r>
    <s v="AP10718"/>
    <x v="0"/>
    <x v="513"/>
    <d v="2024-12-19T00:00:00"/>
    <n v="4346.0600000000004"/>
    <s v="GBP"/>
    <x v="2"/>
    <d v="2024-12-19T00:00:00"/>
    <s v="Net 30"/>
    <s v="On Time"/>
    <x v="1"/>
  </r>
  <r>
    <s v="AP10719"/>
    <x v="0"/>
    <x v="514"/>
    <d v="2024-03-15T00:00:00"/>
    <n v="3898.42"/>
    <s v="GBP"/>
    <x v="2"/>
    <d v="2024-03-15T00:00:00"/>
    <s v="Net 30"/>
    <s v="On Time"/>
    <x v="1"/>
  </r>
  <r>
    <s v="AP10720"/>
    <x v="4"/>
    <x v="515"/>
    <d v="2024-08-10T00:00:00"/>
    <n v="4765.16"/>
    <s v="EUR"/>
    <x v="0"/>
    <m/>
    <s v="Net 30"/>
    <s v="Unpaid"/>
    <x v="0"/>
  </r>
  <r>
    <s v="AP10721"/>
    <x v="2"/>
    <x v="248"/>
    <d v="2024-08-13T00:00:00"/>
    <n v="1994.49"/>
    <s v="EUR"/>
    <x v="0"/>
    <m/>
    <s v="Net 30"/>
    <s v="Unpaid"/>
    <x v="0"/>
  </r>
  <r>
    <s v="AP10722"/>
    <x v="1"/>
    <x v="516"/>
    <d v="2023-04-03T00:00:00"/>
    <n v="4230.24"/>
    <s v="GBP"/>
    <x v="0"/>
    <m/>
    <s v="Net 30"/>
    <s v="Unpaid"/>
    <x v="0"/>
  </r>
  <r>
    <s v="AP10723"/>
    <x v="2"/>
    <x v="74"/>
    <d v="2024-10-21T00:00:00"/>
    <n v="1606.15"/>
    <s v="CAD"/>
    <x v="1"/>
    <m/>
    <s v="Net 30"/>
    <s v="Unpaid"/>
    <x v="0"/>
  </r>
  <r>
    <s v="AP10724"/>
    <x v="3"/>
    <x v="517"/>
    <d v="2024-10-27T00:00:00"/>
    <n v="158.24"/>
    <s v="AUD"/>
    <x v="0"/>
    <m/>
    <s v="Net 30"/>
    <s v="Unpaid"/>
    <x v="0"/>
  </r>
  <r>
    <s v="AP10725"/>
    <x v="1"/>
    <x v="518"/>
    <d v="2023-08-22T00:00:00"/>
    <n v="4538.8900000000003"/>
    <s v="CAD"/>
    <x v="2"/>
    <d v="2023-08-22T00:00:00"/>
    <s v="Net 30"/>
    <s v="On Time"/>
    <x v="1"/>
  </r>
  <r>
    <s v="AP10726"/>
    <x v="4"/>
    <x v="519"/>
    <d v="2024-12-07T00:00:00"/>
    <n v="204.27"/>
    <s v="EUR"/>
    <x v="0"/>
    <m/>
    <s v="Net 30"/>
    <s v="Unpaid"/>
    <x v="0"/>
  </r>
  <r>
    <s v="AP10727"/>
    <x v="2"/>
    <x v="520"/>
    <d v="2023-08-19T00:00:00"/>
    <n v="3257.13"/>
    <s v="GBP"/>
    <x v="1"/>
    <m/>
    <s v="Net 30"/>
    <s v="Unpaid"/>
    <x v="0"/>
  </r>
  <r>
    <s v="AP10728"/>
    <x v="0"/>
    <x v="11"/>
    <d v="2024-11-09T00:00:00"/>
    <n v="488.64"/>
    <s v="AUD"/>
    <x v="2"/>
    <d v="2024-11-09T00:00:00"/>
    <s v="Net 30"/>
    <s v="On Time"/>
    <x v="1"/>
  </r>
  <r>
    <s v="AP10729"/>
    <x v="2"/>
    <x v="521"/>
    <d v="2023-12-09T00:00:00"/>
    <n v="2790.33"/>
    <s v="GBP"/>
    <x v="1"/>
    <m/>
    <s v="Net 30"/>
    <s v="Unpaid"/>
    <x v="0"/>
  </r>
  <r>
    <s v="AP10730"/>
    <x v="0"/>
    <x v="71"/>
    <d v="2023-10-18T00:00:00"/>
    <n v="1246.1199999999999"/>
    <s v="CAD"/>
    <x v="1"/>
    <m/>
    <s v="Net 30"/>
    <s v="Unpaid"/>
    <x v="0"/>
  </r>
  <r>
    <s v="AP10731"/>
    <x v="1"/>
    <x v="126"/>
    <d v="2024-07-28T00:00:00"/>
    <n v="2390.31"/>
    <s v="USD"/>
    <x v="0"/>
    <m/>
    <s v="Net 30"/>
    <s v="Unpaid"/>
    <x v="0"/>
  </r>
  <r>
    <s v="AP10732"/>
    <x v="2"/>
    <x v="522"/>
    <d v="2024-02-11T00:00:00"/>
    <n v="3697.86"/>
    <s v="EUR"/>
    <x v="1"/>
    <m/>
    <s v="Net 30"/>
    <s v="Unpaid"/>
    <x v="0"/>
  </r>
  <r>
    <s v="AP10733"/>
    <x v="0"/>
    <x v="523"/>
    <d v="2025-06-26T00:00:00"/>
    <n v="3404.52"/>
    <s v="GBP"/>
    <x v="0"/>
    <m/>
    <s v="Net 30"/>
    <s v="Unpaid"/>
    <x v="0"/>
  </r>
  <r>
    <s v="AP10734"/>
    <x v="2"/>
    <x v="524"/>
    <d v="2025-03-23T00:00:00"/>
    <n v="3730.17"/>
    <s v="GBP"/>
    <x v="0"/>
    <m/>
    <s v="Net 30"/>
    <s v="Unpaid"/>
    <x v="0"/>
  </r>
  <r>
    <s v="AP10735"/>
    <x v="4"/>
    <x v="210"/>
    <d v="2025-05-25T00:00:00"/>
    <n v="199.45"/>
    <s v="AUD"/>
    <x v="1"/>
    <m/>
    <s v="Net 30"/>
    <s v="Unpaid"/>
    <x v="0"/>
  </r>
  <r>
    <s v="AP10736"/>
    <x v="2"/>
    <x v="6"/>
    <d v="2025-01-19T00:00:00"/>
    <n v="4466.8"/>
    <s v="AUD"/>
    <x v="0"/>
    <m/>
    <s v="Net 30"/>
    <s v="Unpaid"/>
    <x v="0"/>
  </r>
  <r>
    <s v="AP10737"/>
    <x v="3"/>
    <x v="189"/>
    <d v="2025-06-27T00:00:00"/>
    <n v="4368.08"/>
    <s v="GBP"/>
    <x v="2"/>
    <d v="2025-06-27T00:00:00"/>
    <s v="Net 30"/>
    <s v="On Time"/>
    <x v="1"/>
  </r>
  <r>
    <s v="AP10738"/>
    <x v="0"/>
    <x v="214"/>
    <d v="2024-01-08T00:00:00"/>
    <n v="2910.39"/>
    <s v="EUR"/>
    <x v="2"/>
    <d v="2024-01-08T00:00:00"/>
    <s v="Net 30"/>
    <s v="On Time"/>
    <x v="1"/>
  </r>
  <r>
    <s v="AP10739"/>
    <x v="1"/>
    <x v="363"/>
    <d v="2023-04-21T00:00:00"/>
    <n v="3087.9"/>
    <s v="CAD"/>
    <x v="2"/>
    <d v="2023-04-21T00:00:00"/>
    <s v="Net 30"/>
    <s v="On Time"/>
    <x v="1"/>
  </r>
  <r>
    <s v="AP10740"/>
    <x v="2"/>
    <x v="525"/>
    <d v="2023-10-14T00:00:00"/>
    <n v="3956.78"/>
    <s v="CAD"/>
    <x v="2"/>
    <d v="2023-10-14T00:00:00"/>
    <s v="Net 30"/>
    <s v="On Time"/>
    <x v="1"/>
  </r>
  <r>
    <s v="AP10741"/>
    <x v="1"/>
    <x v="526"/>
    <d v="2023-11-22T00:00:00"/>
    <n v="1173.72"/>
    <s v="CAD"/>
    <x v="2"/>
    <d v="2023-11-22T00:00:00"/>
    <s v="Net 30"/>
    <s v="On Time"/>
    <x v="1"/>
  </r>
  <r>
    <s v="AP10742"/>
    <x v="1"/>
    <x v="527"/>
    <d v="2024-04-07T00:00:00"/>
    <n v="3885.28"/>
    <s v="GBP"/>
    <x v="2"/>
    <d v="2024-04-07T00:00:00"/>
    <s v="Net 30"/>
    <s v="On Time"/>
    <x v="1"/>
  </r>
  <r>
    <s v="AP10743"/>
    <x v="3"/>
    <x v="292"/>
    <d v="2024-01-07T00:00:00"/>
    <n v="211.34"/>
    <s v="USD"/>
    <x v="0"/>
    <m/>
    <s v="Net 30"/>
    <s v="Unpaid"/>
    <x v="0"/>
  </r>
  <r>
    <s v="AP10744"/>
    <x v="4"/>
    <x v="375"/>
    <d v="2023-03-28T00:00:00"/>
    <n v="1345.89"/>
    <s v="AUD"/>
    <x v="2"/>
    <d v="2023-03-28T00:00:00"/>
    <s v="Net 30"/>
    <s v="On Time"/>
    <x v="1"/>
  </r>
  <r>
    <s v="AP10745"/>
    <x v="2"/>
    <x v="528"/>
    <d v="2024-01-22T00:00:00"/>
    <n v="4777.7299999999996"/>
    <s v="EUR"/>
    <x v="1"/>
    <m/>
    <s v="Net 30"/>
    <s v="Unpaid"/>
    <x v="0"/>
  </r>
  <r>
    <s v="AP10746"/>
    <x v="0"/>
    <x v="529"/>
    <d v="2023-10-25T00:00:00"/>
    <n v="3137.33"/>
    <s v="AUD"/>
    <x v="0"/>
    <m/>
    <s v="Net 30"/>
    <s v="Unpaid"/>
    <x v="0"/>
  </r>
  <r>
    <s v="AP10747"/>
    <x v="3"/>
    <x v="530"/>
    <d v="2024-08-14T00:00:00"/>
    <n v="4831.5200000000004"/>
    <s v="EUR"/>
    <x v="1"/>
    <m/>
    <s v="Net 30"/>
    <s v="Unpaid"/>
    <x v="0"/>
  </r>
  <r>
    <s v="AP10748"/>
    <x v="0"/>
    <x v="290"/>
    <d v="2024-02-29T00:00:00"/>
    <n v="1343.46"/>
    <s v="CAD"/>
    <x v="1"/>
    <m/>
    <s v="Net 30"/>
    <s v="Unpaid"/>
    <x v="0"/>
  </r>
  <r>
    <s v="AP10749"/>
    <x v="0"/>
    <x v="274"/>
    <d v="2023-04-07T00:00:00"/>
    <n v="3815.88"/>
    <s v="CAD"/>
    <x v="1"/>
    <m/>
    <s v="Net 30"/>
    <s v="Unpaid"/>
    <x v="0"/>
  </r>
  <r>
    <s v="AP10750"/>
    <x v="2"/>
    <x v="285"/>
    <d v="2023-06-07T00:00:00"/>
    <n v="3428.98"/>
    <s v="GBP"/>
    <x v="2"/>
    <d v="2023-06-07T00:00:00"/>
    <s v="Net 30"/>
    <s v="On Time"/>
    <x v="1"/>
  </r>
  <r>
    <s v="AP10751"/>
    <x v="0"/>
    <x v="287"/>
    <d v="2024-05-13T00:00:00"/>
    <n v="1265.55"/>
    <s v="GBP"/>
    <x v="1"/>
    <m/>
    <s v="Net 30"/>
    <s v="Unpaid"/>
    <x v="0"/>
  </r>
  <r>
    <s v="AP10752"/>
    <x v="3"/>
    <x v="382"/>
    <d v="2024-01-01T00:00:00"/>
    <n v="1377.49"/>
    <s v="AUD"/>
    <x v="2"/>
    <d v="2024-01-01T00:00:00"/>
    <s v="Net 30"/>
    <s v="On Time"/>
    <x v="1"/>
  </r>
  <r>
    <s v="AP10753"/>
    <x v="0"/>
    <x v="531"/>
    <d v="2024-09-30T00:00:00"/>
    <n v="2125.3000000000002"/>
    <s v="EUR"/>
    <x v="1"/>
    <m/>
    <s v="Net 30"/>
    <s v="Unpaid"/>
    <x v="0"/>
  </r>
  <r>
    <s v="AP10754"/>
    <x v="1"/>
    <x v="58"/>
    <d v="2024-05-26T00:00:00"/>
    <n v="2582.08"/>
    <s v="GBP"/>
    <x v="2"/>
    <d v="2024-05-26T00:00:00"/>
    <s v="Net 30"/>
    <s v="On Time"/>
    <x v="1"/>
  </r>
  <r>
    <s v="AP10755"/>
    <x v="4"/>
    <x v="278"/>
    <d v="2025-03-21T00:00:00"/>
    <n v="1722.33"/>
    <s v="GBP"/>
    <x v="2"/>
    <d v="2025-03-21T00:00:00"/>
    <s v="Net 30"/>
    <s v="On Time"/>
    <x v="1"/>
  </r>
  <r>
    <s v="AP10756"/>
    <x v="4"/>
    <x v="532"/>
    <d v="2024-12-17T00:00:00"/>
    <n v="4374.09"/>
    <s v="EUR"/>
    <x v="1"/>
    <m/>
    <s v="Net 30"/>
    <s v="Unpaid"/>
    <x v="0"/>
  </r>
  <r>
    <s v="AP10757"/>
    <x v="0"/>
    <x v="50"/>
    <d v="2023-09-23T00:00:00"/>
    <n v="3289.59"/>
    <s v="CAD"/>
    <x v="0"/>
    <m/>
    <s v="Net 30"/>
    <s v="Unpaid"/>
    <x v="0"/>
  </r>
  <r>
    <s v="AP10758"/>
    <x v="2"/>
    <x v="533"/>
    <d v="2024-02-09T00:00:00"/>
    <n v="2204.2800000000002"/>
    <s v="USD"/>
    <x v="2"/>
    <d v="2024-02-09T00:00:00"/>
    <s v="Net 30"/>
    <s v="On Time"/>
    <x v="1"/>
  </r>
  <r>
    <s v="AP10759"/>
    <x v="2"/>
    <x v="534"/>
    <d v="2024-03-19T00:00:00"/>
    <n v="3457.45"/>
    <s v="GBP"/>
    <x v="0"/>
    <m/>
    <s v="Net 30"/>
    <s v="Unpaid"/>
    <x v="0"/>
  </r>
  <r>
    <s v="AP10760"/>
    <x v="4"/>
    <x v="285"/>
    <d v="2023-06-07T00:00:00"/>
    <n v="2571.9"/>
    <s v="USD"/>
    <x v="2"/>
    <d v="2023-06-07T00:00:00"/>
    <s v="Net 30"/>
    <s v="On Time"/>
    <x v="1"/>
  </r>
  <r>
    <s v="AP10761"/>
    <x v="0"/>
    <x v="221"/>
    <d v="2024-12-22T00:00:00"/>
    <n v="2573.94"/>
    <s v="EUR"/>
    <x v="2"/>
    <d v="2024-12-22T00:00:00"/>
    <s v="Net 30"/>
    <s v="On Time"/>
    <x v="1"/>
  </r>
  <r>
    <s v="AP10762"/>
    <x v="0"/>
    <x v="271"/>
    <d v="2025-02-21T00:00:00"/>
    <n v="3760.26"/>
    <s v="USD"/>
    <x v="0"/>
    <m/>
    <s v="Net 30"/>
    <s v="Unpaid"/>
    <x v="0"/>
  </r>
  <r>
    <s v="AP10763"/>
    <x v="4"/>
    <x v="535"/>
    <d v="2024-05-03T00:00:00"/>
    <n v="645.44000000000005"/>
    <s v="USD"/>
    <x v="2"/>
    <d v="2024-05-03T00:00:00"/>
    <s v="Net 30"/>
    <s v="On Time"/>
    <x v="1"/>
  </r>
  <r>
    <s v="AP10764"/>
    <x v="4"/>
    <x v="536"/>
    <d v="2023-09-09T00:00:00"/>
    <n v="948.66"/>
    <s v="GBP"/>
    <x v="2"/>
    <d v="2023-09-09T00:00:00"/>
    <s v="Net 30"/>
    <s v="On Time"/>
    <x v="1"/>
  </r>
  <r>
    <s v="AP10765"/>
    <x v="4"/>
    <x v="442"/>
    <d v="2023-06-23T00:00:00"/>
    <n v="4936.8"/>
    <s v="AUD"/>
    <x v="2"/>
    <d v="2023-06-23T00:00:00"/>
    <s v="Net 30"/>
    <s v="On Time"/>
    <x v="1"/>
  </r>
  <r>
    <s v="AP10766"/>
    <x v="2"/>
    <x v="461"/>
    <d v="2023-04-02T00:00:00"/>
    <n v="4286.67"/>
    <s v="USD"/>
    <x v="2"/>
    <d v="2023-04-02T00:00:00"/>
    <s v="Net 30"/>
    <s v="On Time"/>
    <x v="1"/>
  </r>
  <r>
    <s v="AP10767"/>
    <x v="1"/>
    <x v="537"/>
    <d v="2024-01-02T00:00:00"/>
    <n v="4346.29"/>
    <s v="GBP"/>
    <x v="1"/>
    <m/>
    <s v="Net 30"/>
    <s v="Unpaid"/>
    <x v="0"/>
  </r>
  <r>
    <s v="AP10768"/>
    <x v="1"/>
    <x v="538"/>
    <d v="2025-02-01T00:00:00"/>
    <n v="2978.71"/>
    <s v="GBP"/>
    <x v="1"/>
    <m/>
    <s v="Net 30"/>
    <s v="Unpaid"/>
    <x v="0"/>
  </r>
  <r>
    <s v="AP10769"/>
    <x v="2"/>
    <x v="253"/>
    <d v="2025-05-05T00:00:00"/>
    <n v="3489.97"/>
    <s v="CAD"/>
    <x v="0"/>
    <m/>
    <s v="Net 30"/>
    <s v="Unpaid"/>
    <x v="0"/>
  </r>
  <r>
    <s v="AP10770"/>
    <x v="3"/>
    <x v="369"/>
    <d v="2025-01-21T00:00:00"/>
    <n v="290.89999999999998"/>
    <s v="EUR"/>
    <x v="0"/>
    <m/>
    <s v="Net 30"/>
    <s v="Unpaid"/>
    <x v="0"/>
  </r>
  <r>
    <s v="AP10771"/>
    <x v="4"/>
    <x v="56"/>
    <d v="2025-04-08T00:00:00"/>
    <n v="2592.92"/>
    <s v="GBP"/>
    <x v="1"/>
    <m/>
    <s v="Net 30"/>
    <s v="Unpaid"/>
    <x v="0"/>
  </r>
  <r>
    <s v="AP10772"/>
    <x v="2"/>
    <x v="539"/>
    <d v="2024-08-31T00:00:00"/>
    <n v="4904.8599999999997"/>
    <s v="CAD"/>
    <x v="0"/>
    <m/>
    <s v="Net 30"/>
    <s v="Unpaid"/>
    <x v="0"/>
  </r>
  <r>
    <s v="AP10773"/>
    <x v="2"/>
    <x v="434"/>
    <d v="2025-04-21T00:00:00"/>
    <n v="2807.72"/>
    <s v="GBP"/>
    <x v="1"/>
    <m/>
    <s v="Net 30"/>
    <s v="Unpaid"/>
    <x v="0"/>
  </r>
  <r>
    <s v="AP10774"/>
    <x v="3"/>
    <x v="540"/>
    <d v="2025-03-30T00:00:00"/>
    <n v="3910.59"/>
    <s v="EUR"/>
    <x v="0"/>
    <m/>
    <s v="Net 30"/>
    <s v="Unpaid"/>
    <x v="0"/>
  </r>
  <r>
    <s v="AP10775"/>
    <x v="3"/>
    <x v="485"/>
    <d v="2023-07-06T00:00:00"/>
    <n v="1583.9"/>
    <s v="EUR"/>
    <x v="1"/>
    <m/>
    <s v="Net 30"/>
    <s v="Unpaid"/>
    <x v="0"/>
  </r>
  <r>
    <s v="AP10776"/>
    <x v="0"/>
    <x v="179"/>
    <d v="2025-04-06T00:00:00"/>
    <n v="734.99"/>
    <s v="GBP"/>
    <x v="1"/>
    <m/>
    <s v="Net 30"/>
    <s v="Unpaid"/>
    <x v="0"/>
  </r>
  <r>
    <s v="AP10777"/>
    <x v="2"/>
    <x v="213"/>
    <d v="2024-02-23T00:00:00"/>
    <n v="2547.7800000000002"/>
    <s v="AUD"/>
    <x v="0"/>
    <m/>
    <s v="Net 30"/>
    <s v="Unpaid"/>
    <x v="0"/>
  </r>
  <r>
    <s v="AP10778"/>
    <x v="2"/>
    <x v="541"/>
    <d v="2024-12-12T00:00:00"/>
    <n v="4777.6400000000003"/>
    <s v="AUD"/>
    <x v="1"/>
    <m/>
    <s v="Net 30"/>
    <s v="Unpaid"/>
    <x v="0"/>
  </r>
  <r>
    <s v="AP10779"/>
    <x v="1"/>
    <x v="542"/>
    <d v="2023-12-01T00:00:00"/>
    <n v="791.99"/>
    <s v="GBP"/>
    <x v="2"/>
    <d v="2023-12-01T00:00:00"/>
    <s v="Net 30"/>
    <s v="On Time"/>
    <x v="1"/>
  </r>
  <r>
    <s v="AP10780"/>
    <x v="2"/>
    <x v="99"/>
    <d v="2024-09-28T00:00:00"/>
    <n v="4963.01"/>
    <s v="USD"/>
    <x v="1"/>
    <m/>
    <s v="Net 30"/>
    <s v="Unpaid"/>
    <x v="0"/>
  </r>
  <r>
    <s v="AP10781"/>
    <x v="0"/>
    <x v="543"/>
    <d v="2023-08-18T00:00:00"/>
    <n v="4539.28"/>
    <s v="GBP"/>
    <x v="2"/>
    <d v="2023-08-18T00:00:00"/>
    <s v="Net 30"/>
    <s v="On Time"/>
    <x v="1"/>
  </r>
  <r>
    <s v="AP10782"/>
    <x v="1"/>
    <x v="513"/>
    <d v="2024-12-19T00:00:00"/>
    <n v="3114.85"/>
    <s v="EUR"/>
    <x v="1"/>
    <m/>
    <s v="Net 30"/>
    <s v="Unpaid"/>
    <x v="0"/>
  </r>
  <r>
    <s v="AP10783"/>
    <x v="3"/>
    <x v="544"/>
    <d v="2025-05-21T00:00:00"/>
    <n v="3340.58"/>
    <s v="AUD"/>
    <x v="2"/>
    <d v="2025-05-21T00:00:00"/>
    <s v="Net 30"/>
    <s v="On Time"/>
    <x v="1"/>
  </r>
  <r>
    <s v="AP10784"/>
    <x v="2"/>
    <x v="545"/>
    <d v="2025-05-07T00:00:00"/>
    <n v="4187.3"/>
    <s v="AUD"/>
    <x v="2"/>
    <d v="2025-05-07T00:00:00"/>
    <s v="Net 30"/>
    <s v="On Time"/>
    <x v="1"/>
  </r>
  <r>
    <s v="AP10785"/>
    <x v="1"/>
    <x v="13"/>
    <d v="2023-12-19T00:00:00"/>
    <n v="4020.64"/>
    <s v="CAD"/>
    <x v="2"/>
    <d v="2023-12-19T00:00:00"/>
    <s v="Net 30"/>
    <s v="On Time"/>
    <x v="1"/>
  </r>
  <r>
    <s v="AP10786"/>
    <x v="4"/>
    <x v="546"/>
    <d v="2025-03-01T00:00:00"/>
    <n v="755.89"/>
    <s v="GBP"/>
    <x v="1"/>
    <m/>
    <s v="Net 30"/>
    <s v="Unpaid"/>
    <x v="0"/>
  </r>
  <r>
    <s v="AP10787"/>
    <x v="2"/>
    <x v="351"/>
    <d v="2023-08-07T00:00:00"/>
    <n v="1670.28"/>
    <s v="CAD"/>
    <x v="2"/>
    <d v="2023-08-07T00:00:00"/>
    <s v="Net 30"/>
    <s v="On Time"/>
    <x v="1"/>
  </r>
  <r>
    <s v="AP10788"/>
    <x v="0"/>
    <x v="547"/>
    <d v="2024-10-16T00:00:00"/>
    <n v="4064.87"/>
    <s v="EUR"/>
    <x v="1"/>
    <m/>
    <s v="Net 30"/>
    <s v="Unpaid"/>
    <x v="0"/>
  </r>
  <r>
    <s v="AP10789"/>
    <x v="1"/>
    <x v="548"/>
    <d v="2023-03-20T00:00:00"/>
    <n v="4071.09"/>
    <s v="USD"/>
    <x v="1"/>
    <m/>
    <s v="Net 30"/>
    <s v="Unpaid"/>
    <x v="0"/>
  </r>
  <r>
    <s v="AP10790"/>
    <x v="0"/>
    <x v="45"/>
    <d v="2025-02-24T00:00:00"/>
    <n v="311.52"/>
    <s v="GBP"/>
    <x v="0"/>
    <m/>
    <s v="Net 30"/>
    <s v="Unpaid"/>
    <x v="0"/>
  </r>
  <r>
    <s v="AP10791"/>
    <x v="1"/>
    <x v="139"/>
    <d v="2024-07-24T00:00:00"/>
    <n v="4351.8"/>
    <s v="AUD"/>
    <x v="2"/>
    <d v="2024-07-24T00:00:00"/>
    <s v="Net 30"/>
    <s v="On Time"/>
    <x v="1"/>
  </r>
  <r>
    <s v="AP10792"/>
    <x v="0"/>
    <x v="448"/>
    <d v="2024-04-02T00:00:00"/>
    <n v="3524.51"/>
    <s v="GBP"/>
    <x v="0"/>
    <m/>
    <s v="Net 30"/>
    <s v="Unpaid"/>
    <x v="0"/>
  </r>
  <r>
    <s v="AP10793"/>
    <x v="0"/>
    <x v="549"/>
    <d v="2023-03-23T00:00:00"/>
    <n v="2999.23"/>
    <s v="AUD"/>
    <x v="2"/>
    <d v="2023-03-23T00:00:00"/>
    <s v="Net 30"/>
    <s v="On Time"/>
    <x v="1"/>
  </r>
  <r>
    <s v="AP10794"/>
    <x v="1"/>
    <x v="550"/>
    <d v="2024-10-08T00:00:00"/>
    <n v="754.06"/>
    <s v="EUR"/>
    <x v="1"/>
    <m/>
    <s v="Net 30"/>
    <s v="Unpaid"/>
    <x v="0"/>
  </r>
  <r>
    <s v="AP10795"/>
    <x v="1"/>
    <x v="170"/>
    <d v="2023-03-06T00:00:00"/>
    <n v="4250.7"/>
    <s v="AUD"/>
    <x v="2"/>
    <d v="2023-03-06T00:00:00"/>
    <s v="Net 30"/>
    <s v="On Time"/>
    <x v="1"/>
  </r>
  <r>
    <s v="AP10796"/>
    <x v="0"/>
    <x v="180"/>
    <d v="2024-05-02T00:00:00"/>
    <n v="613.6"/>
    <s v="GBP"/>
    <x v="0"/>
    <m/>
    <s v="Net 30"/>
    <s v="Unpaid"/>
    <x v="0"/>
  </r>
  <r>
    <s v="AP10797"/>
    <x v="3"/>
    <x v="551"/>
    <d v="2025-04-15T00:00:00"/>
    <n v="1012.88"/>
    <s v="EUR"/>
    <x v="1"/>
    <m/>
    <s v="Net 30"/>
    <s v="Unpaid"/>
    <x v="0"/>
  </r>
  <r>
    <s v="AP10798"/>
    <x v="2"/>
    <x v="136"/>
    <d v="2025-07-19T00:00:00"/>
    <n v="290.27"/>
    <s v="GBP"/>
    <x v="1"/>
    <m/>
    <s v="Net 30"/>
    <s v="Unpaid"/>
    <x v="0"/>
  </r>
  <r>
    <s v="AP10799"/>
    <x v="3"/>
    <x v="369"/>
    <d v="2025-01-21T00:00:00"/>
    <n v="4608.55"/>
    <s v="AUD"/>
    <x v="1"/>
    <m/>
    <s v="Net 30"/>
    <s v=""/>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2024"/>
    <x v="0"/>
    <n v="1"/>
    <n v="41215.19"/>
    <n v="39758.93"/>
    <n v="37613.910000000003"/>
    <n v="-3601.28"/>
    <n v="-8.7377493589135463E-2"/>
  </r>
  <r>
    <n v="2024"/>
    <x v="0"/>
    <n v="2"/>
    <n v="79918.89"/>
    <n v="84614.59"/>
    <n v="86720.13"/>
    <n v="6801.24"/>
    <n v="8.5101782569802956E-2"/>
  </r>
  <r>
    <n v="2024"/>
    <x v="0"/>
    <n v="3"/>
    <n v="92014.18"/>
    <n v="100763.08"/>
    <n v="105980.31"/>
    <n v="13966.13"/>
    <n v="0.15178236658741076"/>
  </r>
  <r>
    <n v="2024"/>
    <x v="0"/>
    <n v="4"/>
    <n v="117680.6"/>
    <n v="106162.49"/>
    <n v="96071.26"/>
    <n v="-21609.34"/>
    <n v="-0.18362703793148571"/>
  </r>
  <r>
    <n v="2024"/>
    <x v="1"/>
    <n v="1"/>
    <n v="32925.71"/>
    <n v="30364.35"/>
    <n v="30596.03"/>
    <n v="-2329.6799999999998"/>
    <n v="-7.0755649612415344E-2"/>
  </r>
  <r>
    <n v="2024"/>
    <x v="1"/>
    <n v="2"/>
    <n v="75074.820000000007"/>
    <n v="68249.88"/>
    <n v="68953.81"/>
    <n v="-6121.01"/>
    <n v="-8.1532130213565604E-2"/>
  </r>
  <r>
    <n v="2024"/>
    <x v="1"/>
    <n v="3"/>
    <n v="42503.06"/>
    <n v="44444.3"/>
    <n v="42652.11"/>
    <n v="149.05000000000001"/>
    <n v="3.506806333473402E-3"/>
  </r>
  <r>
    <n v="2024"/>
    <x v="1"/>
    <n v="4"/>
    <n v="31047.85"/>
    <n v="32495.4"/>
    <n v="33408.69"/>
    <n v="2360.84"/>
    <n v="7.6038759527632352E-2"/>
  </r>
  <r>
    <n v="2024"/>
    <x v="2"/>
    <n v="1"/>
    <n v="26040.63"/>
    <n v="24585.53"/>
    <n v="22752.02"/>
    <n v="-3288.61"/>
    <n v="-0.1262876512588213"/>
  </r>
  <r>
    <n v="2024"/>
    <x v="2"/>
    <n v="2"/>
    <n v="125902.24"/>
    <n v="121557.94"/>
    <n v="119490.08"/>
    <n v="-6412.16"/>
    <n v="-5.0929673689681772E-2"/>
  </r>
  <r>
    <n v="2024"/>
    <x v="2"/>
    <n v="3"/>
    <n v="100055.73"/>
    <n v="92809.65"/>
    <n v="94502.07"/>
    <n v="-5553.66"/>
    <n v="-5.5505666691952574E-2"/>
  </r>
  <r>
    <n v="2024"/>
    <x v="2"/>
    <n v="4"/>
    <n v="72786.960000000006"/>
    <n v="70901.78"/>
    <n v="72262.039999999994"/>
    <n v="-524.91999999999996"/>
    <n v="-7.2117313320957475E-3"/>
  </r>
  <r>
    <n v="2024"/>
    <x v="3"/>
    <n v="1"/>
    <n v="93664.65"/>
    <n v="99038.18"/>
    <n v="105900.34"/>
    <n v="12235.69"/>
    <n v="0.13063295490881566"/>
  </r>
  <r>
    <n v="2024"/>
    <x v="3"/>
    <n v="2"/>
    <n v="115140.75"/>
    <n v="115151.74"/>
    <n v="124609.39"/>
    <n v="9468.64"/>
    <n v="8.223535108117673E-2"/>
  </r>
  <r>
    <n v="2024"/>
    <x v="3"/>
    <n v="3"/>
    <n v="73898.42"/>
    <n v="73799.149999999994"/>
    <n v="78992.61"/>
    <n v="5094.1899999999996"/>
    <n v="6.8935032711118852E-2"/>
  </r>
  <r>
    <n v="2024"/>
    <x v="3"/>
    <n v="4"/>
    <n v="46637.67"/>
    <n v="49635.65"/>
    <n v="46802.25"/>
    <n v="164.58"/>
    <n v="3.5289069972835267E-3"/>
  </r>
  <r>
    <n v="2024"/>
    <x v="4"/>
    <n v="1"/>
    <n v="44332.15"/>
    <n v="41613.82"/>
    <n v="38572.49"/>
    <n v="-5759.66"/>
    <n v="-0.12992061066291619"/>
  </r>
  <r>
    <n v="2024"/>
    <x v="4"/>
    <n v="2"/>
    <n v="112743.3"/>
    <n v="119526.72"/>
    <n v="125960.5"/>
    <n v="13217.2"/>
    <n v="0.1172326869978083"/>
  </r>
  <r>
    <n v="2024"/>
    <x v="4"/>
    <n v="3"/>
    <n v="141475.81"/>
    <n v="133345.42000000001"/>
    <n v="140285.03"/>
    <n v="-1190.78"/>
    <n v="-8.416845254322982E-3"/>
  </r>
  <r>
    <n v="2024"/>
    <x v="4"/>
    <n v="4"/>
    <n v="102519.44"/>
    <n v="107453.3"/>
    <n v="115251.53"/>
    <n v="12732.09"/>
    <n v="0.12419195813008732"/>
  </r>
  <r>
    <n v="2024"/>
    <x v="5"/>
    <n v="1"/>
    <n v="100318.84"/>
    <n v="99411.77"/>
    <n v="102349.27"/>
    <n v="2030.43"/>
    <n v="2.0239767525222583E-2"/>
  </r>
  <r>
    <n v="2024"/>
    <x v="5"/>
    <n v="2"/>
    <n v="51361.43"/>
    <n v="49600.67"/>
    <n v="50515.69"/>
    <n v="-845.74"/>
    <n v="-1.6466441841669906E-2"/>
  </r>
  <r>
    <n v="2024"/>
    <x v="5"/>
    <n v="3"/>
    <n v="29263.69"/>
    <n v="28094.51"/>
    <n v="28496.35"/>
    <n v="-767.34"/>
    <n v="-2.6221573560955575E-2"/>
  </r>
  <r>
    <n v="2024"/>
    <x v="5"/>
    <n v="4"/>
    <n v="146937.60999999999"/>
    <n v="139057.76"/>
    <n v="147123.70000000001"/>
    <n v="186.09"/>
    <n v="1.2664558787910053E-3"/>
  </r>
  <r>
    <n v="2025"/>
    <x v="0"/>
    <n v="1"/>
    <n v="70700.52"/>
    <n v="71487.460000000006"/>
    <n v="70006.17"/>
    <n v="-694.35"/>
    <n v="-9.8210027309558676E-3"/>
  </r>
  <r>
    <n v="2025"/>
    <x v="0"/>
    <n v="2"/>
    <n v="61495.92"/>
    <n v="56931.54"/>
    <n v="61359.25"/>
    <n v="-136.66999999999999"/>
    <n v="-2.2224238616155348E-3"/>
  </r>
  <r>
    <n v="2025"/>
    <x v="0"/>
    <n v="3"/>
    <n v="55254.78"/>
    <n v="57681.72"/>
    <n v="57575"/>
    <n v="2320.2199999999998"/>
    <n v="4.1991299214294217E-2"/>
  </r>
  <r>
    <n v="2025"/>
    <x v="0"/>
    <n v="4"/>
    <n v="124523.7"/>
    <n v="112740.47"/>
    <n v="118711.72"/>
    <n v="-5811.98"/>
    <n v="-4.6673685410889648E-2"/>
  </r>
  <r>
    <n v="2025"/>
    <x v="1"/>
    <n v="1"/>
    <n v="81015.75"/>
    <n v="81988.100000000006"/>
    <n v="86451.22"/>
    <n v="5435.47"/>
    <n v="6.709152232744868E-2"/>
  </r>
  <r>
    <n v="2025"/>
    <x v="1"/>
    <n v="2"/>
    <n v="55099.41"/>
    <n v="51780.92"/>
    <n v="56227.09"/>
    <n v="1127.68"/>
    <n v="2.0466280854912967E-2"/>
  </r>
  <r>
    <n v="2025"/>
    <x v="1"/>
    <n v="3"/>
    <n v="120462.05"/>
    <n v="127306.15"/>
    <n v="128022.17"/>
    <n v="7560.12"/>
    <n v="6.275935035141772E-2"/>
  </r>
  <r>
    <n v="2025"/>
    <x v="1"/>
    <n v="4"/>
    <n v="90267.18"/>
    <n v="85027.32"/>
    <n v="88147.9"/>
    <n v="-2119.2800000000002"/>
    <n v="-2.3477857622227705E-2"/>
  </r>
  <r>
    <n v="2025"/>
    <x v="2"/>
    <n v="1"/>
    <n v="116604.87"/>
    <n v="125973.73"/>
    <n v="128463.24"/>
    <n v="11858.37"/>
    <n v="0.10169703889726048"/>
  </r>
  <r>
    <n v="2025"/>
    <x v="2"/>
    <n v="2"/>
    <n v="48595.51"/>
    <n v="43972.66"/>
    <n v="42981.29"/>
    <n v="-5614.22"/>
    <n v="-0.11552960345513402"/>
  </r>
  <r>
    <n v="2025"/>
    <x v="2"/>
    <n v="3"/>
    <n v="28599.200000000001"/>
    <n v="28718.48"/>
    <n v="30923.94"/>
    <n v="2324.7399999999998"/>
    <n v="8.1286889143752261E-2"/>
  </r>
  <r>
    <n v="2025"/>
    <x v="2"/>
    <n v="4"/>
    <n v="42077.120000000003"/>
    <n v="39403.9"/>
    <n v="39330.25"/>
    <n v="-2746.87"/>
    <n v="-6.5281796853016549E-2"/>
  </r>
  <r>
    <n v="2025"/>
    <x v="3"/>
    <n v="1"/>
    <n v="89482.9"/>
    <n v="97911.07"/>
    <n v="98559.24"/>
    <n v="9076.34"/>
    <n v="0.10143099966585796"/>
  </r>
  <r>
    <n v="2025"/>
    <x v="3"/>
    <n v="2"/>
    <n v="66730.62"/>
    <n v="63717.279999999999"/>
    <n v="67871.69"/>
    <n v="1141.07"/>
    <n v="1.7099646309295492E-2"/>
  </r>
  <r>
    <n v="2025"/>
    <x v="3"/>
    <n v="3"/>
    <n v="127969.04"/>
    <n v="117894.18"/>
    <n v="115938.14"/>
    <n v="-12030.9"/>
    <n v="-9.4014145921544778E-2"/>
  </r>
  <r>
    <n v="2025"/>
    <x v="3"/>
    <n v="4"/>
    <n v="98859.83"/>
    <n v="100730.21"/>
    <n v="97863.73"/>
    <n v="-996.1"/>
    <n v="-1.0075882185919195E-2"/>
  </r>
  <r>
    <n v="2025"/>
    <x v="4"/>
    <n v="1"/>
    <n v="75571.7"/>
    <n v="80720.77"/>
    <n v="86587.65"/>
    <n v="11015.95"/>
    <n v="0.14576819100271665"/>
  </r>
  <r>
    <n v="2025"/>
    <x v="4"/>
    <n v="2"/>
    <n v="130984.44"/>
    <n v="142175.37"/>
    <n v="145492.07"/>
    <n v="14507.63"/>
    <n v="0.11075842290885848"/>
  </r>
  <r>
    <n v="2025"/>
    <x v="4"/>
    <n v="3"/>
    <n v="89085.04"/>
    <n v="89296.12"/>
    <n v="88359.56"/>
    <n v="-725.48"/>
    <n v="-8.1436793427942574E-3"/>
  </r>
  <r>
    <n v="2025"/>
    <x v="4"/>
    <n v="4"/>
    <n v="116081.08"/>
    <n v="119772.47"/>
    <n v="112381.38"/>
    <n v="-3699.7"/>
    <n v="-3.1871688306139123E-2"/>
  </r>
  <r>
    <n v="2025"/>
    <x v="5"/>
    <n v="1"/>
    <n v="64640.45"/>
    <n v="70051.16"/>
    <n v="66350.81"/>
    <n v="1710.36"/>
    <n v="2.6459593025729245E-2"/>
  </r>
  <r>
    <n v="2025"/>
    <x v="5"/>
    <n v="2"/>
    <n v="21211.21"/>
    <n v="22362.69"/>
    <n v="22368.41"/>
    <n v="1157.2"/>
    <n v="5.455605785808542E-2"/>
  </r>
  <r>
    <n v="2025"/>
    <x v="5"/>
    <n v="3"/>
    <n v="37532.769999999997"/>
    <n v="38564.660000000003"/>
    <n v="37139"/>
    <n v="-393.77"/>
    <n v="-1.0491365278928255E-2"/>
  </r>
  <r>
    <n v="2025"/>
    <x v="5"/>
    <n v="4"/>
    <n v="28580.31"/>
    <n v="29613.63"/>
    <n v="28551.84"/>
    <n v="-28.47"/>
    <n v="-9.9614034977227317E-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s v="AR20000"/>
    <x v="0"/>
    <x v="0"/>
    <d v="2023-10-03T00:00:00"/>
    <n v="6160.48"/>
    <s v="USD"/>
    <s v="Partial"/>
    <m/>
    <s v="Net 45"/>
    <s v="Unpaid"/>
  </r>
  <r>
    <s v="AR20001"/>
    <x v="1"/>
    <x v="1"/>
    <d v="2025-05-16T00:00:00"/>
    <n v="995.04"/>
    <s v="EUR"/>
    <s v="Open"/>
    <m/>
    <s v="Net 45"/>
    <s v="Unpaid"/>
  </r>
  <r>
    <s v="AR20002"/>
    <x v="0"/>
    <x v="2"/>
    <d v="2025-02-08T00:00:00"/>
    <n v="3936.29"/>
    <s v="GBP"/>
    <s v="Open"/>
    <m/>
    <s v="Net 45"/>
    <s v="Unpaid"/>
  </r>
  <r>
    <s v="AR20003"/>
    <x v="1"/>
    <x v="3"/>
    <d v="2023-06-22T00:00:00"/>
    <n v="3596.35"/>
    <s v="GBP"/>
    <s v="Received"/>
    <d v="2023-06-22T00:00:00"/>
    <s v="Net 45"/>
    <s v="On Time"/>
  </r>
  <r>
    <s v="AR20004"/>
    <x v="2"/>
    <x v="4"/>
    <d v="2024-09-21T00:00:00"/>
    <n v="6577.57"/>
    <s v="GBP"/>
    <s v="Received"/>
    <d v="2024-09-21T00:00:00"/>
    <s v="Net 45"/>
    <s v="On Time"/>
  </r>
  <r>
    <s v="AR20005"/>
    <x v="3"/>
    <x v="5"/>
    <d v="2023-07-13T00:00:00"/>
    <n v="6985.23"/>
    <s v="CAD"/>
    <s v="Open"/>
    <m/>
    <s v="Net 45"/>
    <s v="Unpaid"/>
  </r>
  <r>
    <s v="AR20006"/>
    <x v="2"/>
    <x v="6"/>
    <d v="2023-12-06T00:00:00"/>
    <n v="6637.46"/>
    <s v="AUD"/>
    <s v="Received"/>
    <d v="2023-12-06T00:00:00"/>
    <s v="Net 45"/>
    <s v="On Time"/>
  </r>
  <r>
    <s v="AR20007"/>
    <x v="4"/>
    <x v="7"/>
    <d v="2023-12-18T00:00:00"/>
    <n v="4099.3"/>
    <s v="USD"/>
    <s v="Partial"/>
    <m/>
    <s v="Net 45"/>
    <s v="Unpaid"/>
  </r>
  <r>
    <s v="AR20008"/>
    <x v="4"/>
    <x v="8"/>
    <d v="2025-02-19T00:00:00"/>
    <n v="3578.15"/>
    <s v="GBP"/>
    <s v="Received"/>
    <d v="2025-02-19T00:00:00"/>
    <s v="Net 45"/>
    <s v="On Time"/>
  </r>
  <r>
    <s v="AR20009"/>
    <x v="4"/>
    <x v="9"/>
    <d v="2024-01-25T00:00:00"/>
    <n v="2670.06"/>
    <s v="EUR"/>
    <s v="Partial"/>
    <m/>
    <s v="Net 45"/>
    <s v="Unpaid"/>
  </r>
  <r>
    <s v="AR20010"/>
    <x v="2"/>
    <x v="10"/>
    <d v="2023-10-09T00:00:00"/>
    <n v="3602.98"/>
    <s v="GBP"/>
    <s v="Open"/>
    <m/>
    <s v="Net 45"/>
    <s v="Unpaid"/>
  </r>
  <r>
    <s v="AR20011"/>
    <x v="1"/>
    <x v="11"/>
    <d v="2025-01-19T00:00:00"/>
    <n v="1107.56"/>
    <s v="EUR"/>
    <s v="Partial"/>
    <m/>
    <s v="Net 45"/>
    <s v="Unpaid"/>
  </r>
  <r>
    <s v="AR20012"/>
    <x v="3"/>
    <x v="12"/>
    <d v="2024-08-07T00:00:00"/>
    <n v="4604.67"/>
    <s v="CAD"/>
    <s v="Received"/>
    <d v="2024-08-07T00:00:00"/>
    <s v="Net 45"/>
    <s v="On Time"/>
  </r>
  <r>
    <s v="AR20013"/>
    <x v="2"/>
    <x v="13"/>
    <d v="2025-04-18T00:00:00"/>
    <n v="1209.22"/>
    <s v="EUR"/>
    <s v="Partial"/>
    <m/>
    <s v="Net 45"/>
    <s v="Unpaid"/>
  </r>
  <r>
    <s v="AR20014"/>
    <x v="1"/>
    <x v="14"/>
    <d v="2023-06-13T00:00:00"/>
    <n v="1688.61"/>
    <s v="GBP"/>
    <s v="Partial"/>
    <m/>
    <s v="Net 45"/>
    <s v="Unpaid"/>
  </r>
  <r>
    <s v="AR20015"/>
    <x v="2"/>
    <x v="15"/>
    <d v="2025-06-13T00:00:00"/>
    <n v="3982.02"/>
    <s v="EUR"/>
    <s v="Received"/>
    <d v="2025-06-13T00:00:00"/>
    <s v="Net 45"/>
    <s v="On Time"/>
  </r>
  <r>
    <s v="AR20016"/>
    <x v="3"/>
    <x v="16"/>
    <d v="2025-06-30T00:00:00"/>
    <n v="4357.75"/>
    <s v="EUR"/>
    <s v="Open"/>
    <m/>
    <s v="Net 45"/>
    <s v="Unpaid"/>
  </r>
  <r>
    <s v="AR20017"/>
    <x v="0"/>
    <x v="17"/>
    <d v="2024-03-14T00:00:00"/>
    <n v="4297.67"/>
    <s v="EUR"/>
    <s v="Received"/>
    <d v="2024-03-14T00:00:00"/>
    <s v="Net 45"/>
    <s v="On Time"/>
  </r>
  <r>
    <s v="AR20018"/>
    <x v="2"/>
    <x v="18"/>
    <d v="2024-05-24T00:00:00"/>
    <n v="3074.66"/>
    <s v="USD"/>
    <s v="Open"/>
    <m/>
    <s v="Net 45"/>
    <s v="Unpaid"/>
  </r>
  <r>
    <s v="AR20019"/>
    <x v="3"/>
    <x v="19"/>
    <d v="2024-06-22T00:00:00"/>
    <n v="7987.42"/>
    <s v="USD"/>
    <s v="Partial"/>
    <m/>
    <s v="Net 45"/>
    <s v="Unpaid"/>
  </r>
  <r>
    <s v="AR20020"/>
    <x v="1"/>
    <x v="20"/>
    <d v="2024-09-26T00:00:00"/>
    <n v="1932.36"/>
    <s v="AUD"/>
    <s v="Received"/>
    <d v="2024-09-26T00:00:00"/>
    <s v="Net 45"/>
    <s v="On Time"/>
  </r>
  <r>
    <s v="AR20021"/>
    <x v="2"/>
    <x v="21"/>
    <d v="2024-08-22T00:00:00"/>
    <n v="5384.07"/>
    <s v="EUR"/>
    <s v="Open"/>
    <m/>
    <s v="Net 45"/>
    <s v="Unpaid"/>
  </r>
  <r>
    <s v="AR20022"/>
    <x v="0"/>
    <x v="22"/>
    <d v="2023-08-28T00:00:00"/>
    <n v="5931.01"/>
    <s v="GBP"/>
    <s v="Partial"/>
    <m/>
    <s v="Net 45"/>
    <s v="Unpaid"/>
  </r>
  <r>
    <s v="AR20023"/>
    <x v="1"/>
    <x v="23"/>
    <d v="2023-10-19T00:00:00"/>
    <n v="7959.18"/>
    <s v="GBP"/>
    <s v="Open"/>
    <m/>
    <s v="Net 45"/>
    <s v="Unpaid"/>
  </r>
  <r>
    <s v="AR20024"/>
    <x v="4"/>
    <x v="24"/>
    <d v="2023-08-22T00:00:00"/>
    <n v="5981.13"/>
    <s v="CAD"/>
    <s v="Open"/>
    <m/>
    <s v="Net 45"/>
    <s v="Unpaid"/>
  </r>
  <r>
    <s v="AR20025"/>
    <x v="2"/>
    <x v="25"/>
    <d v="2023-04-16T00:00:00"/>
    <n v="5545.78"/>
    <s v="EUR"/>
    <s v="Received"/>
    <d v="2023-04-16T00:00:00"/>
    <s v="Net 45"/>
    <s v="On Time"/>
  </r>
  <r>
    <s v="AR20026"/>
    <x v="3"/>
    <x v="26"/>
    <d v="2023-05-05T00:00:00"/>
    <n v="895.41"/>
    <s v="USD"/>
    <s v="Received"/>
    <d v="2023-05-05T00:00:00"/>
    <s v="Net 45"/>
    <s v="On Time"/>
  </r>
  <r>
    <s v="AR20027"/>
    <x v="2"/>
    <x v="27"/>
    <d v="2023-12-02T00:00:00"/>
    <n v="7961.36"/>
    <s v="AUD"/>
    <s v="Received"/>
    <d v="2023-12-02T00:00:00"/>
    <s v="Net 45"/>
    <s v="On Time"/>
  </r>
  <r>
    <s v="AR20028"/>
    <x v="0"/>
    <x v="28"/>
    <d v="2023-07-25T00:00:00"/>
    <n v="7898.89"/>
    <s v="USD"/>
    <s v="Partial"/>
    <m/>
    <s v="Net 45"/>
    <s v="Unpaid"/>
  </r>
  <r>
    <s v="AR20029"/>
    <x v="2"/>
    <x v="29"/>
    <d v="2024-10-26T00:00:00"/>
    <n v="3210.82"/>
    <s v="GBP"/>
    <s v="Partial"/>
    <m/>
    <s v="Net 45"/>
    <s v="Unpaid"/>
  </r>
  <r>
    <s v="AR20030"/>
    <x v="3"/>
    <x v="30"/>
    <d v="2024-06-29T00:00:00"/>
    <n v="546.96"/>
    <s v="CAD"/>
    <s v="Open"/>
    <m/>
    <s v="Net 45"/>
    <s v="Unpaid"/>
  </r>
  <r>
    <s v="AR20031"/>
    <x v="1"/>
    <x v="31"/>
    <d v="2024-02-01T00:00:00"/>
    <n v="2602.5100000000002"/>
    <s v="CAD"/>
    <s v="Received"/>
    <d v="2024-02-01T00:00:00"/>
    <s v="Net 45"/>
    <s v="On Time"/>
  </r>
  <r>
    <s v="AR20032"/>
    <x v="2"/>
    <x v="32"/>
    <d v="2025-03-28T00:00:00"/>
    <n v="7548.8"/>
    <s v="AUD"/>
    <s v="Partial"/>
    <m/>
    <s v="Net 45"/>
    <s v="Unpaid"/>
  </r>
  <r>
    <s v="AR20033"/>
    <x v="0"/>
    <x v="33"/>
    <d v="2024-01-07T00:00:00"/>
    <n v="634.25"/>
    <s v="USD"/>
    <s v="Partial"/>
    <m/>
    <s v="Net 45"/>
    <s v="Unpaid"/>
  </r>
  <r>
    <s v="AR20034"/>
    <x v="3"/>
    <x v="34"/>
    <d v="2025-05-08T00:00:00"/>
    <n v="6230.43"/>
    <s v="GBP"/>
    <s v="Received"/>
    <d v="2025-05-08T00:00:00"/>
    <s v="Net 45"/>
    <s v="On Time"/>
  </r>
  <r>
    <s v="AR20035"/>
    <x v="3"/>
    <x v="35"/>
    <d v="2023-12-16T00:00:00"/>
    <n v="2323.42"/>
    <s v="EUR"/>
    <s v="Received"/>
    <d v="2023-12-16T00:00:00"/>
    <s v="Net 45"/>
    <s v="On Time"/>
  </r>
  <r>
    <s v="AR20036"/>
    <x v="2"/>
    <x v="36"/>
    <d v="2024-09-03T00:00:00"/>
    <n v="2167.31"/>
    <s v="EUR"/>
    <s v="Received"/>
    <d v="2024-09-03T00:00:00"/>
    <s v="Net 45"/>
    <s v="On Time"/>
  </r>
  <r>
    <s v="AR20037"/>
    <x v="4"/>
    <x v="37"/>
    <d v="2025-01-30T00:00:00"/>
    <n v="1711.81"/>
    <s v="CAD"/>
    <s v="Open"/>
    <m/>
    <s v="Net 45"/>
    <s v="Unpaid"/>
  </r>
  <r>
    <s v="AR20038"/>
    <x v="1"/>
    <x v="38"/>
    <d v="2023-12-15T00:00:00"/>
    <n v="6942.78"/>
    <s v="USD"/>
    <s v="Partial"/>
    <m/>
    <s v="Net 45"/>
    <s v="Unpaid"/>
  </r>
  <r>
    <s v="AR20039"/>
    <x v="2"/>
    <x v="39"/>
    <d v="2023-09-19T00:00:00"/>
    <n v="7098.74"/>
    <s v="AUD"/>
    <s v="Open"/>
    <m/>
    <s v="Net 45"/>
    <s v="Unpaid"/>
  </r>
  <r>
    <s v="AR20040"/>
    <x v="2"/>
    <x v="40"/>
    <d v="2023-08-17T00:00:00"/>
    <n v="4881.63"/>
    <s v="CAD"/>
    <s v="Received"/>
    <d v="2023-08-17T00:00:00"/>
    <s v="Net 45"/>
    <s v="On Time"/>
  </r>
  <r>
    <s v="AR20041"/>
    <x v="3"/>
    <x v="41"/>
    <d v="2023-11-27T00:00:00"/>
    <n v="6438.74"/>
    <s v="EUR"/>
    <s v="Partial"/>
    <m/>
    <s v="Net 45"/>
    <s v="Unpaid"/>
  </r>
  <r>
    <s v="AR20042"/>
    <x v="1"/>
    <x v="42"/>
    <d v="2023-12-12T00:00:00"/>
    <n v="5344.09"/>
    <s v="AUD"/>
    <s v="Received"/>
    <d v="2023-12-12T00:00:00"/>
    <s v="Net 45"/>
    <s v="On Time"/>
  </r>
  <r>
    <s v="AR20043"/>
    <x v="4"/>
    <x v="43"/>
    <d v="2023-08-16T00:00:00"/>
    <n v="5121.3"/>
    <s v="EUR"/>
    <s v="Open"/>
    <m/>
    <s v="Net 45"/>
    <s v="Unpaid"/>
  </r>
  <r>
    <s v="AR20044"/>
    <x v="1"/>
    <x v="44"/>
    <d v="2025-05-22T00:00:00"/>
    <n v="1325.15"/>
    <s v="CAD"/>
    <s v="Open"/>
    <m/>
    <s v="Net 45"/>
    <s v="Unpaid"/>
  </r>
  <r>
    <s v="AR20045"/>
    <x v="4"/>
    <x v="45"/>
    <d v="2024-12-23T00:00:00"/>
    <n v="2200.8200000000002"/>
    <s v="USD"/>
    <s v="Open"/>
    <m/>
    <s v="Net 45"/>
    <s v="Unpaid"/>
  </r>
  <r>
    <s v="AR20046"/>
    <x v="4"/>
    <x v="46"/>
    <d v="2025-05-19T00:00:00"/>
    <n v="1015.66"/>
    <s v="EUR"/>
    <s v="Received"/>
    <d v="2025-05-19T00:00:00"/>
    <s v="Net 45"/>
    <s v="On Time"/>
  </r>
  <r>
    <s v="AR20047"/>
    <x v="1"/>
    <x v="47"/>
    <d v="2023-08-15T00:00:00"/>
    <n v="3180.12"/>
    <s v="AUD"/>
    <s v="Open"/>
    <m/>
    <s v="Net 45"/>
    <s v="Unpaid"/>
  </r>
  <r>
    <s v="AR20048"/>
    <x v="2"/>
    <x v="48"/>
    <d v="2025-04-27T00:00:00"/>
    <n v="699.9"/>
    <s v="USD"/>
    <s v="Open"/>
    <m/>
    <s v="Net 45"/>
    <s v="Unpaid"/>
  </r>
  <r>
    <s v="AR20049"/>
    <x v="3"/>
    <x v="49"/>
    <d v="2024-07-09T00:00:00"/>
    <n v="498.51"/>
    <s v="AUD"/>
    <s v="Open"/>
    <m/>
    <s v="Net 45"/>
    <s v="Unpaid"/>
  </r>
  <r>
    <s v="AR20050"/>
    <x v="2"/>
    <x v="50"/>
    <d v="2023-05-06T00:00:00"/>
    <n v="1578.97"/>
    <s v="EUR"/>
    <s v="Partial"/>
    <m/>
    <s v="Net 45"/>
    <s v="Unpaid"/>
  </r>
  <r>
    <s v="AR20051"/>
    <x v="2"/>
    <x v="51"/>
    <d v="2025-03-03T00:00:00"/>
    <n v="1246.19"/>
    <s v="GBP"/>
    <s v="Partial"/>
    <m/>
    <s v="Net 45"/>
    <s v="Unpaid"/>
  </r>
  <r>
    <s v="AR20052"/>
    <x v="4"/>
    <x v="52"/>
    <d v="2023-07-08T00:00:00"/>
    <n v="3082.8"/>
    <s v="GBP"/>
    <s v="Received"/>
    <d v="2023-07-08T00:00:00"/>
    <s v="Net 45"/>
    <s v="On Time"/>
  </r>
  <r>
    <s v="AR20053"/>
    <x v="0"/>
    <x v="53"/>
    <d v="2025-05-24T00:00:00"/>
    <n v="473.33"/>
    <s v="CAD"/>
    <s v="Open"/>
    <m/>
    <s v="Net 45"/>
    <s v="Unpaid"/>
  </r>
  <r>
    <s v="AR20054"/>
    <x v="0"/>
    <x v="54"/>
    <d v="2024-08-21T00:00:00"/>
    <n v="5228.9399999999996"/>
    <s v="CAD"/>
    <s v="Partial"/>
    <m/>
    <s v="Net 45"/>
    <s v="Unpaid"/>
  </r>
  <r>
    <s v="AR20055"/>
    <x v="0"/>
    <x v="55"/>
    <d v="2023-08-30T00:00:00"/>
    <n v="3011.2"/>
    <s v="AUD"/>
    <s v="Open"/>
    <m/>
    <s v="Net 45"/>
    <s v="Unpaid"/>
  </r>
  <r>
    <s v="AR20056"/>
    <x v="2"/>
    <x v="56"/>
    <d v="2025-02-07T00:00:00"/>
    <n v="4681.96"/>
    <s v="USD"/>
    <s v="Partial"/>
    <m/>
    <s v="Net 45"/>
    <s v="Unpaid"/>
  </r>
  <r>
    <s v="AR20057"/>
    <x v="2"/>
    <x v="57"/>
    <d v="2023-07-16T00:00:00"/>
    <n v="814.13"/>
    <s v="USD"/>
    <s v="Received"/>
    <d v="2023-07-16T00:00:00"/>
    <s v="Net 45"/>
    <s v="On Time"/>
  </r>
  <r>
    <s v="AR20058"/>
    <x v="1"/>
    <x v="58"/>
    <d v="2023-10-21T00:00:00"/>
    <n v="4305.1099999999997"/>
    <s v="CAD"/>
    <s v="Partial"/>
    <m/>
    <s v="Net 45"/>
    <s v="Unpaid"/>
  </r>
  <r>
    <s v="AR20059"/>
    <x v="0"/>
    <x v="59"/>
    <d v="2023-08-13T00:00:00"/>
    <n v="902.23"/>
    <s v="AUD"/>
    <s v="Received"/>
    <d v="2023-08-13T00:00:00"/>
    <s v="Net 45"/>
    <s v="On Time"/>
  </r>
  <r>
    <s v="AR20060"/>
    <x v="2"/>
    <x v="60"/>
    <d v="2025-02-26T00:00:00"/>
    <n v="7045.91"/>
    <s v="USD"/>
    <s v="Partial"/>
    <m/>
    <s v="Net 45"/>
    <s v="Unpaid"/>
  </r>
  <r>
    <s v="AR20061"/>
    <x v="2"/>
    <x v="61"/>
    <d v="2025-05-27T00:00:00"/>
    <n v="425.01"/>
    <s v="EUR"/>
    <s v="Open"/>
    <m/>
    <s v="Net 45"/>
    <s v="Unpaid"/>
  </r>
  <r>
    <s v="AR20062"/>
    <x v="4"/>
    <x v="62"/>
    <d v="2023-12-04T00:00:00"/>
    <n v="839.83"/>
    <s v="USD"/>
    <s v="Open"/>
    <m/>
    <s v="Net 45"/>
    <s v="Unpaid"/>
  </r>
  <r>
    <s v="AR20063"/>
    <x v="3"/>
    <x v="63"/>
    <d v="2024-12-08T00:00:00"/>
    <n v="997.56"/>
    <s v="GBP"/>
    <s v="Open"/>
    <m/>
    <s v="Net 45"/>
    <s v="Unpaid"/>
  </r>
  <r>
    <s v="AR20064"/>
    <x v="0"/>
    <x v="64"/>
    <d v="2023-09-28T00:00:00"/>
    <n v="6142.65"/>
    <s v="USD"/>
    <s v="Open"/>
    <m/>
    <s v="Net 45"/>
    <s v="Unpaid"/>
  </r>
  <r>
    <s v="AR20065"/>
    <x v="2"/>
    <x v="65"/>
    <d v="2025-05-07T00:00:00"/>
    <n v="4402.5200000000004"/>
    <s v="CAD"/>
    <s v="Open"/>
    <m/>
    <s v="Net 45"/>
    <s v="Unpaid"/>
  </r>
  <r>
    <s v="AR20066"/>
    <x v="3"/>
    <x v="66"/>
    <d v="2024-08-24T00:00:00"/>
    <n v="7809.98"/>
    <s v="CAD"/>
    <s v="Open"/>
    <m/>
    <s v="Net 45"/>
    <s v="Unpaid"/>
  </r>
  <r>
    <s v="AR20067"/>
    <x v="1"/>
    <x v="67"/>
    <d v="2023-11-15T00:00:00"/>
    <n v="7348.09"/>
    <s v="CAD"/>
    <s v="Received"/>
    <d v="2023-11-15T00:00:00"/>
    <s v="Net 45"/>
    <s v="On Time"/>
  </r>
  <r>
    <s v="AR20068"/>
    <x v="3"/>
    <x v="68"/>
    <d v="2024-03-19T00:00:00"/>
    <n v="2946.05"/>
    <s v="EUR"/>
    <s v="Partial"/>
    <m/>
    <s v="Net 45"/>
    <s v="Unpaid"/>
  </r>
  <r>
    <s v="AR20069"/>
    <x v="2"/>
    <x v="69"/>
    <d v="2024-07-23T00:00:00"/>
    <n v="700.95"/>
    <s v="CAD"/>
    <s v="Received"/>
    <d v="2024-07-23T00:00:00"/>
    <s v="Net 45"/>
    <s v="On Time"/>
  </r>
  <r>
    <s v="AR20070"/>
    <x v="1"/>
    <x v="70"/>
    <d v="2023-03-16T00:00:00"/>
    <n v="4822.1899999999996"/>
    <s v="EUR"/>
    <s v="Partial"/>
    <m/>
    <s v="Net 45"/>
    <s v="Unpaid"/>
  </r>
  <r>
    <s v="AR20071"/>
    <x v="3"/>
    <x v="68"/>
    <d v="2024-03-19T00:00:00"/>
    <n v="457.35"/>
    <s v="CAD"/>
    <s v="Partial"/>
    <m/>
    <s v="Net 45"/>
    <s v="Unpaid"/>
  </r>
  <r>
    <s v="AR20072"/>
    <x v="3"/>
    <x v="71"/>
    <d v="2023-11-07T00:00:00"/>
    <n v="2055.94"/>
    <s v="GBP"/>
    <s v="Partial"/>
    <m/>
    <s v="Net 45"/>
    <s v="Unpaid"/>
  </r>
  <r>
    <s v="AR20073"/>
    <x v="4"/>
    <x v="72"/>
    <d v="2024-06-08T00:00:00"/>
    <n v="6747.59"/>
    <s v="GBP"/>
    <s v="Partial"/>
    <m/>
    <s v="Net 45"/>
    <s v="Unpaid"/>
  </r>
  <r>
    <s v="AR20074"/>
    <x v="3"/>
    <x v="73"/>
    <d v="2024-11-29T00:00:00"/>
    <n v="3184.22"/>
    <s v="EUR"/>
    <s v="Partial"/>
    <m/>
    <s v="Net 45"/>
    <s v="Unpaid"/>
  </r>
  <r>
    <s v="AR20075"/>
    <x v="3"/>
    <x v="74"/>
    <d v="2025-04-02T00:00:00"/>
    <n v="5289.37"/>
    <s v="EUR"/>
    <s v="Received"/>
    <d v="2025-04-02T00:00:00"/>
    <s v="Net 45"/>
    <s v="On Time"/>
  </r>
  <r>
    <s v="AR20076"/>
    <x v="0"/>
    <x v="75"/>
    <d v="2023-05-17T00:00:00"/>
    <n v="6399.62"/>
    <s v="GBP"/>
    <s v="Partial"/>
    <m/>
    <s v="Net 45"/>
    <s v="Unpaid"/>
  </r>
  <r>
    <s v="AR20077"/>
    <x v="0"/>
    <x v="76"/>
    <d v="2023-08-14T00:00:00"/>
    <n v="775.03"/>
    <s v="EUR"/>
    <s v="Open"/>
    <m/>
    <s v="Net 45"/>
    <s v="Unpaid"/>
  </r>
  <r>
    <s v="AR20078"/>
    <x v="1"/>
    <x v="77"/>
    <d v="2024-11-11T00:00:00"/>
    <n v="3847.51"/>
    <s v="AUD"/>
    <s v="Partial"/>
    <m/>
    <s v="Net 45"/>
    <s v="Unpaid"/>
  </r>
  <r>
    <s v="AR20079"/>
    <x v="1"/>
    <x v="78"/>
    <d v="2025-05-14T00:00:00"/>
    <n v="7379.19"/>
    <s v="EUR"/>
    <s v="Received"/>
    <d v="2025-05-14T00:00:00"/>
    <s v="Net 45"/>
    <s v="On Time"/>
  </r>
  <r>
    <s v="AR20080"/>
    <x v="3"/>
    <x v="79"/>
    <d v="2025-07-29T00:00:00"/>
    <n v="3736.92"/>
    <s v="EUR"/>
    <s v="Partial"/>
    <m/>
    <s v="Net 45"/>
    <s v="Unpaid"/>
  </r>
  <r>
    <s v="AR20081"/>
    <x v="4"/>
    <x v="80"/>
    <d v="2024-09-28T00:00:00"/>
    <n v="7917.43"/>
    <s v="GBP"/>
    <s v="Received"/>
    <d v="2024-09-28T00:00:00"/>
    <s v="Net 45"/>
    <s v="On Time"/>
  </r>
  <r>
    <s v="AR20082"/>
    <x v="3"/>
    <x v="4"/>
    <d v="2024-09-21T00:00:00"/>
    <n v="7325.37"/>
    <s v="AUD"/>
    <s v="Partial"/>
    <m/>
    <s v="Net 45"/>
    <s v="Unpaid"/>
  </r>
  <r>
    <s v="AR20083"/>
    <x v="4"/>
    <x v="81"/>
    <d v="2023-09-07T00:00:00"/>
    <n v="3958.69"/>
    <s v="AUD"/>
    <s v="Partial"/>
    <m/>
    <s v="Net 45"/>
    <s v="Unpaid"/>
  </r>
  <r>
    <s v="AR20084"/>
    <x v="3"/>
    <x v="82"/>
    <d v="2024-08-05T00:00:00"/>
    <n v="996.98"/>
    <s v="AUD"/>
    <s v="Open"/>
    <m/>
    <s v="Net 45"/>
    <s v="Unpaid"/>
  </r>
  <r>
    <s v="AR20085"/>
    <x v="3"/>
    <x v="83"/>
    <d v="2023-09-18T00:00:00"/>
    <n v="5165.8999999999996"/>
    <s v="USD"/>
    <s v="Partial"/>
    <m/>
    <s v="Net 45"/>
    <s v="Unpaid"/>
  </r>
  <r>
    <s v="AR20086"/>
    <x v="3"/>
    <x v="84"/>
    <d v="2024-08-26T00:00:00"/>
    <n v="6048.66"/>
    <s v="EUR"/>
    <s v="Open"/>
    <m/>
    <s v="Net 45"/>
    <s v="Unpaid"/>
  </r>
  <r>
    <s v="AR20087"/>
    <x v="0"/>
    <x v="85"/>
    <d v="2024-01-30T00:00:00"/>
    <n v="1217.8699999999999"/>
    <s v="USD"/>
    <s v="Received"/>
    <d v="2024-01-30T00:00:00"/>
    <s v="Net 45"/>
    <s v="On Time"/>
  </r>
  <r>
    <s v="AR20088"/>
    <x v="3"/>
    <x v="86"/>
    <d v="2024-05-13T00:00:00"/>
    <n v="7578.16"/>
    <s v="EUR"/>
    <s v="Partial"/>
    <m/>
    <s v="Net 45"/>
    <s v="Unpaid"/>
  </r>
  <r>
    <s v="AR20089"/>
    <x v="1"/>
    <x v="87"/>
    <d v="2023-06-30T00:00:00"/>
    <n v="2123.65"/>
    <s v="GBP"/>
    <s v="Open"/>
    <m/>
    <s v="Net 45"/>
    <s v="Unpaid"/>
  </r>
  <r>
    <s v="AR20090"/>
    <x v="2"/>
    <x v="88"/>
    <d v="2024-04-12T00:00:00"/>
    <n v="3260.89"/>
    <s v="CAD"/>
    <s v="Received"/>
    <d v="2024-04-12T00:00:00"/>
    <s v="Net 45"/>
    <s v="On Time"/>
  </r>
  <r>
    <s v="AR20091"/>
    <x v="0"/>
    <x v="89"/>
    <d v="2025-02-22T00:00:00"/>
    <n v="3764.75"/>
    <s v="GBP"/>
    <s v="Open"/>
    <m/>
    <s v="Net 45"/>
    <s v="Unpaid"/>
  </r>
  <r>
    <s v="AR20092"/>
    <x v="4"/>
    <x v="90"/>
    <d v="2025-05-09T00:00:00"/>
    <n v="820.19"/>
    <s v="EUR"/>
    <s v="Partial"/>
    <m/>
    <s v="Net 45"/>
    <s v="Unpaid"/>
  </r>
  <r>
    <s v="AR20093"/>
    <x v="1"/>
    <x v="91"/>
    <d v="2025-06-24T00:00:00"/>
    <n v="5512.04"/>
    <s v="EUR"/>
    <s v="Received"/>
    <d v="2025-06-24T00:00:00"/>
    <s v="Net 45"/>
    <s v="On Time"/>
  </r>
  <r>
    <s v="AR20094"/>
    <x v="3"/>
    <x v="92"/>
    <d v="2024-11-01T00:00:00"/>
    <n v="3114.54"/>
    <s v="EUR"/>
    <s v="Received"/>
    <d v="2024-11-01T00:00:00"/>
    <s v="Net 45"/>
    <s v="On Time"/>
  </r>
  <r>
    <s v="AR20095"/>
    <x v="4"/>
    <x v="93"/>
    <d v="2024-12-02T00:00:00"/>
    <n v="2445.4899999999998"/>
    <s v="AUD"/>
    <s v="Open"/>
    <m/>
    <s v="Net 45"/>
    <s v="Unpaid"/>
  </r>
  <r>
    <s v="AR20096"/>
    <x v="3"/>
    <x v="94"/>
    <d v="2024-01-27T00:00:00"/>
    <n v="1998.78"/>
    <s v="EUR"/>
    <s v="Partial"/>
    <m/>
    <s v="Net 45"/>
    <s v="Unpaid"/>
  </r>
  <r>
    <s v="AR20097"/>
    <x v="1"/>
    <x v="95"/>
    <d v="2024-02-08T00:00:00"/>
    <n v="3998.83"/>
    <s v="AUD"/>
    <s v="Open"/>
    <m/>
    <s v="Net 45"/>
    <s v="Unpaid"/>
  </r>
  <r>
    <s v="AR20098"/>
    <x v="3"/>
    <x v="39"/>
    <d v="2023-09-19T00:00:00"/>
    <n v="7583.72"/>
    <s v="EUR"/>
    <s v="Open"/>
    <m/>
    <s v="Net 45"/>
    <s v="Unpaid"/>
  </r>
  <r>
    <s v="AR20099"/>
    <x v="4"/>
    <x v="96"/>
    <d v="2023-05-16T00:00:00"/>
    <n v="962.46"/>
    <s v="CAD"/>
    <s v="Open"/>
    <m/>
    <s v="Net 45"/>
    <s v="Unpaid"/>
  </r>
  <r>
    <s v="AR20100"/>
    <x v="2"/>
    <x v="97"/>
    <d v="2024-05-08T00:00:00"/>
    <n v="2924.69"/>
    <s v="CAD"/>
    <s v="Open"/>
    <m/>
    <s v="Net 45"/>
    <s v="Unpaid"/>
  </r>
  <r>
    <s v="AR20101"/>
    <x v="2"/>
    <x v="98"/>
    <d v="2023-11-04T00:00:00"/>
    <n v="4442.67"/>
    <s v="EUR"/>
    <s v="Open"/>
    <m/>
    <s v="Net 45"/>
    <s v="Unpaid"/>
  </r>
  <r>
    <s v="AR20102"/>
    <x v="0"/>
    <x v="99"/>
    <d v="2025-08-01T00:00:00"/>
    <n v="1643.11"/>
    <s v="CAD"/>
    <s v="Received"/>
    <d v="2025-08-01T00:00:00"/>
    <s v="Net 45"/>
    <s v="On Time"/>
  </r>
  <r>
    <s v="AR20103"/>
    <x v="2"/>
    <x v="100"/>
    <d v="2023-03-10T00:00:00"/>
    <n v="779.56"/>
    <s v="USD"/>
    <s v="Partial"/>
    <m/>
    <s v="Net 45"/>
    <s v="Unpaid"/>
  </r>
  <r>
    <s v="AR20104"/>
    <x v="0"/>
    <x v="101"/>
    <d v="2023-12-29T00:00:00"/>
    <n v="546.16"/>
    <s v="GBP"/>
    <s v="Open"/>
    <m/>
    <s v="Net 45"/>
    <s v="Unpaid"/>
  </r>
  <r>
    <s v="AR20105"/>
    <x v="4"/>
    <x v="102"/>
    <d v="2024-11-02T00:00:00"/>
    <n v="7954.05"/>
    <s v="CAD"/>
    <s v="Open"/>
    <m/>
    <s v="Net 45"/>
    <s v="Unpaid"/>
  </r>
  <r>
    <s v="AR20106"/>
    <x v="1"/>
    <x v="103"/>
    <d v="2024-10-23T00:00:00"/>
    <n v="3639.68"/>
    <s v="CAD"/>
    <s v="Open"/>
    <m/>
    <s v="Net 45"/>
    <s v="Unpaid"/>
  </r>
  <r>
    <s v="AR20107"/>
    <x v="4"/>
    <x v="104"/>
    <d v="2025-08-07T00:00:00"/>
    <n v="7625.21"/>
    <s v="AUD"/>
    <s v="Partial"/>
    <m/>
    <s v="Net 45"/>
    <s v="Unpaid"/>
  </r>
  <r>
    <s v="AR20108"/>
    <x v="4"/>
    <x v="105"/>
    <d v="2024-04-21T00:00:00"/>
    <n v="1585.28"/>
    <s v="CAD"/>
    <s v="Partial"/>
    <m/>
    <s v="Net 45"/>
    <s v="Unpaid"/>
  </r>
  <r>
    <s v="AR20109"/>
    <x v="3"/>
    <x v="106"/>
    <d v="2024-12-09T00:00:00"/>
    <n v="839.17"/>
    <s v="AUD"/>
    <s v="Open"/>
    <m/>
    <s v="Net 45"/>
    <s v="Unpaid"/>
  </r>
  <r>
    <s v="AR20110"/>
    <x v="2"/>
    <x v="74"/>
    <d v="2025-04-02T00:00:00"/>
    <n v="3881.62"/>
    <s v="EUR"/>
    <s v="Open"/>
    <m/>
    <s v="Net 45"/>
    <s v="Unpaid"/>
  </r>
  <r>
    <s v="AR20111"/>
    <x v="2"/>
    <x v="107"/>
    <d v="2023-08-20T00:00:00"/>
    <n v="7797.4"/>
    <s v="CAD"/>
    <s v="Open"/>
    <m/>
    <s v="Net 45"/>
    <s v="Unpaid"/>
  </r>
  <r>
    <s v="AR20112"/>
    <x v="3"/>
    <x v="108"/>
    <d v="2024-06-06T00:00:00"/>
    <n v="3488.89"/>
    <s v="USD"/>
    <s v="Received"/>
    <d v="2024-06-06T00:00:00"/>
    <s v="Net 45"/>
    <s v="On Time"/>
  </r>
  <r>
    <s v="AR20113"/>
    <x v="1"/>
    <x v="109"/>
    <d v="2024-03-24T00:00:00"/>
    <n v="2014.85"/>
    <s v="CAD"/>
    <s v="Partial"/>
    <m/>
    <s v="Net 45"/>
    <s v="Unpaid"/>
  </r>
  <r>
    <s v="AR20114"/>
    <x v="4"/>
    <x v="110"/>
    <d v="2024-01-18T00:00:00"/>
    <n v="4892.3500000000004"/>
    <s v="AUD"/>
    <s v="Open"/>
    <m/>
    <s v="Net 45"/>
    <s v="Unpaid"/>
  </r>
  <r>
    <s v="AR20115"/>
    <x v="2"/>
    <x v="111"/>
    <d v="2025-07-15T00:00:00"/>
    <n v="4299.43"/>
    <s v="USD"/>
    <s v="Partial"/>
    <m/>
    <s v="Net 45"/>
    <s v="Unpaid"/>
  </r>
  <r>
    <s v="AR20116"/>
    <x v="3"/>
    <x v="112"/>
    <d v="2023-07-27T00:00:00"/>
    <n v="5721"/>
    <s v="USD"/>
    <s v="Open"/>
    <m/>
    <s v="Net 45"/>
    <s v="Unpaid"/>
  </r>
  <r>
    <s v="AR20117"/>
    <x v="1"/>
    <x v="113"/>
    <d v="2023-10-30T00:00:00"/>
    <n v="7503.51"/>
    <s v="USD"/>
    <s v="Partial"/>
    <m/>
    <s v="Net 45"/>
    <s v="Unpaid"/>
  </r>
  <r>
    <s v="AR20118"/>
    <x v="2"/>
    <x v="114"/>
    <d v="2025-06-04T00:00:00"/>
    <n v="971.21"/>
    <s v="USD"/>
    <s v="Received"/>
    <d v="2025-06-04T00:00:00"/>
    <s v="Net 45"/>
    <s v="On Time"/>
  </r>
  <r>
    <s v="AR20119"/>
    <x v="4"/>
    <x v="115"/>
    <d v="2024-08-16T00:00:00"/>
    <n v="271.08999999999997"/>
    <s v="USD"/>
    <s v="Received"/>
    <d v="2024-08-16T00:00:00"/>
    <s v="Net 45"/>
    <s v="On Time"/>
  </r>
  <r>
    <s v="AR20120"/>
    <x v="2"/>
    <x v="116"/>
    <d v="2025-05-26T00:00:00"/>
    <n v="3411.27"/>
    <s v="GBP"/>
    <s v="Open"/>
    <m/>
    <s v="Net 45"/>
    <s v="Unpaid"/>
  </r>
  <r>
    <s v="AR20121"/>
    <x v="3"/>
    <x v="117"/>
    <d v="2025-03-07T00:00:00"/>
    <n v="785.47"/>
    <s v="AUD"/>
    <s v="Partial"/>
    <m/>
    <s v="Net 45"/>
    <s v="Unpaid"/>
  </r>
  <r>
    <s v="AR20122"/>
    <x v="4"/>
    <x v="118"/>
    <d v="2024-05-03T00:00:00"/>
    <n v="1451.37"/>
    <s v="CAD"/>
    <s v="Partial"/>
    <m/>
    <s v="Net 45"/>
    <s v="Unpaid"/>
  </r>
  <r>
    <s v="AR20123"/>
    <x v="3"/>
    <x v="119"/>
    <d v="2023-07-30T00:00:00"/>
    <n v="4225.25"/>
    <s v="AUD"/>
    <s v="Received"/>
    <d v="2023-07-30T00:00:00"/>
    <s v="Net 45"/>
    <s v="On Time"/>
  </r>
  <r>
    <s v="AR20124"/>
    <x v="3"/>
    <x v="120"/>
    <d v="2023-04-06T00:00:00"/>
    <n v="1416.74"/>
    <s v="EUR"/>
    <s v="Partial"/>
    <m/>
    <s v="Net 45"/>
    <s v="Unpaid"/>
  </r>
  <r>
    <s v="AR20125"/>
    <x v="4"/>
    <x v="121"/>
    <d v="2025-07-14T00:00:00"/>
    <n v="5473.58"/>
    <s v="EUR"/>
    <s v="Received"/>
    <d v="2025-07-14T00:00:00"/>
    <s v="Net 45"/>
    <s v="On Time"/>
  </r>
  <r>
    <s v="AR20126"/>
    <x v="4"/>
    <x v="122"/>
    <d v="2023-09-11T00:00:00"/>
    <n v="5239.3"/>
    <s v="CAD"/>
    <s v="Partial"/>
    <m/>
    <s v="Net 45"/>
    <s v="Unpaid"/>
  </r>
  <r>
    <s v="AR20127"/>
    <x v="1"/>
    <x v="123"/>
    <d v="2023-04-26T00:00:00"/>
    <n v="5141.1899999999996"/>
    <s v="CAD"/>
    <s v="Open"/>
    <m/>
    <s v="Net 45"/>
    <s v="Unpaid"/>
  </r>
  <r>
    <s v="AR20128"/>
    <x v="2"/>
    <x v="124"/>
    <d v="2023-12-28T00:00:00"/>
    <n v="7401.81"/>
    <s v="GBP"/>
    <s v="Received"/>
    <d v="2023-12-28T00:00:00"/>
    <s v="Net 45"/>
    <s v="On Time"/>
  </r>
  <r>
    <s v="AR20129"/>
    <x v="4"/>
    <x v="125"/>
    <d v="2023-12-14T00:00:00"/>
    <n v="6909.77"/>
    <s v="EUR"/>
    <s v="Partial"/>
    <m/>
    <s v="Net 45"/>
    <s v="Unpaid"/>
  </r>
  <r>
    <s v="AR20130"/>
    <x v="4"/>
    <x v="126"/>
    <d v="2023-11-12T00:00:00"/>
    <n v="3554.68"/>
    <s v="USD"/>
    <s v="Received"/>
    <d v="2023-11-12T00:00:00"/>
    <s v="Net 45"/>
    <s v="On Time"/>
  </r>
  <r>
    <s v="AR20131"/>
    <x v="1"/>
    <x v="127"/>
    <d v="2023-11-09T00:00:00"/>
    <n v="3944.66"/>
    <s v="EUR"/>
    <s v="Partial"/>
    <m/>
    <s v="Net 45"/>
    <s v="Unpaid"/>
  </r>
  <r>
    <s v="AR20132"/>
    <x v="0"/>
    <x v="88"/>
    <d v="2024-04-12T00:00:00"/>
    <n v="1328.09"/>
    <s v="USD"/>
    <s v="Received"/>
    <d v="2024-04-12T00:00:00"/>
    <s v="Net 45"/>
    <s v="On Time"/>
  </r>
  <r>
    <s v="AR20133"/>
    <x v="0"/>
    <x v="128"/>
    <d v="2025-07-11T00:00:00"/>
    <n v="6057.16"/>
    <s v="CAD"/>
    <s v="Received"/>
    <d v="2025-07-11T00:00:00"/>
    <s v="Net 45"/>
    <s v="On Time"/>
  </r>
  <r>
    <s v="AR20134"/>
    <x v="3"/>
    <x v="38"/>
    <d v="2023-12-15T00:00:00"/>
    <n v="1009.43"/>
    <s v="CAD"/>
    <s v="Open"/>
    <m/>
    <s v="Net 45"/>
    <s v="Unpaid"/>
  </r>
  <r>
    <s v="AR20135"/>
    <x v="1"/>
    <x v="129"/>
    <d v="2023-08-03T00:00:00"/>
    <n v="4953.59"/>
    <s v="AUD"/>
    <s v="Received"/>
    <d v="2023-08-03T00:00:00"/>
    <s v="Net 45"/>
    <s v="On Time"/>
  </r>
  <r>
    <s v="AR20136"/>
    <x v="4"/>
    <x v="130"/>
    <d v="2023-03-04T00:00:00"/>
    <n v="1113.25"/>
    <s v="GBP"/>
    <s v="Received"/>
    <d v="2023-03-04T00:00:00"/>
    <s v="Net 45"/>
    <s v="On Time"/>
  </r>
  <r>
    <s v="AR20137"/>
    <x v="2"/>
    <x v="131"/>
    <d v="2025-05-13T00:00:00"/>
    <n v="1115.26"/>
    <s v="EUR"/>
    <s v="Open"/>
    <m/>
    <s v="Net 45"/>
    <s v="Unpaid"/>
  </r>
  <r>
    <s v="AR20138"/>
    <x v="4"/>
    <x v="132"/>
    <d v="2024-06-12T00:00:00"/>
    <n v="2676.36"/>
    <s v="EUR"/>
    <s v="Received"/>
    <d v="2024-06-12T00:00:00"/>
    <s v="Net 45"/>
    <s v="On Time"/>
  </r>
  <r>
    <s v="AR20139"/>
    <x v="2"/>
    <x v="133"/>
    <d v="2023-11-01T00:00:00"/>
    <n v="2786.7"/>
    <s v="CAD"/>
    <s v="Partial"/>
    <m/>
    <s v="Net 45"/>
    <s v="Unpaid"/>
  </r>
  <r>
    <s v="AR20140"/>
    <x v="0"/>
    <x v="134"/>
    <d v="2025-07-28T00:00:00"/>
    <n v="4407.9399999999996"/>
    <s v="AUD"/>
    <s v="Open"/>
    <m/>
    <s v="Net 45"/>
    <s v="Unpaid"/>
  </r>
  <r>
    <s v="AR20141"/>
    <x v="0"/>
    <x v="135"/>
    <d v="2024-12-06T00:00:00"/>
    <n v="4894.13"/>
    <s v="USD"/>
    <s v="Partial"/>
    <m/>
    <s v="Net 45"/>
    <s v="Unpaid"/>
  </r>
  <r>
    <s v="AR20142"/>
    <x v="2"/>
    <x v="91"/>
    <d v="2025-06-24T00:00:00"/>
    <n v="6832.48"/>
    <s v="GBP"/>
    <s v="Open"/>
    <m/>
    <s v="Net 45"/>
    <s v="Unpaid"/>
  </r>
  <r>
    <s v="AR20143"/>
    <x v="0"/>
    <x v="136"/>
    <d v="2024-10-19T00:00:00"/>
    <n v="2060.19"/>
    <s v="CAD"/>
    <s v="Open"/>
    <m/>
    <s v="Net 45"/>
    <s v="Unpaid"/>
  </r>
  <r>
    <s v="AR20144"/>
    <x v="4"/>
    <x v="137"/>
    <d v="2025-06-01T00:00:00"/>
    <n v="6302.98"/>
    <s v="GBP"/>
    <s v="Open"/>
    <m/>
    <s v="Net 45"/>
    <s v="Unpaid"/>
  </r>
  <r>
    <s v="AR20145"/>
    <x v="4"/>
    <x v="138"/>
    <d v="2023-09-25T00:00:00"/>
    <n v="6748"/>
    <s v="AUD"/>
    <s v="Partial"/>
    <m/>
    <s v="Net 45"/>
    <s v="Unpaid"/>
  </r>
  <r>
    <s v="AR20146"/>
    <x v="3"/>
    <x v="139"/>
    <d v="2024-11-28T00:00:00"/>
    <n v="7996.24"/>
    <s v="CAD"/>
    <s v="Partial"/>
    <m/>
    <s v="Net 45"/>
    <s v="Unpaid"/>
  </r>
  <r>
    <s v="AR20147"/>
    <x v="2"/>
    <x v="140"/>
    <d v="2025-03-13T00:00:00"/>
    <n v="1809.76"/>
    <s v="AUD"/>
    <s v="Received"/>
    <d v="2025-03-13T00:00:00"/>
    <s v="Net 45"/>
    <s v="On Time"/>
  </r>
  <r>
    <s v="AR20148"/>
    <x v="0"/>
    <x v="141"/>
    <d v="2025-05-18T00:00:00"/>
    <n v="6175.65"/>
    <s v="CAD"/>
    <s v="Partial"/>
    <m/>
    <s v="Net 45"/>
    <s v="Unpaid"/>
  </r>
  <r>
    <s v="AR20149"/>
    <x v="3"/>
    <x v="29"/>
    <d v="2024-10-26T00:00:00"/>
    <n v="1636.23"/>
    <s v="AUD"/>
    <s v="Open"/>
    <m/>
    <s v="Net 45"/>
    <s v="Unpaid"/>
  </r>
  <r>
    <s v="AR20150"/>
    <x v="4"/>
    <x v="102"/>
    <d v="2024-11-02T00:00:00"/>
    <n v="7573.95"/>
    <s v="GBP"/>
    <s v="Received"/>
    <d v="2024-11-02T00:00:00"/>
    <s v="Net 45"/>
    <s v="On Time"/>
  </r>
  <r>
    <s v="AR20151"/>
    <x v="3"/>
    <x v="142"/>
    <d v="2023-07-29T00:00:00"/>
    <n v="1194.4100000000001"/>
    <s v="USD"/>
    <s v="Open"/>
    <m/>
    <s v="Net 45"/>
    <s v="Unpaid"/>
  </r>
  <r>
    <s v="AR20152"/>
    <x v="0"/>
    <x v="64"/>
    <d v="2023-09-28T00:00:00"/>
    <n v="3323.19"/>
    <s v="EUR"/>
    <s v="Received"/>
    <d v="2023-09-28T00:00:00"/>
    <s v="Net 45"/>
    <s v="On Time"/>
  </r>
  <r>
    <s v="AR20153"/>
    <x v="2"/>
    <x v="143"/>
    <d v="2025-01-15T00:00:00"/>
    <n v="426.96"/>
    <s v="CAD"/>
    <s v="Open"/>
    <m/>
    <s v="Net 45"/>
    <s v="Unpaid"/>
  </r>
  <r>
    <s v="AR20154"/>
    <x v="4"/>
    <x v="144"/>
    <d v="2025-06-21T00:00:00"/>
    <n v="3349.63"/>
    <s v="EUR"/>
    <s v="Partial"/>
    <m/>
    <s v="Net 45"/>
    <s v="Unpaid"/>
  </r>
  <r>
    <s v="AR20155"/>
    <x v="1"/>
    <x v="145"/>
    <d v="2023-07-12T00:00:00"/>
    <n v="2205.42"/>
    <s v="AUD"/>
    <s v="Received"/>
    <d v="2023-07-12T00:00:00"/>
    <s v="Net 45"/>
    <s v="On Time"/>
  </r>
  <r>
    <s v="AR20156"/>
    <x v="4"/>
    <x v="146"/>
    <d v="2023-06-17T00:00:00"/>
    <n v="3681.26"/>
    <s v="AUD"/>
    <s v="Partial"/>
    <m/>
    <s v="Net 45"/>
    <s v="Unpaid"/>
  </r>
  <r>
    <s v="AR20157"/>
    <x v="4"/>
    <x v="147"/>
    <d v="2024-08-29T00:00:00"/>
    <n v="4481.24"/>
    <s v="GBP"/>
    <s v="Received"/>
    <d v="2024-08-29T00:00:00"/>
    <s v="Net 45"/>
    <s v="On Time"/>
  </r>
  <r>
    <s v="AR20158"/>
    <x v="1"/>
    <x v="148"/>
    <d v="2025-03-23T00:00:00"/>
    <n v="6512.91"/>
    <s v="CAD"/>
    <s v="Open"/>
    <m/>
    <s v="Net 45"/>
    <s v="Unpaid"/>
  </r>
  <r>
    <s v="AR20159"/>
    <x v="2"/>
    <x v="149"/>
    <d v="2024-01-24T00:00:00"/>
    <n v="5880.66"/>
    <s v="AUD"/>
    <s v="Partial"/>
    <m/>
    <s v="Net 45"/>
    <s v="Unpaid"/>
  </r>
  <r>
    <s v="AR20160"/>
    <x v="1"/>
    <x v="150"/>
    <d v="2025-04-12T00:00:00"/>
    <n v="6131.33"/>
    <s v="USD"/>
    <s v="Open"/>
    <m/>
    <s v="Net 45"/>
    <s v="Unpaid"/>
  </r>
  <r>
    <s v="AR20161"/>
    <x v="4"/>
    <x v="120"/>
    <d v="2023-04-06T00:00:00"/>
    <n v="5140.8500000000004"/>
    <s v="CAD"/>
    <s v="Partial"/>
    <m/>
    <s v="Net 45"/>
    <s v="Unpaid"/>
  </r>
  <r>
    <s v="AR20162"/>
    <x v="2"/>
    <x v="151"/>
    <d v="2023-05-18T00:00:00"/>
    <n v="955.2"/>
    <s v="AUD"/>
    <s v="Received"/>
    <d v="2023-05-18T00:00:00"/>
    <s v="Net 45"/>
    <s v="On Time"/>
  </r>
  <r>
    <s v="AR20163"/>
    <x v="3"/>
    <x v="152"/>
    <d v="2023-06-02T00:00:00"/>
    <n v="3300.51"/>
    <s v="EUR"/>
    <s v="Received"/>
    <d v="2023-06-02T00:00:00"/>
    <s v="Net 45"/>
    <s v="On Time"/>
  </r>
  <r>
    <s v="AR20164"/>
    <x v="3"/>
    <x v="2"/>
    <d v="2025-02-08T00:00:00"/>
    <n v="4647.5"/>
    <s v="AUD"/>
    <s v="Received"/>
    <d v="2025-02-08T00:00:00"/>
    <s v="Net 45"/>
    <s v="On Time"/>
  </r>
  <r>
    <s v="AR20165"/>
    <x v="3"/>
    <x v="126"/>
    <d v="2023-11-12T00:00:00"/>
    <n v="2799.03"/>
    <s v="AUD"/>
    <s v="Open"/>
    <m/>
    <s v="Net 45"/>
    <s v="Unpaid"/>
  </r>
  <r>
    <s v="AR20166"/>
    <x v="2"/>
    <x v="153"/>
    <d v="2024-09-09T00:00:00"/>
    <n v="6835.74"/>
    <s v="EUR"/>
    <s v="Partial"/>
    <m/>
    <s v="Net 45"/>
    <s v="Unpaid"/>
  </r>
  <r>
    <s v="AR20167"/>
    <x v="1"/>
    <x v="91"/>
    <d v="2025-06-24T00:00:00"/>
    <n v="6160.95"/>
    <s v="GBP"/>
    <s v="Open"/>
    <m/>
    <s v="Net 45"/>
    <s v="Unpaid"/>
  </r>
  <r>
    <s v="AR20168"/>
    <x v="3"/>
    <x v="116"/>
    <d v="2025-05-26T00:00:00"/>
    <n v="1275.3699999999999"/>
    <s v="EUR"/>
    <s v="Received"/>
    <d v="2025-05-26T00:00:00"/>
    <s v="Net 45"/>
    <s v="On Time"/>
  </r>
  <r>
    <s v="AR20169"/>
    <x v="1"/>
    <x v="24"/>
    <d v="2023-08-22T00:00:00"/>
    <n v="6366.69"/>
    <s v="GBP"/>
    <s v="Received"/>
    <d v="2023-08-22T00:00:00"/>
    <s v="Net 45"/>
    <s v="On Time"/>
  </r>
  <r>
    <s v="AR20170"/>
    <x v="4"/>
    <x v="154"/>
    <d v="2024-04-17T00:00:00"/>
    <n v="2426.38"/>
    <s v="GBP"/>
    <s v="Open"/>
    <m/>
    <s v="Net 45"/>
    <s v="Unpaid"/>
  </r>
  <r>
    <s v="AR20171"/>
    <x v="4"/>
    <x v="155"/>
    <d v="2023-10-25T00:00:00"/>
    <n v="5499.32"/>
    <s v="CAD"/>
    <s v="Received"/>
    <d v="2023-10-25T00:00:00"/>
    <s v="Net 45"/>
    <s v="On Time"/>
  </r>
  <r>
    <s v="AR20172"/>
    <x v="1"/>
    <x v="59"/>
    <d v="2023-08-13T00:00:00"/>
    <n v="2573.4899999999998"/>
    <s v="CAD"/>
    <s v="Received"/>
    <d v="2023-08-13T00:00:00"/>
    <s v="Net 45"/>
    <s v="On Time"/>
  </r>
  <r>
    <s v="AR20173"/>
    <x v="4"/>
    <x v="156"/>
    <d v="2023-02-16T00:00:00"/>
    <n v="895.39"/>
    <s v="EUR"/>
    <s v="Open"/>
    <m/>
    <s v="Net 45"/>
    <s v="Unpaid"/>
  </r>
  <r>
    <s v="AR20174"/>
    <x v="4"/>
    <x v="157"/>
    <d v="2025-05-20T00:00:00"/>
    <n v="1425.44"/>
    <s v="CAD"/>
    <s v="Open"/>
    <m/>
    <s v="Net 45"/>
    <s v="Unpaid"/>
  </r>
  <r>
    <s v="AR20175"/>
    <x v="2"/>
    <x v="158"/>
    <d v="2025-03-26T00:00:00"/>
    <n v="7615.32"/>
    <s v="GBP"/>
    <s v="Open"/>
    <m/>
    <s v="Net 45"/>
    <s v="Unpaid"/>
  </r>
  <r>
    <s v="AR20176"/>
    <x v="1"/>
    <x v="159"/>
    <d v="2023-08-02T00:00:00"/>
    <n v="5139.07"/>
    <s v="GBP"/>
    <s v="Partial"/>
    <m/>
    <s v="Net 45"/>
    <s v="Unpaid"/>
  </r>
  <r>
    <s v="AR20177"/>
    <x v="0"/>
    <x v="160"/>
    <d v="2023-11-26T00:00:00"/>
    <n v="5167.68"/>
    <s v="GBP"/>
    <s v="Partial"/>
    <m/>
    <s v="Net 45"/>
    <s v="Unpaid"/>
  </r>
  <r>
    <s v="AR20178"/>
    <x v="4"/>
    <x v="161"/>
    <d v="2024-09-20T00:00:00"/>
    <n v="3033.26"/>
    <s v="CAD"/>
    <s v="Open"/>
    <m/>
    <s v="Net 45"/>
    <s v="Unpaid"/>
  </r>
  <r>
    <s v="AR20179"/>
    <x v="4"/>
    <x v="162"/>
    <d v="2025-01-26T00:00:00"/>
    <n v="2790.33"/>
    <s v="AUD"/>
    <s v="Received"/>
    <d v="2025-01-26T00:00:00"/>
    <s v="Net 45"/>
    <s v="On Time"/>
  </r>
  <r>
    <s v="AR20180"/>
    <x v="0"/>
    <x v="163"/>
    <d v="2023-08-29T00:00:00"/>
    <n v="2501.6799999999998"/>
    <s v="CAD"/>
    <s v="Received"/>
    <d v="2023-08-29T00:00:00"/>
    <s v="Net 45"/>
    <s v="On Time"/>
  </r>
  <r>
    <s v="AR20181"/>
    <x v="4"/>
    <x v="164"/>
    <d v="2023-12-24T00:00:00"/>
    <n v="4360.84"/>
    <s v="AUD"/>
    <s v="Open"/>
    <m/>
    <s v="Net 45"/>
    <s v="Unpaid"/>
  </r>
  <r>
    <s v="AR20182"/>
    <x v="3"/>
    <x v="165"/>
    <d v="2024-05-06T00:00:00"/>
    <n v="3594.45"/>
    <s v="AUD"/>
    <s v="Partial"/>
    <m/>
    <s v="Net 45"/>
    <s v="Unpaid"/>
  </r>
  <r>
    <s v="AR20183"/>
    <x v="3"/>
    <x v="166"/>
    <d v="2025-03-12T00:00:00"/>
    <n v="532.94000000000005"/>
    <s v="EUR"/>
    <s v="Open"/>
    <m/>
    <s v="Net 45"/>
    <s v="Unpaid"/>
  </r>
  <r>
    <s v="AR20184"/>
    <x v="2"/>
    <x v="167"/>
    <d v="2023-07-20T00:00:00"/>
    <n v="3313.6"/>
    <s v="USD"/>
    <s v="Partial"/>
    <m/>
    <s v="Net 45"/>
    <s v="Unpaid"/>
  </r>
  <r>
    <s v="AR20185"/>
    <x v="2"/>
    <x v="168"/>
    <d v="2023-10-17T00:00:00"/>
    <n v="1217.21"/>
    <s v="AUD"/>
    <s v="Partial"/>
    <m/>
    <s v="Net 45"/>
    <s v="Unpaid"/>
  </r>
  <r>
    <s v="AR20186"/>
    <x v="0"/>
    <x v="169"/>
    <d v="2023-03-22T00:00:00"/>
    <n v="2638.46"/>
    <s v="GBP"/>
    <s v="Partial"/>
    <m/>
    <s v="Net 45"/>
    <s v="Unpaid"/>
  </r>
  <r>
    <s v="AR20187"/>
    <x v="2"/>
    <x v="50"/>
    <d v="2023-05-06T00:00:00"/>
    <n v="1769.81"/>
    <s v="EUR"/>
    <s v="Partial"/>
    <m/>
    <s v="Net 45"/>
    <s v="Unpaid"/>
  </r>
  <r>
    <s v="AR20188"/>
    <x v="1"/>
    <x v="170"/>
    <d v="2025-04-26T00:00:00"/>
    <n v="358"/>
    <s v="CAD"/>
    <s v="Open"/>
    <m/>
    <s v="Net 45"/>
    <s v="Unpaid"/>
  </r>
  <r>
    <s v="AR20189"/>
    <x v="4"/>
    <x v="171"/>
    <d v="2024-07-25T00:00:00"/>
    <n v="6116.96"/>
    <s v="CAD"/>
    <s v="Open"/>
    <m/>
    <s v="Net 45"/>
    <s v="Unpaid"/>
  </r>
  <r>
    <s v="AR20190"/>
    <x v="4"/>
    <x v="172"/>
    <d v="2023-07-06T00:00:00"/>
    <n v="6724.64"/>
    <s v="CAD"/>
    <s v="Received"/>
    <d v="2023-07-06T00:00:00"/>
    <s v="Net 45"/>
    <s v="On Time"/>
  </r>
  <r>
    <s v="AR20191"/>
    <x v="0"/>
    <x v="173"/>
    <d v="2025-03-11T00:00:00"/>
    <n v="1713.9"/>
    <s v="AUD"/>
    <s v="Received"/>
    <d v="2025-03-11T00:00:00"/>
    <s v="Net 45"/>
    <s v="On Time"/>
  </r>
  <r>
    <s v="AR20192"/>
    <x v="1"/>
    <x v="26"/>
    <d v="2023-05-05T00:00:00"/>
    <n v="4500.46"/>
    <s v="AUD"/>
    <s v="Open"/>
    <m/>
    <s v="Net 45"/>
    <s v="Unpaid"/>
  </r>
  <r>
    <s v="AR20193"/>
    <x v="2"/>
    <x v="98"/>
    <d v="2023-11-04T00:00:00"/>
    <n v="5401.26"/>
    <s v="AUD"/>
    <s v="Open"/>
    <m/>
    <s v="Net 45"/>
    <s v="Unpaid"/>
  </r>
  <r>
    <s v="AR20194"/>
    <x v="2"/>
    <x v="174"/>
    <d v="2025-03-24T00:00:00"/>
    <n v="7173.1"/>
    <s v="EUR"/>
    <s v="Received"/>
    <d v="2025-03-24T00:00:00"/>
    <s v="Net 45"/>
    <s v="On Time"/>
  </r>
  <r>
    <s v="AR20195"/>
    <x v="4"/>
    <x v="163"/>
    <d v="2023-08-29T00:00:00"/>
    <n v="255.6"/>
    <s v="GBP"/>
    <s v="Received"/>
    <d v="2023-08-29T00:00:00"/>
    <s v="Net 45"/>
    <s v="On Time"/>
  </r>
  <r>
    <s v="AR20196"/>
    <x v="0"/>
    <x v="116"/>
    <d v="2025-05-26T00:00:00"/>
    <n v="1321.36"/>
    <s v="GBP"/>
    <s v="Open"/>
    <m/>
    <s v="Net 45"/>
    <s v="Unpaid"/>
  </r>
  <r>
    <s v="AR20197"/>
    <x v="2"/>
    <x v="148"/>
    <d v="2025-03-23T00:00:00"/>
    <n v="4239.62"/>
    <s v="USD"/>
    <s v="Received"/>
    <d v="2025-03-23T00:00:00"/>
    <s v="Net 45"/>
    <s v="On Time"/>
  </r>
  <r>
    <s v="AR20198"/>
    <x v="0"/>
    <x v="175"/>
    <d v="2024-07-19T00:00:00"/>
    <n v="1910.09"/>
    <s v="USD"/>
    <s v="Open"/>
    <m/>
    <s v="Net 45"/>
    <s v="Unpaid"/>
  </r>
  <r>
    <s v="AR20199"/>
    <x v="3"/>
    <x v="176"/>
    <d v="2023-04-04T00:00:00"/>
    <n v="1732.73"/>
    <s v="AUD"/>
    <s v="Open"/>
    <m/>
    <s v="Net 45"/>
    <s v="Unpaid"/>
  </r>
  <r>
    <s v="AR20200"/>
    <x v="2"/>
    <x v="177"/>
    <d v="2023-12-20T00:00:00"/>
    <n v="7442.79"/>
    <s v="GBP"/>
    <s v="Partial"/>
    <m/>
    <s v="Net 45"/>
    <s v="Unpaid"/>
  </r>
  <r>
    <s v="AR20201"/>
    <x v="1"/>
    <x v="178"/>
    <d v="2025-07-21T00:00:00"/>
    <n v="7828.34"/>
    <s v="CAD"/>
    <s v="Partial"/>
    <m/>
    <s v="Net 45"/>
    <s v="Unpaid"/>
  </r>
  <r>
    <s v="AR20202"/>
    <x v="4"/>
    <x v="179"/>
    <d v="2023-02-15T00:00:00"/>
    <n v="3603.21"/>
    <s v="GBP"/>
    <s v="Open"/>
    <m/>
    <s v="Net 45"/>
    <s v="Unpaid"/>
  </r>
  <r>
    <s v="AR20203"/>
    <x v="2"/>
    <x v="180"/>
    <d v="2023-02-22T00:00:00"/>
    <n v="3256.73"/>
    <s v="CAD"/>
    <s v="Received"/>
    <d v="2023-02-22T00:00:00"/>
    <s v="Net 45"/>
    <s v="On Time"/>
  </r>
  <r>
    <s v="AR20204"/>
    <x v="0"/>
    <x v="83"/>
    <d v="2023-09-18T00:00:00"/>
    <n v="694.22"/>
    <s v="AUD"/>
    <s v="Received"/>
    <d v="2023-09-18T00:00:00"/>
    <s v="Net 45"/>
    <s v="On Time"/>
  </r>
  <r>
    <s v="AR20205"/>
    <x v="3"/>
    <x v="181"/>
    <d v="2023-03-08T00:00:00"/>
    <n v="4742.33"/>
    <s v="USD"/>
    <s v="Open"/>
    <m/>
    <s v="Net 45"/>
    <s v="Unpaid"/>
  </r>
  <r>
    <s v="AR20206"/>
    <x v="1"/>
    <x v="174"/>
    <d v="2025-03-24T00:00:00"/>
    <n v="5745.4"/>
    <s v="CAD"/>
    <s v="Partial"/>
    <m/>
    <s v="Net 45"/>
    <s v="Unpaid"/>
  </r>
  <r>
    <s v="AR20207"/>
    <x v="3"/>
    <x v="182"/>
    <d v="2023-09-01T00:00:00"/>
    <n v="6440.55"/>
    <s v="USD"/>
    <s v="Partial"/>
    <m/>
    <s v="Net 45"/>
    <s v="Unpaid"/>
  </r>
  <r>
    <s v="AR20208"/>
    <x v="1"/>
    <x v="183"/>
    <d v="2024-05-19T00:00:00"/>
    <n v="5467.97"/>
    <s v="CAD"/>
    <s v="Received"/>
    <d v="2024-05-19T00:00:00"/>
    <s v="Net 45"/>
    <s v="On Time"/>
  </r>
  <r>
    <s v="AR20209"/>
    <x v="4"/>
    <x v="184"/>
    <d v="2025-06-22T00:00:00"/>
    <n v="3067.69"/>
    <s v="GBP"/>
    <s v="Partial"/>
    <m/>
    <s v="Net 45"/>
    <s v="Unpaid"/>
  </r>
  <r>
    <s v="AR20210"/>
    <x v="2"/>
    <x v="142"/>
    <d v="2023-07-29T00:00:00"/>
    <n v="3030.85"/>
    <s v="AUD"/>
    <s v="Partial"/>
    <m/>
    <s v="Net 45"/>
    <s v="Unpaid"/>
  </r>
  <r>
    <s v="AR20211"/>
    <x v="3"/>
    <x v="53"/>
    <d v="2025-05-24T00:00:00"/>
    <n v="4387.58"/>
    <s v="EUR"/>
    <s v="Received"/>
    <d v="2025-05-24T00:00:00"/>
    <s v="Net 45"/>
    <s v="On Time"/>
  </r>
  <r>
    <s v="AR20212"/>
    <x v="0"/>
    <x v="185"/>
    <d v="2023-08-26T00:00:00"/>
    <n v="970.15"/>
    <s v="EUR"/>
    <s v="Received"/>
    <d v="2023-08-26T00:00:00"/>
    <s v="Net 45"/>
    <s v="On Time"/>
  </r>
  <r>
    <s v="AR20213"/>
    <x v="3"/>
    <x v="186"/>
    <d v="2023-06-06T00:00:00"/>
    <n v="6545.56"/>
    <s v="GBP"/>
    <s v="Partial"/>
    <m/>
    <s v="Net 45"/>
    <s v="Unpaid"/>
  </r>
  <r>
    <s v="AR20214"/>
    <x v="2"/>
    <x v="187"/>
    <d v="2023-12-31T00:00:00"/>
    <n v="4888.93"/>
    <s v="CAD"/>
    <s v="Open"/>
    <m/>
    <s v="Net 45"/>
    <s v="Unpaid"/>
  </r>
  <r>
    <s v="AR20215"/>
    <x v="1"/>
    <x v="188"/>
    <d v="2023-10-18T00:00:00"/>
    <n v="354.48"/>
    <s v="EUR"/>
    <s v="Received"/>
    <d v="2023-10-18T00:00:00"/>
    <s v="Net 45"/>
    <s v="On Time"/>
  </r>
  <r>
    <s v="AR20216"/>
    <x v="3"/>
    <x v="189"/>
    <d v="2024-03-02T00:00:00"/>
    <n v="657.87"/>
    <s v="CAD"/>
    <s v="Received"/>
    <d v="2024-03-02T00:00:00"/>
    <s v="Net 45"/>
    <s v="On Time"/>
  </r>
  <r>
    <s v="AR20217"/>
    <x v="3"/>
    <x v="190"/>
    <d v="2023-05-11T00:00:00"/>
    <n v="3415.75"/>
    <s v="EUR"/>
    <s v="Open"/>
    <m/>
    <s v="Net 45"/>
    <s v="Unpaid"/>
  </r>
  <r>
    <s v="AR20218"/>
    <x v="1"/>
    <x v="191"/>
    <d v="2025-06-05T00:00:00"/>
    <n v="1884.26"/>
    <s v="USD"/>
    <s v="Received"/>
    <d v="2025-06-05T00:00:00"/>
    <s v="Net 45"/>
    <s v="On Time"/>
  </r>
  <r>
    <s v="AR20219"/>
    <x v="0"/>
    <x v="192"/>
    <d v="2023-04-12T00:00:00"/>
    <n v="741.72"/>
    <s v="AUD"/>
    <s v="Received"/>
    <d v="2023-04-12T00:00:00"/>
    <s v="Net 45"/>
    <s v="On Time"/>
  </r>
  <r>
    <s v="AR20220"/>
    <x v="0"/>
    <x v="189"/>
    <d v="2024-03-02T00:00:00"/>
    <n v="7943.83"/>
    <s v="USD"/>
    <s v="Open"/>
    <m/>
    <s v="Net 45"/>
    <s v="Unpaid"/>
  </r>
  <r>
    <s v="AR20221"/>
    <x v="3"/>
    <x v="193"/>
    <d v="2024-11-08T00:00:00"/>
    <n v="247.4"/>
    <s v="GBP"/>
    <s v="Partial"/>
    <m/>
    <s v="Net 45"/>
    <s v="Unpaid"/>
  </r>
  <r>
    <s v="AR20222"/>
    <x v="3"/>
    <x v="194"/>
    <d v="2023-11-11T00:00:00"/>
    <n v="1967.78"/>
    <s v="EUR"/>
    <s v="Open"/>
    <m/>
    <s v="Net 45"/>
    <s v="Unpaid"/>
  </r>
  <r>
    <s v="AR20223"/>
    <x v="0"/>
    <x v="195"/>
    <d v="2023-10-24T00:00:00"/>
    <n v="7603.86"/>
    <s v="USD"/>
    <s v="Partial"/>
    <m/>
    <s v="Net 45"/>
    <s v="Unpaid"/>
  </r>
  <r>
    <s v="AR20224"/>
    <x v="4"/>
    <x v="138"/>
    <d v="2023-09-25T00:00:00"/>
    <n v="7290.34"/>
    <s v="AUD"/>
    <s v="Open"/>
    <m/>
    <s v="Net 45"/>
    <s v="Unpaid"/>
  </r>
  <r>
    <s v="AR20225"/>
    <x v="3"/>
    <x v="196"/>
    <d v="2024-08-18T00:00:00"/>
    <n v="2291.87"/>
    <s v="GBP"/>
    <s v="Open"/>
    <m/>
    <s v="Net 45"/>
    <s v="Unpaid"/>
  </r>
  <r>
    <s v="AR20226"/>
    <x v="4"/>
    <x v="190"/>
    <d v="2023-05-11T00:00:00"/>
    <n v="2360.7199999999998"/>
    <s v="EUR"/>
    <s v="Partial"/>
    <m/>
    <s v="Net 45"/>
    <s v="Unpaid"/>
  </r>
  <r>
    <s v="AR20227"/>
    <x v="3"/>
    <x v="197"/>
    <d v="2024-07-10T00:00:00"/>
    <n v="673.24"/>
    <s v="EUR"/>
    <s v="Open"/>
    <m/>
    <s v="Net 45"/>
    <s v="Unpaid"/>
  </r>
  <r>
    <s v="AR20228"/>
    <x v="4"/>
    <x v="40"/>
    <d v="2023-08-17T00:00:00"/>
    <n v="4022.7"/>
    <s v="EUR"/>
    <s v="Received"/>
    <d v="2023-08-17T00:00:00"/>
    <s v="Net 45"/>
    <s v="On Time"/>
  </r>
  <r>
    <s v="AR20229"/>
    <x v="4"/>
    <x v="198"/>
    <d v="2023-10-06T00:00:00"/>
    <n v="1973.41"/>
    <s v="CAD"/>
    <s v="Received"/>
    <d v="2023-10-06T00:00:00"/>
    <s v="Net 45"/>
    <s v="On Time"/>
  </r>
  <r>
    <s v="AR20230"/>
    <x v="1"/>
    <x v="199"/>
    <d v="2023-04-11T00:00:00"/>
    <n v="3221.68"/>
    <s v="CAD"/>
    <s v="Open"/>
    <m/>
    <s v="Net 45"/>
    <s v="Unpaid"/>
  </r>
  <r>
    <s v="AR20231"/>
    <x v="2"/>
    <x v="187"/>
    <d v="2023-12-31T00:00:00"/>
    <n v="725.83"/>
    <s v="EUR"/>
    <s v="Received"/>
    <d v="2023-12-31T00:00:00"/>
    <s v="Net 45"/>
    <s v="On Time"/>
  </r>
  <r>
    <s v="AR20232"/>
    <x v="1"/>
    <x v="20"/>
    <d v="2024-09-26T00:00:00"/>
    <n v="3034.61"/>
    <s v="CAD"/>
    <s v="Received"/>
    <d v="2024-09-26T00:00:00"/>
    <s v="Net 45"/>
    <s v="On Time"/>
  </r>
  <r>
    <s v="AR20233"/>
    <x v="0"/>
    <x v="200"/>
    <d v="2024-01-28T00:00:00"/>
    <n v="7652.36"/>
    <s v="CAD"/>
    <s v="Received"/>
    <d v="2024-01-28T00:00:00"/>
    <s v="Net 45"/>
    <s v="On Time"/>
  </r>
  <r>
    <s v="AR20234"/>
    <x v="3"/>
    <x v="201"/>
    <d v="2025-07-04T00:00:00"/>
    <n v="3317.09"/>
    <s v="USD"/>
    <s v="Open"/>
    <m/>
    <s v="Net 45"/>
    <s v="Unpaid"/>
  </r>
  <r>
    <s v="AR20235"/>
    <x v="1"/>
    <x v="202"/>
    <d v="2023-05-12T00:00:00"/>
    <n v="3325.12"/>
    <s v="EUR"/>
    <s v="Open"/>
    <m/>
    <s v="Net 45"/>
    <s v="Unpaid"/>
  </r>
  <r>
    <s v="AR20236"/>
    <x v="3"/>
    <x v="203"/>
    <d v="2025-04-05T00:00:00"/>
    <n v="4585.18"/>
    <s v="USD"/>
    <s v="Partial"/>
    <m/>
    <s v="Net 45"/>
    <s v="Unpaid"/>
  </r>
  <r>
    <s v="AR20237"/>
    <x v="0"/>
    <x v="42"/>
    <d v="2023-12-12T00:00:00"/>
    <n v="6323.5"/>
    <s v="EUR"/>
    <s v="Received"/>
    <d v="2023-12-12T00:00:00"/>
    <s v="Net 45"/>
    <s v="On Time"/>
  </r>
  <r>
    <s v="AR20238"/>
    <x v="2"/>
    <x v="112"/>
    <d v="2023-07-27T00:00:00"/>
    <n v="1165.07"/>
    <s v="GBP"/>
    <s v="Partial"/>
    <m/>
    <s v="Net 45"/>
    <s v="Unpaid"/>
  </r>
  <r>
    <s v="AR20239"/>
    <x v="2"/>
    <x v="204"/>
    <d v="2023-11-30T00:00:00"/>
    <n v="3713.67"/>
    <s v="CAD"/>
    <s v="Received"/>
    <d v="2023-11-30T00:00:00"/>
    <s v="Net 45"/>
    <s v="On Time"/>
  </r>
  <r>
    <s v="AR20240"/>
    <x v="2"/>
    <x v="186"/>
    <d v="2023-06-06T00:00:00"/>
    <n v="1188.28"/>
    <s v="EUR"/>
    <s v="Partial"/>
    <m/>
    <s v="Net 45"/>
    <s v="Unpaid"/>
  </r>
  <r>
    <s v="AR20241"/>
    <x v="3"/>
    <x v="205"/>
    <d v="2024-02-17T00:00:00"/>
    <n v="4578.38"/>
    <s v="AUD"/>
    <s v="Received"/>
    <d v="2024-02-17T00:00:00"/>
    <s v="Net 45"/>
    <s v="On Time"/>
  </r>
  <r>
    <s v="AR20242"/>
    <x v="0"/>
    <x v="206"/>
    <d v="2024-08-23T00:00:00"/>
    <n v="7392.38"/>
    <s v="USD"/>
    <s v="Received"/>
    <d v="2024-08-23T00:00:00"/>
    <s v="Net 45"/>
    <s v="On Time"/>
  </r>
  <r>
    <s v="AR20243"/>
    <x v="3"/>
    <x v="207"/>
    <d v="2023-07-21T00:00:00"/>
    <n v="7767.69"/>
    <s v="USD"/>
    <s v="Received"/>
    <d v="2023-07-21T00:00:00"/>
    <s v="Net 45"/>
    <s v="On Time"/>
  </r>
  <r>
    <s v="AR20244"/>
    <x v="4"/>
    <x v="208"/>
    <d v="2025-03-30T00:00:00"/>
    <n v="534.33000000000004"/>
    <s v="GBP"/>
    <s v="Partial"/>
    <m/>
    <s v="Net 45"/>
    <s v="Unpaid"/>
  </r>
  <r>
    <s v="AR20245"/>
    <x v="0"/>
    <x v="196"/>
    <d v="2024-08-18T00:00:00"/>
    <n v="575.11"/>
    <s v="USD"/>
    <s v="Open"/>
    <m/>
    <s v="Net 45"/>
    <s v="Unpaid"/>
  </r>
  <r>
    <s v="AR20246"/>
    <x v="4"/>
    <x v="209"/>
    <d v="2023-06-15T00:00:00"/>
    <n v="7672.85"/>
    <s v="GBP"/>
    <s v="Partial"/>
    <m/>
    <s v="Net 45"/>
    <s v="Unpaid"/>
  </r>
  <r>
    <s v="AR20247"/>
    <x v="2"/>
    <x v="210"/>
    <d v="2024-04-09T00:00:00"/>
    <n v="4254.22"/>
    <s v="AUD"/>
    <s v="Partial"/>
    <m/>
    <s v="Net 45"/>
    <s v="Unpaid"/>
  </r>
  <r>
    <s v="AR20248"/>
    <x v="4"/>
    <x v="211"/>
    <d v="2024-12-24T00:00:00"/>
    <n v="2760"/>
    <s v="USD"/>
    <s v="Received"/>
    <d v="2024-12-24T00:00:00"/>
    <s v="Net 45"/>
    <s v="On Time"/>
  </r>
  <r>
    <s v="AR20249"/>
    <x v="3"/>
    <x v="212"/>
    <d v="2024-04-04T00:00:00"/>
    <n v="2757.32"/>
    <s v="AUD"/>
    <s v="Open"/>
    <m/>
    <s v="Net 45"/>
    <s v="Unpaid"/>
  </r>
  <r>
    <s v="AR20250"/>
    <x v="1"/>
    <x v="213"/>
    <d v="2024-06-21T00:00:00"/>
    <n v="5389.32"/>
    <s v="USD"/>
    <s v="Open"/>
    <m/>
    <s v="Net 45"/>
    <s v="Unpaid"/>
  </r>
  <r>
    <s v="AR20251"/>
    <x v="3"/>
    <x v="214"/>
    <d v="2024-03-04T00:00:00"/>
    <n v="7153.34"/>
    <s v="EUR"/>
    <s v="Open"/>
    <m/>
    <s v="Net 45"/>
    <s v="Unpaid"/>
  </r>
  <r>
    <s v="AR20252"/>
    <x v="2"/>
    <x v="215"/>
    <d v="2024-04-05T00:00:00"/>
    <n v="2565.52"/>
    <s v="USD"/>
    <s v="Received"/>
    <d v="2024-04-05T00:00:00"/>
    <s v="Net 45"/>
    <s v="On Time"/>
  </r>
  <r>
    <s v="AR20253"/>
    <x v="2"/>
    <x v="216"/>
    <d v="2024-03-18T00:00:00"/>
    <n v="4484.3999999999996"/>
    <s v="EUR"/>
    <s v="Open"/>
    <m/>
    <s v="Net 45"/>
    <s v="Unpaid"/>
  </r>
  <r>
    <s v="AR20254"/>
    <x v="1"/>
    <x v="217"/>
    <d v="2025-04-19T00:00:00"/>
    <n v="2276.46"/>
    <s v="USD"/>
    <s v="Open"/>
    <m/>
    <s v="Net 45"/>
    <s v="Unpaid"/>
  </r>
  <r>
    <s v="AR20255"/>
    <x v="1"/>
    <x v="71"/>
    <d v="2023-11-07T00:00:00"/>
    <n v="3306.6"/>
    <s v="USD"/>
    <s v="Partial"/>
    <m/>
    <s v="Net 45"/>
    <s v="Unpaid"/>
  </r>
  <r>
    <s v="AR20256"/>
    <x v="3"/>
    <x v="218"/>
    <d v="2024-01-05T00:00:00"/>
    <n v="4927.67"/>
    <s v="CAD"/>
    <s v="Open"/>
    <m/>
    <s v="Net 45"/>
    <s v="Unpaid"/>
  </r>
  <r>
    <s v="AR20257"/>
    <x v="3"/>
    <x v="219"/>
    <d v="2024-07-17T00:00:00"/>
    <n v="3912.57"/>
    <s v="AUD"/>
    <s v="Partial"/>
    <m/>
    <s v="Net 45"/>
    <s v="Unpaid"/>
  </r>
  <r>
    <s v="AR20258"/>
    <x v="3"/>
    <x v="220"/>
    <d v="2025-07-22T00:00:00"/>
    <n v="886.79"/>
    <s v="USD"/>
    <s v="Received"/>
    <d v="2025-07-22T00:00:00"/>
    <s v="Net 45"/>
    <s v="On Time"/>
  </r>
  <r>
    <s v="AR20259"/>
    <x v="0"/>
    <x v="221"/>
    <d v="2023-07-10T00:00:00"/>
    <n v="4441.37"/>
    <s v="USD"/>
    <s v="Partial"/>
    <m/>
    <s v="Net 45"/>
    <s v="Unpaid"/>
  </r>
  <r>
    <s v="AR20260"/>
    <x v="3"/>
    <x v="222"/>
    <d v="2025-04-08T00:00:00"/>
    <n v="4160.63"/>
    <s v="EUR"/>
    <s v="Received"/>
    <d v="2025-04-08T00:00:00"/>
    <s v="Net 45"/>
    <s v="On Time"/>
  </r>
  <r>
    <s v="AR20261"/>
    <x v="4"/>
    <x v="223"/>
    <d v="2024-07-03T00:00:00"/>
    <n v="2195.88"/>
    <s v="AUD"/>
    <s v="Received"/>
    <d v="2024-07-03T00:00:00"/>
    <s v="Net 45"/>
    <s v="On Time"/>
  </r>
  <r>
    <s v="AR20262"/>
    <x v="0"/>
    <x v="224"/>
    <d v="2025-07-18T00:00:00"/>
    <n v="7296"/>
    <s v="AUD"/>
    <s v="Open"/>
    <m/>
    <s v="Net 45"/>
    <s v="Unpaid"/>
  </r>
  <r>
    <s v="AR20263"/>
    <x v="1"/>
    <x v="225"/>
    <d v="2024-11-24T00:00:00"/>
    <n v="2844.85"/>
    <s v="AUD"/>
    <s v="Open"/>
    <m/>
    <s v="Net 45"/>
    <s v="Unpaid"/>
  </r>
  <r>
    <s v="AR20264"/>
    <x v="0"/>
    <x v="176"/>
    <d v="2023-04-04T00:00:00"/>
    <n v="3336.12"/>
    <s v="AUD"/>
    <s v="Open"/>
    <m/>
    <s v="Net 45"/>
    <s v="Unpaid"/>
  </r>
  <r>
    <s v="AR20265"/>
    <x v="0"/>
    <x v="226"/>
    <d v="2023-10-27T00:00:00"/>
    <n v="5108.9399999999996"/>
    <s v="AUD"/>
    <s v="Open"/>
    <m/>
    <s v="Net 45"/>
    <s v="Unpaid"/>
  </r>
  <r>
    <s v="AR20266"/>
    <x v="0"/>
    <x v="227"/>
    <d v="2023-03-25T00:00:00"/>
    <n v="3254.83"/>
    <s v="USD"/>
    <s v="Partial"/>
    <m/>
    <s v="Net 45"/>
    <s v="Unpaid"/>
  </r>
  <r>
    <s v="AR20267"/>
    <x v="2"/>
    <x v="228"/>
    <d v="2024-08-10T00:00:00"/>
    <n v="7762.92"/>
    <s v="GBP"/>
    <s v="Received"/>
    <d v="2024-08-10T00:00:00"/>
    <s v="Net 45"/>
    <s v="On Time"/>
  </r>
  <r>
    <s v="AR20268"/>
    <x v="0"/>
    <x v="229"/>
    <d v="2025-03-09T00:00:00"/>
    <n v="1049.32"/>
    <s v="EUR"/>
    <s v="Open"/>
    <m/>
    <s v="Net 45"/>
    <s v="Unpaid"/>
  </r>
  <r>
    <s v="AR20269"/>
    <x v="0"/>
    <x v="230"/>
    <d v="2025-01-20T00:00:00"/>
    <n v="2254.94"/>
    <s v="GBP"/>
    <s v="Received"/>
    <d v="2025-01-20T00:00:00"/>
    <s v="Net 45"/>
    <s v="On Time"/>
  </r>
  <r>
    <s v="AR20270"/>
    <x v="4"/>
    <x v="231"/>
    <d v="2024-02-06T00:00:00"/>
    <n v="7185.54"/>
    <s v="GBP"/>
    <s v="Partial"/>
    <m/>
    <s v="Net 45"/>
    <s v="Unpaid"/>
  </r>
  <r>
    <s v="AR20271"/>
    <x v="4"/>
    <x v="232"/>
    <d v="2024-04-01T00:00:00"/>
    <n v="1472.13"/>
    <s v="CAD"/>
    <s v="Open"/>
    <m/>
    <s v="Net 45"/>
    <s v="Unpaid"/>
  </r>
  <r>
    <s v="AR20272"/>
    <x v="3"/>
    <x v="233"/>
    <d v="2023-06-12T00:00:00"/>
    <n v="5363.52"/>
    <s v="GBP"/>
    <s v="Partial"/>
    <m/>
    <s v="Net 45"/>
    <s v="Unpaid"/>
  </r>
  <r>
    <s v="AR20273"/>
    <x v="1"/>
    <x v="234"/>
    <d v="2024-01-19T00:00:00"/>
    <n v="3298.99"/>
    <s v="AUD"/>
    <s v="Partial"/>
    <m/>
    <s v="Net 45"/>
    <s v="Unpaid"/>
  </r>
  <r>
    <s v="AR20274"/>
    <x v="0"/>
    <x v="104"/>
    <d v="2025-08-07T00:00:00"/>
    <n v="7176.07"/>
    <s v="EUR"/>
    <s v="Open"/>
    <m/>
    <s v="Net 45"/>
    <s v="Unpaid"/>
  </r>
  <r>
    <s v="AR20275"/>
    <x v="3"/>
    <x v="235"/>
    <d v="2025-04-25T00:00:00"/>
    <n v="5173.26"/>
    <s v="USD"/>
    <s v="Received"/>
    <d v="2025-04-25T00:00:00"/>
    <s v="Net 45"/>
    <s v="On Time"/>
  </r>
  <r>
    <s v="AR20276"/>
    <x v="0"/>
    <x v="236"/>
    <d v="2023-07-31T00:00:00"/>
    <n v="6767.83"/>
    <s v="CAD"/>
    <s v="Received"/>
    <d v="2023-07-31T00:00:00"/>
    <s v="Net 45"/>
    <s v="On Time"/>
  </r>
  <r>
    <s v="AR20277"/>
    <x v="1"/>
    <x v="237"/>
    <d v="2025-01-25T00:00:00"/>
    <n v="618.77"/>
    <s v="EUR"/>
    <s v="Open"/>
    <m/>
    <s v="Net 45"/>
    <s v="Unpaid"/>
  </r>
  <r>
    <s v="AR20278"/>
    <x v="4"/>
    <x v="238"/>
    <d v="2024-12-07T00:00:00"/>
    <n v="3945.49"/>
    <s v="AUD"/>
    <s v="Partial"/>
    <m/>
    <s v="Net 45"/>
    <s v="Unpaid"/>
  </r>
  <r>
    <s v="AR20279"/>
    <x v="2"/>
    <x v="156"/>
    <d v="2023-02-16T00:00:00"/>
    <n v="4532.6499999999996"/>
    <s v="AUD"/>
    <s v="Received"/>
    <d v="2023-02-16T00:00:00"/>
    <s v="Net 45"/>
    <s v="On Time"/>
  </r>
  <r>
    <s v="AR20280"/>
    <x v="2"/>
    <x v="239"/>
    <d v="2024-06-09T00:00:00"/>
    <n v="5769.67"/>
    <s v="USD"/>
    <s v="Received"/>
    <d v="2024-06-09T00:00:00"/>
    <s v="Net 45"/>
    <s v="On Time"/>
  </r>
  <r>
    <s v="AR20281"/>
    <x v="1"/>
    <x v="240"/>
    <d v="2023-03-07T00:00:00"/>
    <n v="1912.05"/>
    <s v="CAD"/>
    <s v="Open"/>
    <m/>
    <s v="Net 45"/>
    <s v="Unpaid"/>
  </r>
  <r>
    <s v="AR20282"/>
    <x v="0"/>
    <x v="241"/>
    <d v="2025-01-03T00:00:00"/>
    <n v="5329.48"/>
    <s v="EUR"/>
    <s v="Partial"/>
    <m/>
    <s v="Net 45"/>
    <s v="Unpaid"/>
  </r>
  <r>
    <s v="AR20283"/>
    <x v="0"/>
    <x v="242"/>
    <d v="2024-08-04T00:00:00"/>
    <n v="5287.6"/>
    <s v="GBP"/>
    <s v="Open"/>
    <m/>
    <s v="Net 45"/>
    <s v="Unpaid"/>
  </r>
  <r>
    <s v="AR20284"/>
    <x v="2"/>
    <x v="243"/>
    <d v="2024-10-16T00:00:00"/>
    <n v="4912.0600000000004"/>
    <s v="CAD"/>
    <s v="Open"/>
    <m/>
    <s v="Net 45"/>
    <s v="Unpaid"/>
  </r>
  <r>
    <s v="AR20285"/>
    <x v="1"/>
    <x v="244"/>
    <d v="2025-03-25T00:00:00"/>
    <n v="6804.92"/>
    <s v="EUR"/>
    <s v="Partial"/>
    <m/>
    <s v="Net 45"/>
    <s v="Unpaid"/>
  </r>
  <r>
    <s v="AR20286"/>
    <x v="3"/>
    <x v="245"/>
    <d v="2024-05-18T00:00:00"/>
    <n v="2819.2"/>
    <s v="CAD"/>
    <s v="Partial"/>
    <m/>
    <s v="Net 45"/>
    <s v="Unpaid"/>
  </r>
  <r>
    <s v="AR20287"/>
    <x v="0"/>
    <x v="246"/>
    <d v="2024-02-21T00:00:00"/>
    <n v="4818.12"/>
    <s v="EUR"/>
    <s v="Open"/>
    <m/>
    <s v="Net 45"/>
    <s v="Unpaid"/>
  </r>
  <r>
    <s v="AR20288"/>
    <x v="2"/>
    <x v="247"/>
    <d v="2025-01-12T00:00:00"/>
    <n v="1716.94"/>
    <s v="GBP"/>
    <s v="Received"/>
    <d v="2025-01-12T00:00:00"/>
    <s v="Net 45"/>
    <s v="On Time"/>
  </r>
  <r>
    <s v="AR20289"/>
    <x v="0"/>
    <x v="248"/>
    <d v="2024-12-04T00:00:00"/>
    <n v="6215.27"/>
    <s v="CAD"/>
    <s v="Partial"/>
    <m/>
    <s v="Net 45"/>
    <s v="Unpaid"/>
  </r>
  <r>
    <s v="AR20290"/>
    <x v="1"/>
    <x v="249"/>
    <d v="2025-03-16T00:00:00"/>
    <n v="772.4"/>
    <s v="GBP"/>
    <s v="Partial"/>
    <m/>
    <s v="Net 45"/>
    <s v="Unpaid"/>
  </r>
  <r>
    <s v="AR20291"/>
    <x v="1"/>
    <x v="250"/>
    <d v="2024-03-22T00:00:00"/>
    <n v="5922.14"/>
    <s v="AUD"/>
    <s v="Received"/>
    <d v="2024-03-22T00:00:00"/>
    <s v="Net 45"/>
    <s v="On Time"/>
  </r>
  <r>
    <s v="AR20292"/>
    <x v="1"/>
    <x v="251"/>
    <d v="2025-07-05T00:00:00"/>
    <n v="844.47"/>
    <s v="USD"/>
    <s v="Open"/>
    <m/>
    <s v="Net 45"/>
    <s v="Unpaid"/>
  </r>
  <r>
    <s v="AR20293"/>
    <x v="2"/>
    <x v="252"/>
    <d v="2024-01-12T00:00:00"/>
    <n v="1392.54"/>
    <s v="AUD"/>
    <s v="Open"/>
    <m/>
    <s v="Net 45"/>
    <s v="Unpaid"/>
  </r>
  <r>
    <s v="AR20294"/>
    <x v="4"/>
    <x v="253"/>
    <d v="2025-05-04T00:00:00"/>
    <n v="237.27"/>
    <s v="EUR"/>
    <s v="Received"/>
    <d v="2025-05-04T00:00:00"/>
    <s v="Net 45"/>
    <s v="On Time"/>
  </r>
  <r>
    <s v="AR20295"/>
    <x v="2"/>
    <x v="254"/>
    <d v="2024-03-29T00:00:00"/>
    <n v="2944.07"/>
    <s v="CAD"/>
    <s v="Partial"/>
    <m/>
    <s v="Net 45"/>
    <s v="Unpaid"/>
  </r>
  <r>
    <s v="AR20296"/>
    <x v="0"/>
    <x v="168"/>
    <d v="2023-10-17T00:00:00"/>
    <n v="6013.51"/>
    <s v="CAD"/>
    <s v="Open"/>
    <m/>
    <s v="Net 45"/>
    <s v="Unpaid"/>
  </r>
  <r>
    <s v="AR20297"/>
    <x v="4"/>
    <x v="169"/>
    <d v="2023-03-22T00:00:00"/>
    <n v="1766.81"/>
    <s v="USD"/>
    <s v="Partial"/>
    <m/>
    <s v="Net 45"/>
    <s v="Unpaid"/>
  </r>
  <r>
    <s v="AR20298"/>
    <x v="1"/>
    <x v="31"/>
    <d v="2024-02-01T00:00:00"/>
    <n v="5288.72"/>
    <s v="USD"/>
    <s v="Partial"/>
    <m/>
    <s v="Net 45"/>
    <s v="Unpaid"/>
  </r>
  <r>
    <s v="AR20299"/>
    <x v="0"/>
    <x v="255"/>
    <d v="2024-10-22T00:00:00"/>
    <n v="487.55"/>
    <s v="CAD"/>
    <s v="Open"/>
    <m/>
    <s v="Net 45"/>
    <s v="Unpaid"/>
  </r>
  <r>
    <s v="AR20300"/>
    <x v="0"/>
    <x v="101"/>
    <d v="2023-12-29T00:00:00"/>
    <n v="1910.38"/>
    <s v="AUD"/>
    <s v="Partial"/>
    <m/>
    <s v="Net 45"/>
    <s v="Unpaid"/>
  </r>
  <r>
    <s v="AR20301"/>
    <x v="0"/>
    <x v="256"/>
    <d v="2024-01-20T00:00:00"/>
    <n v="4958.76"/>
    <s v="EUR"/>
    <s v="Received"/>
    <d v="2024-01-20T00:00:00"/>
    <s v="Net 45"/>
    <s v="On Time"/>
  </r>
  <r>
    <s v="AR20302"/>
    <x v="4"/>
    <x v="20"/>
    <d v="2024-09-26T00:00:00"/>
    <n v="6586.64"/>
    <s v="USD"/>
    <s v="Open"/>
    <m/>
    <s v="Net 45"/>
    <s v="Unpaid"/>
  </r>
  <r>
    <s v="AR20303"/>
    <x v="1"/>
    <x v="45"/>
    <d v="2024-12-23T00:00:00"/>
    <n v="7977.51"/>
    <s v="USD"/>
    <s v="Received"/>
    <d v="2024-12-23T00:00:00"/>
    <s v="Net 45"/>
    <s v="On Time"/>
  </r>
  <r>
    <s v="AR20304"/>
    <x v="3"/>
    <x v="257"/>
    <d v="2023-04-02T00:00:00"/>
    <n v="1308.93"/>
    <s v="CAD"/>
    <s v="Partial"/>
    <m/>
    <s v="Net 45"/>
    <s v="Unpaid"/>
  </r>
  <r>
    <s v="AR20305"/>
    <x v="2"/>
    <x v="258"/>
    <d v="2025-06-18T00:00:00"/>
    <n v="3082.75"/>
    <s v="GBP"/>
    <s v="Open"/>
    <m/>
    <s v="Net 45"/>
    <s v="Unpaid"/>
  </r>
  <r>
    <s v="AR20306"/>
    <x v="4"/>
    <x v="259"/>
    <d v="2024-07-20T00:00:00"/>
    <n v="4200.74"/>
    <s v="USD"/>
    <s v="Received"/>
    <d v="2024-07-20T00:00:00"/>
    <s v="Net 45"/>
    <s v="On Time"/>
  </r>
  <r>
    <s v="AR20307"/>
    <x v="0"/>
    <x v="134"/>
    <d v="2025-07-28T00:00:00"/>
    <n v="612.58000000000004"/>
    <s v="CAD"/>
    <s v="Partial"/>
    <m/>
    <s v="Net 45"/>
    <s v="Unpaid"/>
  </r>
  <r>
    <s v="AR20308"/>
    <x v="3"/>
    <x v="260"/>
    <d v="2025-02-03T00:00:00"/>
    <n v="6586.08"/>
    <s v="AUD"/>
    <s v="Open"/>
    <m/>
    <s v="Net 45"/>
    <s v="Unpaid"/>
  </r>
  <r>
    <s v="AR20309"/>
    <x v="1"/>
    <x v="41"/>
    <d v="2023-11-27T00:00:00"/>
    <n v="7135.58"/>
    <s v="GBP"/>
    <s v="Open"/>
    <m/>
    <s v="Net 45"/>
    <s v="Unpaid"/>
  </r>
  <r>
    <s v="AR20310"/>
    <x v="3"/>
    <x v="261"/>
    <d v="2024-12-30T00:00:00"/>
    <n v="3310.59"/>
    <s v="AUD"/>
    <s v="Open"/>
    <m/>
    <s v="Net 45"/>
    <s v="Unpaid"/>
  </r>
  <r>
    <s v="AR20311"/>
    <x v="4"/>
    <x v="262"/>
    <d v="2025-07-20T00:00:00"/>
    <n v="6859.56"/>
    <s v="USD"/>
    <s v="Partial"/>
    <m/>
    <s v="Net 45"/>
    <s v="Unpaid"/>
  </r>
  <r>
    <s v="AR20312"/>
    <x v="2"/>
    <x v="31"/>
    <d v="2024-02-01T00:00:00"/>
    <n v="1915.49"/>
    <s v="CAD"/>
    <s v="Received"/>
    <d v="2024-02-01T00:00:00"/>
    <s v="Net 45"/>
    <s v="On Time"/>
  </r>
  <r>
    <s v="AR20313"/>
    <x v="4"/>
    <x v="70"/>
    <d v="2023-03-16T00:00:00"/>
    <n v="3592.64"/>
    <s v="GBP"/>
    <s v="Received"/>
    <d v="2023-03-16T00:00:00"/>
    <s v="Net 45"/>
    <s v="On Time"/>
  </r>
  <r>
    <s v="AR20314"/>
    <x v="3"/>
    <x v="217"/>
    <d v="2025-04-19T00:00:00"/>
    <n v="3464.1"/>
    <s v="CAD"/>
    <s v="Partial"/>
    <m/>
    <s v="Net 45"/>
    <s v="Unpaid"/>
  </r>
  <r>
    <s v="AR20315"/>
    <x v="4"/>
    <x v="263"/>
    <d v="2025-05-23T00:00:00"/>
    <n v="3713.6"/>
    <s v="AUD"/>
    <s v="Received"/>
    <d v="2025-05-23T00:00:00"/>
    <s v="Net 45"/>
    <s v="On Time"/>
  </r>
  <r>
    <s v="AR20316"/>
    <x v="1"/>
    <x v="38"/>
    <d v="2023-12-15T00:00:00"/>
    <n v="375.36"/>
    <s v="USD"/>
    <s v="Partial"/>
    <m/>
    <s v="Net 45"/>
    <s v="Unpaid"/>
  </r>
  <r>
    <s v="AR20317"/>
    <x v="0"/>
    <x v="264"/>
    <d v="2025-01-05T00:00:00"/>
    <n v="4606.43"/>
    <s v="GBP"/>
    <s v="Open"/>
    <m/>
    <s v="Net 45"/>
    <s v="Unpaid"/>
  </r>
  <r>
    <s v="AR20318"/>
    <x v="0"/>
    <x v="265"/>
    <d v="2023-04-07T00:00:00"/>
    <n v="3956.63"/>
    <s v="EUR"/>
    <s v="Open"/>
    <m/>
    <s v="Net 45"/>
    <s v="Unpaid"/>
  </r>
  <r>
    <s v="AR20319"/>
    <x v="1"/>
    <x v="266"/>
    <d v="2023-06-28T00:00:00"/>
    <n v="6463.15"/>
    <s v="AUD"/>
    <s v="Received"/>
    <d v="2023-06-28T00:00:00"/>
    <s v="Net 45"/>
    <s v="On Time"/>
  </r>
  <r>
    <s v="AR20320"/>
    <x v="2"/>
    <x v="267"/>
    <d v="2023-12-17T00:00:00"/>
    <n v="3131.18"/>
    <s v="USD"/>
    <s v="Open"/>
    <m/>
    <s v="Net 45"/>
    <s v="Unpaid"/>
  </r>
  <r>
    <s v="AR20321"/>
    <x v="2"/>
    <x v="268"/>
    <d v="2023-04-08T00:00:00"/>
    <n v="7443.46"/>
    <s v="GBP"/>
    <s v="Open"/>
    <m/>
    <s v="Net 45"/>
    <s v="Unpaid"/>
  </r>
  <r>
    <s v="AR20322"/>
    <x v="3"/>
    <x v="269"/>
    <d v="2024-03-16T00:00:00"/>
    <n v="3523.63"/>
    <s v="AUD"/>
    <s v="Partial"/>
    <m/>
    <s v="Net 45"/>
    <s v="Unpaid"/>
  </r>
  <r>
    <s v="AR20323"/>
    <x v="1"/>
    <x v="270"/>
    <d v="2024-03-09T00:00:00"/>
    <n v="255.41"/>
    <s v="EUR"/>
    <s v="Partial"/>
    <m/>
    <s v="Net 45"/>
    <s v="Unpaid"/>
  </r>
  <r>
    <s v="AR20324"/>
    <x v="1"/>
    <x v="271"/>
    <d v="2024-09-10T00:00:00"/>
    <n v="7207.55"/>
    <s v="CAD"/>
    <s v="Received"/>
    <d v="2024-09-10T00:00:00"/>
    <s v="Net 45"/>
    <s v="On Time"/>
  </r>
  <r>
    <s v="AR20325"/>
    <x v="0"/>
    <x v="272"/>
    <d v="2025-04-30T00:00:00"/>
    <n v="7774.67"/>
    <s v="AUD"/>
    <s v="Received"/>
    <d v="2025-04-30T00:00:00"/>
    <s v="Net 45"/>
    <s v="On Time"/>
  </r>
  <r>
    <s v="AR20326"/>
    <x v="2"/>
    <x v="273"/>
    <d v="2024-02-14T00:00:00"/>
    <n v="1759.2"/>
    <s v="AUD"/>
    <s v="Open"/>
    <m/>
    <s v="Net 45"/>
    <s v="Unpaid"/>
  </r>
  <r>
    <s v="AR20327"/>
    <x v="4"/>
    <x v="274"/>
    <d v="2024-01-31T00:00:00"/>
    <n v="7446.1"/>
    <s v="AUD"/>
    <s v="Open"/>
    <m/>
    <s v="Net 45"/>
    <s v="Unpaid"/>
  </r>
  <r>
    <s v="AR20328"/>
    <x v="0"/>
    <x v="275"/>
    <d v="2025-02-02T00:00:00"/>
    <n v="5244.86"/>
    <s v="EUR"/>
    <s v="Open"/>
    <m/>
    <s v="Net 45"/>
    <s v="Unpaid"/>
  </r>
  <r>
    <s v="AR20329"/>
    <x v="0"/>
    <x v="210"/>
    <d v="2024-04-09T00:00:00"/>
    <n v="7281.91"/>
    <s v="EUR"/>
    <s v="Partial"/>
    <m/>
    <s v="Net 45"/>
    <s v="Unpaid"/>
  </r>
  <r>
    <s v="AR20330"/>
    <x v="2"/>
    <x v="276"/>
    <d v="2023-06-20T00:00:00"/>
    <n v="1209.49"/>
    <s v="CAD"/>
    <s v="Open"/>
    <m/>
    <s v="Net 45"/>
    <s v="Unpaid"/>
  </r>
  <r>
    <s v="AR20331"/>
    <x v="0"/>
    <x v="277"/>
    <d v="2023-12-07T00:00:00"/>
    <n v="6584.61"/>
    <s v="EUR"/>
    <s v="Partial"/>
    <m/>
    <s v="Net 45"/>
    <s v="Unpaid"/>
  </r>
  <r>
    <s v="AR20332"/>
    <x v="1"/>
    <x v="278"/>
    <d v="2024-03-15T00:00:00"/>
    <n v="4282.2299999999996"/>
    <s v="USD"/>
    <s v="Open"/>
    <m/>
    <s v="Net 45"/>
    <s v="Unpaid"/>
  </r>
  <r>
    <s v="AR20333"/>
    <x v="0"/>
    <x v="279"/>
    <d v="2025-07-30T00:00:00"/>
    <n v="443.26"/>
    <s v="EUR"/>
    <s v="Partial"/>
    <m/>
    <s v="Net 45"/>
    <s v="Unpaid"/>
  </r>
  <r>
    <s v="AR20334"/>
    <x v="0"/>
    <x v="280"/>
    <d v="2023-07-24T00:00:00"/>
    <n v="6477.19"/>
    <s v="AUD"/>
    <s v="Partial"/>
    <m/>
    <s v="Net 45"/>
    <s v="Unpaid"/>
  </r>
  <r>
    <s v="AR20335"/>
    <x v="0"/>
    <x v="281"/>
    <d v="2024-01-21T00:00:00"/>
    <n v="6248.64"/>
    <s v="CAD"/>
    <s v="Received"/>
    <d v="2024-01-21T00:00:00"/>
    <s v="Net 45"/>
    <s v="On Time"/>
  </r>
  <r>
    <s v="AR20336"/>
    <x v="4"/>
    <x v="282"/>
    <d v="2023-11-05T00:00:00"/>
    <n v="5750.64"/>
    <s v="AUD"/>
    <s v="Received"/>
    <d v="2023-11-05T00:00:00"/>
    <s v="Net 45"/>
    <s v="On Time"/>
  </r>
  <r>
    <s v="AR20337"/>
    <x v="4"/>
    <x v="165"/>
    <d v="2024-05-06T00:00:00"/>
    <n v="2160.27"/>
    <s v="USD"/>
    <s v="Partial"/>
    <m/>
    <s v="Net 45"/>
    <s v="Unpaid"/>
  </r>
  <r>
    <s v="AR20338"/>
    <x v="3"/>
    <x v="283"/>
    <d v="2023-12-08T00:00:00"/>
    <n v="7752.81"/>
    <s v="USD"/>
    <s v="Received"/>
    <d v="2023-12-08T00:00:00"/>
    <s v="Net 45"/>
    <s v="On Time"/>
  </r>
  <r>
    <s v="AR20339"/>
    <x v="2"/>
    <x v="284"/>
    <d v="2023-10-12T00:00:00"/>
    <n v="2252.3000000000002"/>
    <s v="USD"/>
    <s v="Open"/>
    <m/>
    <s v="Net 45"/>
    <s v="Unpaid"/>
  </r>
  <r>
    <s v="AR20340"/>
    <x v="2"/>
    <x v="285"/>
    <d v="2023-11-10T00:00:00"/>
    <n v="235.01"/>
    <s v="GBP"/>
    <s v="Open"/>
    <m/>
    <s v="Net 45"/>
    <s v="Unpaid"/>
  </r>
  <r>
    <s v="AR20341"/>
    <x v="2"/>
    <x v="286"/>
    <d v="2024-03-26T00:00:00"/>
    <n v="6828.57"/>
    <s v="GBP"/>
    <s v="Received"/>
    <d v="2024-03-26T00:00:00"/>
    <s v="Net 45"/>
    <s v="On Time"/>
  </r>
  <r>
    <s v="AR20342"/>
    <x v="2"/>
    <x v="287"/>
    <d v="2025-01-21T00:00:00"/>
    <n v="3769.6"/>
    <s v="USD"/>
    <s v="Received"/>
    <d v="2025-01-21T00:00:00"/>
    <s v="Net 45"/>
    <s v="On Time"/>
  </r>
  <r>
    <s v="AR20343"/>
    <x v="3"/>
    <x v="288"/>
    <d v="2024-04-18T00:00:00"/>
    <n v="3315.73"/>
    <s v="GBP"/>
    <s v="Partial"/>
    <m/>
    <s v="Net 45"/>
    <s v="Unpaid"/>
  </r>
  <r>
    <s v="AR20344"/>
    <x v="2"/>
    <x v="211"/>
    <d v="2024-12-24T00:00:00"/>
    <n v="6472.22"/>
    <s v="AUD"/>
    <s v="Partial"/>
    <m/>
    <s v="Net 45"/>
    <s v="Unpaid"/>
  </r>
  <r>
    <s v="AR20345"/>
    <x v="3"/>
    <x v="235"/>
    <d v="2025-04-25T00:00:00"/>
    <n v="3493.6"/>
    <s v="AUD"/>
    <s v="Partial"/>
    <m/>
    <s v="Net 45"/>
    <s v="Unpaid"/>
  </r>
  <r>
    <s v="AR20346"/>
    <x v="4"/>
    <x v="229"/>
    <d v="2025-03-09T00:00:00"/>
    <n v="547.94000000000005"/>
    <s v="AUD"/>
    <s v="Open"/>
    <m/>
    <s v="Net 45"/>
    <s v="Unpaid"/>
  </r>
  <r>
    <s v="AR20347"/>
    <x v="0"/>
    <x v="162"/>
    <d v="2025-01-26T00:00:00"/>
    <n v="5276.49"/>
    <s v="AUD"/>
    <s v="Open"/>
    <m/>
    <s v="Net 45"/>
    <s v="Unpaid"/>
  </r>
  <r>
    <s v="AR20348"/>
    <x v="4"/>
    <x v="289"/>
    <d v="2024-06-04T00:00:00"/>
    <n v="1752.5"/>
    <s v="USD"/>
    <s v="Partial"/>
    <m/>
    <s v="Net 45"/>
    <s v="Unpaid"/>
  </r>
  <r>
    <s v="AR20349"/>
    <x v="4"/>
    <x v="290"/>
    <d v="2025-08-03T00:00:00"/>
    <n v="3580.72"/>
    <s v="AUD"/>
    <s v="Open"/>
    <m/>
    <s v="Net 45"/>
    <s v="Unpaid"/>
  </r>
  <r>
    <s v="AR20350"/>
    <x v="1"/>
    <x v="291"/>
    <d v="2023-10-08T00:00:00"/>
    <n v="6738.75"/>
    <s v="USD"/>
    <s v="Open"/>
    <m/>
    <s v="Net 45"/>
    <s v="Unpaid"/>
  </r>
  <r>
    <s v="AR20351"/>
    <x v="1"/>
    <x v="292"/>
    <d v="2024-05-04T00:00:00"/>
    <n v="4258.67"/>
    <s v="CAD"/>
    <s v="Received"/>
    <d v="2024-05-04T00:00:00"/>
    <s v="Net 45"/>
    <s v="On Time"/>
  </r>
  <r>
    <s v="AR20352"/>
    <x v="1"/>
    <x v="293"/>
    <d v="2024-12-28T00:00:00"/>
    <n v="6586.55"/>
    <s v="AUD"/>
    <s v="Received"/>
    <d v="2024-12-28T00:00:00"/>
    <s v="Net 45"/>
    <s v="On Time"/>
  </r>
  <r>
    <s v="AR20353"/>
    <x v="3"/>
    <x v="30"/>
    <d v="2024-06-29T00:00:00"/>
    <n v="6004.91"/>
    <s v="EUR"/>
    <s v="Open"/>
    <m/>
    <s v="Net 45"/>
    <s v="Unpaid"/>
  </r>
  <r>
    <s v="AR20354"/>
    <x v="1"/>
    <x v="294"/>
    <d v="2023-04-03T00:00:00"/>
    <n v="7397.93"/>
    <s v="USD"/>
    <s v="Partial"/>
    <m/>
    <s v="Net 45"/>
    <s v="Unpaid"/>
  </r>
  <r>
    <s v="AR20355"/>
    <x v="3"/>
    <x v="198"/>
    <d v="2023-10-06T00:00:00"/>
    <n v="3933.54"/>
    <s v="CAD"/>
    <s v="Received"/>
    <d v="2023-10-06T00:00:00"/>
    <s v="Net 45"/>
    <s v="On Time"/>
  </r>
  <r>
    <s v="AR20356"/>
    <x v="4"/>
    <x v="24"/>
    <d v="2023-08-22T00:00:00"/>
    <n v="2855.08"/>
    <s v="GBP"/>
    <s v="Received"/>
    <d v="2023-08-22T00:00:00"/>
    <s v="Net 45"/>
    <s v="On Time"/>
  </r>
  <r>
    <s v="AR20357"/>
    <x v="3"/>
    <x v="295"/>
    <d v="2023-08-01T00:00:00"/>
    <n v="1949.39"/>
    <s v="EUR"/>
    <s v="Received"/>
    <d v="2023-08-01T00:00:00"/>
    <s v="Net 45"/>
    <s v="On Time"/>
  </r>
  <r>
    <s v="AR20358"/>
    <x v="1"/>
    <x v="296"/>
    <d v="2023-11-20T00:00:00"/>
    <n v="6683.45"/>
    <s v="CAD"/>
    <s v="Open"/>
    <m/>
    <s v="Net 45"/>
    <s v="Unpaid"/>
  </r>
  <r>
    <s v="AR20359"/>
    <x v="1"/>
    <x v="246"/>
    <d v="2024-02-21T00:00:00"/>
    <n v="4920.13"/>
    <s v="EUR"/>
    <s v="Received"/>
    <d v="2024-02-21T00:00:00"/>
    <s v="Net 45"/>
    <s v="On Time"/>
  </r>
  <r>
    <s v="AR20360"/>
    <x v="4"/>
    <x v="297"/>
    <d v="2023-11-25T00:00:00"/>
    <n v="6345.32"/>
    <s v="USD"/>
    <s v="Open"/>
    <m/>
    <s v="Net 45"/>
    <s v="Unpaid"/>
  </r>
  <r>
    <s v="AR20361"/>
    <x v="4"/>
    <x v="298"/>
    <d v="2025-06-11T00:00:00"/>
    <n v="5576.91"/>
    <s v="AUD"/>
    <s v="Received"/>
    <d v="2025-06-11T00:00:00"/>
    <s v="Net 45"/>
    <s v="On Time"/>
  </r>
  <r>
    <s v="AR20362"/>
    <x v="0"/>
    <x v="15"/>
    <d v="2025-06-13T00:00:00"/>
    <n v="6384.66"/>
    <s v="AUD"/>
    <s v="Partial"/>
    <m/>
    <s v="Net 45"/>
    <s v="Unpaid"/>
  </r>
  <r>
    <s v="AR20363"/>
    <x v="2"/>
    <x v="299"/>
    <d v="2024-03-20T00:00:00"/>
    <n v="7693.54"/>
    <s v="AUD"/>
    <s v="Partial"/>
    <m/>
    <s v="Net 45"/>
    <s v="Unpaid"/>
  </r>
  <r>
    <s v="AR20364"/>
    <x v="2"/>
    <x v="23"/>
    <d v="2023-10-19T00:00:00"/>
    <n v="6624.35"/>
    <s v="AUD"/>
    <s v="Partial"/>
    <m/>
    <s v="Net 45"/>
    <s v="Unpaid"/>
  </r>
  <r>
    <s v="AR20365"/>
    <x v="3"/>
    <x v="300"/>
    <d v="2025-06-17T00:00:00"/>
    <n v="5486.28"/>
    <s v="EUR"/>
    <s v="Received"/>
    <d v="2025-06-17T00:00:00"/>
    <s v="Net 45"/>
    <s v="On Time"/>
  </r>
  <r>
    <s v="AR20366"/>
    <x v="3"/>
    <x v="301"/>
    <d v="2024-04-23T00:00:00"/>
    <n v="5222.63"/>
    <s v="GBP"/>
    <s v="Received"/>
    <d v="2024-04-23T00:00:00"/>
    <s v="Net 45"/>
    <s v="On Time"/>
  </r>
  <r>
    <s v="AR20367"/>
    <x v="2"/>
    <x v="302"/>
    <d v="2024-03-28T00:00:00"/>
    <n v="7734.3"/>
    <s v="EUR"/>
    <s v="Received"/>
    <d v="2024-03-28T00:00:00"/>
    <s v="Net 45"/>
    <s v="On Time"/>
  </r>
  <r>
    <s v="AR20368"/>
    <x v="4"/>
    <x v="303"/>
    <d v="2023-03-05T00:00:00"/>
    <n v="6594.56"/>
    <s v="CAD"/>
    <s v="Partial"/>
    <m/>
    <s v="Net 45"/>
    <s v="Unpaid"/>
  </r>
  <r>
    <s v="AR20369"/>
    <x v="0"/>
    <x v="304"/>
    <d v="2024-01-17T00:00:00"/>
    <n v="1143.42"/>
    <s v="EUR"/>
    <s v="Open"/>
    <m/>
    <s v="Net 45"/>
    <s v="Unpaid"/>
  </r>
  <r>
    <s v="AR20370"/>
    <x v="3"/>
    <x v="305"/>
    <d v="2025-03-22T00:00:00"/>
    <n v="4928.9399999999996"/>
    <s v="GBP"/>
    <s v="Partial"/>
    <m/>
    <s v="Net 45"/>
    <s v="Unpaid"/>
  </r>
  <r>
    <s v="AR20371"/>
    <x v="4"/>
    <x v="156"/>
    <d v="2023-02-16T00:00:00"/>
    <n v="1440.91"/>
    <s v="CAD"/>
    <s v="Partial"/>
    <m/>
    <s v="Net 45"/>
    <s v="Unpaid"/>
  </r>
  <r>
    <s v="AR20372"/>
    <x v="0"/>
    <x v="306"/>
    <d v="2024-06-16T00:00:00"/>
    <n v="1344.24"/>
    <s v="AUD"/>
    <s v="Received"/>
    <d v="2024-06-16T00:00:00"/>
    <s v="Net 45"/>
    <s v="On Time"/>
  </r>
  <r>
    <s v="AR20373"/>
    <x v="4"/>
    <x v="307"/>
    <d v="2025-01-31T00:00:00"/>
    <n v="7404.05"/>
    <s v="AUD"/>
    <s v="Received"/>
    <d v="2025-01-31T00:00:00"/>
    <s v="Net 45"/>
    <s v="On Time"/>
  </r>
  <r>
    <s v="AR20374"/>
    <x v="0"/>
    <x v="308"/>
    <d v="2023-09-09T00:00:00"/>
    <n v="6282.2"/>
    <s v="USD"/>
    <s v="Received"/>
    <d v="2023-09-09T00:00:00"/>
    <s v="Net 45"/>
    <s v="On Time"/>
  </r>
  <r>
    <s v="AR20375"/>
    <x v="4"/>
    <x v="171"/>
    <d v="2024-07-25T00:00:00"/>
    <n v="1827.23"/>
    <s v="CAD"/>
    <s v="Partial"/>
    <m/>
    <s v="Net 45"/>
    <s v="Unpaid"/>
  </r>
  <r>
    <s v="AR20376"/>
    <x v="4"/>
    <x v="309"/>
    <d v="2023-06-23T00:00:00"/>
    <n v="5781.9"/>
    <s v="EUR"/>
    <s v="Received"/>
    <d v="2023-06-23T00:00:00"/>
    <s v="Net 45"/>
    <s v="On Time"/>
  </r>
  <r>
    <s v="AR20377"/>
    <x v="0"/>
    <x v="310"/>
    <d v="2024-10-21T00:00:00"/>
    <n v="3694.12"/>
    <s v="CAD"/>
    <s v="Open"/>
    <m/>
    <s v="Net 45"/>
    <s v="Unpaid"/>
  </r>
  <r>
    <s v="AR20378"/>
    <x v="4"/>
    <x v="311"/>
    <d v="2024-11-21T00:00:00"/>
    <n v="2959.37"/>
    <s v="AUD"/>
    <s v="Received"/>
    <d v="2024-11-21T00:00:00"/>
    <s v="Net 45"/>
    <s v="On Time"/>
  </r>
  <r>
    <s v="AR20379"/>
    <x v="4"/>
    <x v="312"/>
    <d v="2024-02-24T00:00:00"/>
    <n v="7215.28"/>
    <s v="USD"/>
    <s v="Received"/>
    <d v="2024-02-24T00:00:00"/>
    <s v="Net 45"/>
    <s v="On Time"/>
  </r>
  <r>
    <s v="AR20380"/>
    <x v="3"/>
    <x v="313"/>
    <d v="2024-02-11T00:00:00"/>
    <n v="5960.58"/>
    <s v="USD"/>
    <s v="Received"/>
    <d v="2024-02-11T00:00:00"/>
    <s v="Net 45"/>
    <s v="On Time"/>
  </r>
  <r>
    <s v="AR20381"/>
    <x v="3"/>
    <x v="314"/>
    <d v="2024-06-03T00:00:00"/>
    <n v="1497.93"/>
    <s v="GBP"/>
    <s v="Received"/>
    <d v="2024-06-03T00:00:00"/>
    <s v="Net 45"/>
    <s v="On Time"/>
  </r>
  <r>
    <s v="AR20382"/>
    <x v="4"/>
    <x v="80"/>
    <d v="2024-09-28T00:00:00"/>
    <n v="2691.8"/>
    <s v="AUD"/>
    <s v="Partial"/>
    <m/>
    <s v="Net 45"/>
    <s v="Unpaid"/>
  </r>
  <r>
    <s v="AR20383"/>
    <x v="3"/>
    <x v="315"/>
    <d v="2023-09-24T00:00:00"/>
    <n v="607.58000000000004"/>
    <s v="GBP"/>
    <s v="Open"/>
    <m/>
    <s v="Net 45"/>
    <s v="Unpaid"/>
  </r>
  <r>
    <s v="AR20384"/>
    <x v="3"/>
    <x v="316"/>
    <d v="2023-08-31T00:00:00"/>
    <n v="6330.55"/>
    <s v="EUR"/>
    <s v="Open"/>
    <m/>
    <s v="Net 45"/>
    <s v="Unpaid"/>
  </r>
  <r>
    <s v="AR20385"/>
    <x v="0"/>
    <x v="317"/>
    <d v="2023-06-24T00:00:00"/>
    <n v="3116.61"/>
    <s v="AUD"/>
    <s v="Open"/>
    <m/>
    <s v="Net 45"/>
    <s v="Unpaid"/>
  </r>
  <r>
    <s v="AR20386"/>
    <x v="1"/>
    <x v="240"/>
    <d v="2023-03-07T00:00:00"/>
    <n v="3804.81"/>
    <s v="CAD"/>
    <s v="Open"/>
    <m/>
    <s v="Net 45"/>
    <s v="Unpaid"/>
  </r>
  <r>
    <s v="AR20387"/>
    <x v="4"/>
    <x v="318"/>
    <d v="2023-06-07T00:00:00"/>
    <n v="4514.3"/>
    <s v="AUD"/>
    <s v="Received"/>
    <d v="2023-06-07T00:00:00"/>
    <s v="Net 45"/>
    <s v="On Time"/>
  </r>
  <r>
    <s v="AR20388"/>
    <x v="1"/>
    <x v="319"/>
    <d v="2024-09-08T00:00:00"/>
    <n v="7847.61"/>
    <s v="GBP"/>
    <s v="Open"/>
    <m/>
    <s v="Net 45"/>
    <s v="Unpaid"/>
  </r>
  <r>
    <s v="AR20389"/>
    <x v="4"/>
    <x v="320"/>
    <d v="2023-06-10T00:00:00"/>
    <n v="6567.27"/>
    <s v="USD"/>
    <s v="Partial"/>
    <m/>
    <s v="Net 45"/>
    <s v="Unpaid"/>
  </r>
  <r>
    <s v="AR20390"/>
    <x v="3"/>
    <x v="321"/>
    <d v="2024-05-26T00:00:00"/>
    <n v="993.97"/>
    <s v="USD"/>
    <s v="Received"/>
    <d v="2024-05-26T00:00:00"/>
    <s v="Net 45"/>
    <s v="On Time"/>
  </r>
  <r>
    <s v="AR20391"/>
    <x v="4"/>
    <x v="322"/>
    <d v="2024-07-31T00:00:00"/>
    <n v="1676.02"/>
    <s v="USD"/>
    <s v="Partial"/>
    <m/>
    <s v="Net 45"/>
    <s v="Unpaid"/>
  </r>
  <r>
    <s v="AR20392"/>
    <x v="2"/>
    <x v="323"/>
    <d v="2024-07-18T00:00:00"/>
    <n v="2327.48"/>
    <s v="AUD"/>
    <s v="Open"/>
    <m/>
    <s v="Net 45"/>
    <s v="Unpaid"/>
  </r>
  <r>
    <s v="AR20393"/>
    <x v="4"/>
    <x v="324"/>
    <d v="2025-06-02T00:00:00"/>
    <n v="3446.92"/>
    <s v="AUD"/>
    <s v="Open"/>
    <m/>
    <s v="Net 45"/>
    <s v="Unpaid"/>
  </r>
  <r>
    <s v="AR20394"/>
    <x v="3"/>
    <x v="36"/>
    <d v="2024-09-03T00:00:00"/>
    <n v="7984.68"/>
    <s v="USD"/>
    <s v="Open"/>
    <m/>
    <s v="Net 45"/>
    <s v="Unpaid"/>
  </r>
  <r>
    <s v="AR20395"/>
    <x v="0"/>
    <x v="325"/>
    <d v="2024-03-08T00:00:00"/>
    <n v="6686.26"/>
    <s v="CAD"/>
    <s v="Partial"/>
    <m/>
    <s v="Net 45"/>
    <s v="Unpaid"/>
  </r>
  <r>
    <s v="AR20396"/>
    <x v="0"/>
    <x v="326"/>
    <d v="2025-06-15T00:00:00"/>
    <n v="7289.46"/>
    <s v="USD"/>
    <s v="Open"/>
    <m/>
    <s v="Net 45"/>
    <s v="Unpaid"/>
  </r>
  <r>
    <s v="AR20397"/>
    <x v="4"/>
    <x v="34"/>
    <d v="2025-05-08T00:00:00"/>
    <n v="5288.29"/>
    <s v="GBP"/>
    <s v="Open"/>
    <m/>
    <s v="Net 45"/>
    <s v="Unpaid"/>
  </r>
  <r>
    <s v="AR20398"/>
    <x v="2"/>
    <x v="302"/>
    <d v="2024-03-28T00:00:00"/>
    <n v="5313.93"/>
    <s v="EUR"/>
    <s v="Received"/>
    <d v="2024-03-28T00:00:00"/>
    <s v="Net 45"/>
    <s v="On Time"/>
  </r>
  <r>
    <s v="AR20399"/>
    <x v="3"/>
    <x v="327"/>
    <d v="2024-02-02T00:00:00"/>
    <n v="2428.5300000000002"/>
    <s v="EUR"/>
    <s v="Open"/>
    <m/>
    <s v="Net 45"/>
    <s v="Unpaid"/>
  </r>
  <r>
    <s v="AR20400"/>
    <x v="4"/>
    <x v="328"/>
    <d v="2024-02-22T00:00:00"/>
    <n v="5026.8"/>
    <s v="GBP"/>
    <s v="Received"/>
    <d v="2024-02-22T00:00:00"/>
    <s v="Net 45"/>
    <s v="On Time"/>
  </r>
  <r>
    <s v="AR20401"/>
    <x v="4"/>
    <x v="329"/>
    <d v="2024-04-06T00:00:00"/>
    <n v="5625.72"/>
    <s v="GBP"/>
    <s v="Open"/>
    <m/>
    <s v="Net 45"/>
    <s v="Unpaid"/>
  </r>
  <r>
    <s v="AR20402"/>
    <x v="4"/>
    <x v="330"/>
    <d v="2024-06-01T00:00:00"/>
    <n v="6108.32"/>
    <s v="EUR"/>
    <s v="Received"/>
    <d v="2024-06-01T00:00:00"/>
    <s v="Net 45"/>
    <s v="On Time"/>
  </r>
  <r>
    <s v="AR20403"/>
    <x v="3"/>
    <x v="331"/>
    <d v="2024-12-12T00:00:00"/>
    <n v="2878.51"/>
    <s v="EUR"/>
    <s v="Received"/>
    <d v="2024-12-12T00:00:00"/>
    <s v="Net 45"/>
    <s v="On Time"/>
  </r>
  <r>
    <s v="AR20404"/>
    <x v="2"/>
    <x v="332"/>
    <d v="2023-08-18T00:00:00"/>
    <n v="4123.71"/>
    <s v="GBP"/>
    <s v="Open"/>
    <m/>
    <s v="Net 45"/>
    <s v="Unpaid"/>
  </r>
  <r>
    <s v="AR20405"/>
    <x v="3"/>
    <x v="178"/>
    <d v="2025-07-21T00:00:00"/>
    <n v="6281.96"/>
    <s v="AUD"/>
    <s v="Partial"/>
    <m/>
    <s v="Net 45"/>
    <s v="Unpaid"/>
  </r>
  <r>
    <s v="AR20406"/>
    <x v="0"/>
    <x v="108"/>
    <d v="2024-06-06T00:00:00"/>
    <n v="5969.43"/>
    <s v="CAD"/>
    <s v="Open"/>
    <m/>
    <s v="Net 45"/>
    <s v="Unpaid"/>
  </r>
  <r>
    <s v="AR20407"/>
    <x v="0"/>
    <x v="333"/>
    <d v="2025-02-15T00:00:00"/>
    <n v="1704.24"/>
    <s v="EUR"/>
    <s v="Partial"/>
    <m/>
    <s v="Net 45"/>
    <s v="Unpaid"/>
  </r>
  <r>
    <s v="AR20408"/>
    <x v="1"/>
    <x v="237"/>
    <d v="2025-01-25T00:00:00"/>
    <n v="4385.67"/>
    <s v="EUR"/>
    <s v="Partial"/>
    <m/>
    <s v="Net 45"/>
    <s v="Unpaid"/>
  </r>
  <r>
    <s v="AR20409"/>
    <x v="2"/>
    <x v="334"/>
    <d v="2024-12-18T00:00:00"/>
    <n v="6943.83"/>
    <s v="USD"/>
    <s v="Received"/>
    <d v="2024-12-18T00:00:00"/>
    <s v="Net 45"/>
    <s v="On Time"/>
  </r>
  <r>
    <s v="AR20410"/>
    <x v="1"/>
    <x v="335"/>
    <d v="2023-12-19T00:00:00"/>
    <n v="2227.16"/>
    <s v="AUD"/>
    <s v="Received"/>
    <d v="2023-12-19T00:00:00"/>
    <s v="Net 45"/>
    <s v="On Time"/>
  </r>
  <r>
    <s v="AR20411"/>
    <x v="0"/>
    <x v="192"/>
    <d v="2023-04-12T00:00:00"/>
    <n v="4541.6400000000003"/>
    <s v="GBP"/>
    <s v="Received"/>
    <d v="2023-04-12T00:00:00"/>
    <s v="Net 45"/>
    <s v="On Time"/>
  </r>
  <r>
    <s v="AR20412"/>
    <x v="3"/>
    <x v="145"/>
    <d v="2023-07-12T00:00:00"/>
    <n v="4684.49"/>
    <s v="CAD"/>
    <s v="Received"/>
    <d v="2023-07-12T00:00:00"/>
    <s v="Net 45"/>
    <s v="On Time"/>
  </r>
  <r>
    <s v="AR20413"/>
    <x v="2"/>
    <x v="336"/>
    <d v="2023-12-09T00:00:00"/>
    <n v="2115.17"/>
    <s v="AUD"/>
    <s v="Partial"/>
    <m/>
    <s v="Net 45"/>
    <s v="Unpaid"/>
  </r>
  <r>
    <s v="AR20414"/>
    <x v="1"/>
    <x v="144"/>
    <d v="2025-06-21T00:00:00"/>
    <n v="3323.86"/>
    <s v="USD"/>
    <s v="Open"/>
    <m/>
    <s v="Net 45"/>
    <s v="Unpaid"/>
  </r>
  <r>
    <s v="AR20415"/>
    <x v="2"/>
    <x v="337"/>
    <d v="2024-04-27T00:00:00"/>
    <n v="630.55999999999995"/>
    <s v="EUR"/>
    <s v="Received"/>
    <d v="2024-04-27T00:00:00"/>
    <s v="Net 45"/>
    <s v="On Time"/>
  </r>
  <r>
    <s v="AR20416"/>
    <x v="4"/>
    <x v="73"/>
    <d v="2024-11-29T00:00:00"/>
    <n v="3609.1"/>
    <s v="EUR"/>
    <s v="Open"/>
    <m/>
    <s v="Net 45"/>
    <s v="Unpaid"/>
  </r>
  <r>
    <s v="AR20417"/>
    <x v="0"/>
    <x v="281"/>
    <d v="2024-01-21T00:00:00"/>
    <n v="4482.32"/>
    <s v="USD"/>
    <s v="Received"/>
    <d v="2024-01-21T00:00:00"/>
    <s v="Net 45"/>
    <s v="On Time"/>
  </r>
  <r>
    <s v="AR20418"/>
    <x v="2"/>
    <x v="121"/>
    <d v="2025-07-14T00:00:00"/>
    <n v="3470.79"/>
    <s v="USD"/>
    <s v="Open"/>
    <m/>
    <s v="Net 45"/>
    <s v="Unpaid"/>
  </r>
  <r>
    <s v="AR20419"/>
    <x v="1"/>
    <x v="338"/>
    <d v="2024-02-19T00:00:00"/>
    <n v="6289.6"/>
    <s v="AUD"/>
    <s v="Received"/>
    <d v="2024-02-19T00:00:00"/>
    <s v="Net 45"/>
    <s v="On Time"/>
  </r>
  <r>
    <s v="AR20420"/>
    <x v="1"/>
    <x v="339"/>
    <d v="2024-12-19T00:00:00"/>
    <n v="4991.91"/>
    <s v="AUD"/>
    <s v="Open"/>
    <m/>
    <s v="Net 45"/>
    <s v="Unpaid"/>
  </r>
  <r>
    <s v="AR20421"/>
    <x v="4"/>
    <x v="340"/>
    <d v="2024-04-25T00:00:00"/>
    <n v="2777.5"/>
    <s v="EUR"/>
    <s v="Open"/>
    <m/>
    <s v="Net 45"/>
    <s v="Unpaid"/>
  </r>
  <r>
    <s v="AR20422"/>
    <x v="3"/>
    <x v="9"/>
    <d v="2024-01-25T00:00:00"/>
    <n v="3425.68"/>
    <s v="CAD"/>
    <s v="Received"/>
    <d v="2024-01-25T00:00:00"/>
    <s v="Net 45"/>
    <s v="On Time"/>
  </r>
  <r>
    <s v="AR20423"/>
    <x v="0"/>
    <x v="341"/>
    <d v="2023-05-19T00:00:00"/>
    <n v="2290.34"/>
    <s v="GBP"/>
    <s v="Received"/>
    <d v="2023-05-19T00:00:00"/>
    <s v="Net 45"/>
    <s v="On Time"/>
  </r>
  <r>
    <s v="AR20424"/>
    <x v="0"/>
    <x v="56"/>
    <d v="2025-02-07T00:00:00"/>
    <n v="5290.53"/>
    <s v="CAD"/>
    <s v="Received"/>
    <d v="2025-02-07T00:00:00"/>
    <s v="Net 45"/>
    <s v="On Time"/>
  </r>
  <r>
    <s v="AR20425"/>
    <x v="1"/>
    <x v="342"/>
    <d v="2023-10-23T00:00:00"/>
    <n v="7106.93"/>
    <s v="EUR"/>
    <s v="Partial"/>
    <m/>
    <s v="Net 45"/>
    <s v="Unpaid"/>
  </r>
  <r>
    <s v="AR20426"/>
    <x v="0"/>
    <x v="343"/>
    <d v="2024-11-19T00:00:00"/>
    <n v="5137.3500000000004"/>
    <s v="GBP"/>
    <s v="Open"/>
    <m/>
    <s v="Net 45"/>
    <s v="Unpaid"/>
  </r>
  <r>
    <s v="AR20427"/>
    <x v="4"/>
    <x v="344"/>
    <d v="2024-01-08T00:00:00"/>
    <n v="1913.3"/>
    <s v="USD"/>
    <s v="Received"/>
    <d v="2024-01-08T00:00:00"/>
    <s v="Net 45"/>
    <s v="On Time"/>
  </r>
  <r>
    <s v="AR20428"/>
    <x v="4"/>
    <x v="345"/>
    <d v="2023-02-25T00:00:00"/>
    <n v="691.52"/>
    <s v="GBP"/>
    <s v="Partial"/>
    <m/>
    <s v="Net 45"/>
    <s v="Unpaid"/>
  </r>
  <r>
    <s v="AR20429"/>
    <x v="1"/>
    <x v="281"/>
    <d v="2024-01-21T00:00:00"/>
    <n v="4176.67"/>
    <s v="AUD"/>
    <s v="Open"/>
    <m/>
    <s v="Net 45"/>
    <s v="Unpaid"/>
  </r>
  <r>
    <s v="AR20430"/>
    <x v="4"/>
    <x v="346"/>
    <d v="2023-07-11T00:00:00"/>
    <n v="1480.05"/>
    <s v="EUR"/>
    <s v="Open"/>
    <m/>
    <s v="Net 45"/>
    <s v="Unpaid"/>
  </r>
  <r>
    <s v="AR20431"/>
    <x v="1"/>
    <x v="347"/>
    <d v="2025-07-01T00:00:00"/>
    <n v="6143.97"/>
    <s v="EUR"/>
    <s v="Open"/>
    <m/>
    <s v="Net 45"/>
    <s v="Unpaid"/>
  </r>
  <r>
    <s v="AR20432"/>
    <x v="3"/>
    <x v="250"/>
    <d v="2024-03-22T00:00:00"/>
    <n v="6797.28"/>
    <s v="CAD"/>
    <s v="Open"/>
    <m/>
    <s v="Net 45"/>
    <s v="Unpaid"/>
  </r>
  <r>
    <s v="AR20433"/>
    <x v="4"/>
    <x v="26"/>
    <d v="2023-05-05T00:00:00"/>
    <n v="7109.3"/>
    <s v="EUR"/>
    <s v="Partial"/>
    <m/>
    <s v="Net 45"/>
    <s v="Unpaid"/>
  </r>
  <r>
    <s v="AR20434"/>
    <x v="4"/>
    <x v="236"/>
    <d v="2023-07-31T00:00:00"/>
    <n v="783.4"/>
    <s v="GBP"/>
    <s v="Partial"/>
    <m/>
    <s v="Net 45"/>
    <s v="Unpaid"/>
  </r>
  <r>
    <s v="AR20435"/>
    <x v="1"/>
    <x v="348"/>
    <d v="2025-03-04T00:00:00"/>
    <n v="807.05"/>
    <s v="USD"/>
    <s v="Partial"/>
    <m/>
    <s v="Net 45"/>
    <s v="Unpaid"/>
  </r>
  <r>
    <s v="AR20436"/>
    <x v="1"/>
    <x v="349"/>
    <d v="2024-07-04T00:00:00"/>
    <n v="5687.58"/>
    <s v="CAD"/>
    <s v="Received"/>
    <d v="2024-07-04T00:00:00"/>
    <s v="Net 45"/>
    <s v="On Time"/>
  </r>
  <r>
    <s v="AR20437"/>
    <x v="2"/>
    <x v="321"/>
    <d v="2024-05-26T00:00:00"/>
    <n v="7018.75"/>
    <s v="USD"/>
    <s v="Open"/>
    <m/>
    <s v="Net 45"/>
    <s v="Unpaid"/>
  </r>
  <r>
    <s v="AR20438"/>
    <x v="4"/>
    <x v="350"/>
    <d v="2023-09-27T00:00:00"/>
    <n v="3873.48"/>
    <s v="USD"/>
    <s v="Received"/>
    <d v="2023-09-27T00:00:00"/>
    <s v="Net 45"/>
    <s v="On Time"/>
  </r>
  <r>
    <s v="AR20439"/>
    <x v="4"/>
    <x v="351"/>
    <d v="2025-06-28T00:00:00"/>
    <n v="538.58000000000004"/>
    <s v="EUR"/>
    <s v="Received"/>
    <d v="2025-06-28T00:00:00"/>
    <s v="Net 45"/>
    <s v="On Time"/>
  </r>
  <r>
    <s v="AR20440"/>
    <x v="0"/>
    <x v="276"/>
    <d v="2023-06-20T00:00:00"/>
    <n v="566.46"/>
    <s v="AUD"/>
    <s v="Received"/>
    <d v="2023-06-20T00:00:00"/>
    <s v="Net 45"/>
    <s v="On Time"/>
  </r>
  <r>
    <s v="AR20441"/>
    <x v="0"/>
    <x v="352"/>
    <d v="2025-06-29T00:00:00"/>
    <n v="2303.2399999999998"/>
    <s v="CAD"/>
    <s v="Partial"/>
    <m/>
    <s v="Net 45"/>
    <s v="Unpaid"/>
  </r>
  <r>
    <s v="AR20442"/>
    <x v="0"/>
    <x v="353"/>
    <d v="2023-11-14T00:00:00"/>
    <n v="2906.05"/>
    <s v="AUD"/>
    <s v="Partial"/>
    <m/>
    <s v="Net 45"/>
    <s v="Unpaid"/>
  </r>
  <r>
    <s v="AR20443"/>
    <x v="3"/>
    <x v="354"/>
    <d v="2023-02-21T00:00:00"/>
    <n v="5629.9"/>
    <s v="EUR"/>
    <s v="Received"/>
    <d v="2023-02-21T00:00:00"/>
    <s v="Net 45"/>
    <s v="On Time"/>
  </r>
  <r>
    <s v="AR20444"/>
    <x v="1"/>
    <x v="21"/>
    <d v="2024-08-22T00:00:00"/>
    <n v="1428.87"/>
    <s v="CAD"/>
    <s v="Received"/>
    <d v="2024-08-22T00:00:00"/>
    <s v="Net 45"/>
    <s v="On Time"/>
  </r>
  <r>
    <s v="AR20445"/>
    <x v="1"/>
    <x v="217"/>
    <d v="2025-04-19T00:00:00"/>
    <n v="2726.63"/>
    <s v="GBP"/>
    <s v="Received"/>
    <d v="2025-04-19T00:00:00"/>
    <s v="Net 45"/>
    <s v="On Time"/>
  </r>
  <r>
    <s v="AR20446"/>
    <x v="3"/>
    <x v="355"/>
    <d v="2024-02-13T00:00:00"/>
    <n v="4561.8999999999996"/>
    <s v="USD"/>
    <s v="Partial"/>
    <m/>
    <s v="Net 45"/>
    <s v="Unpaid"/>
  </r>
  <r>
    <s v="AR20447"/>
    <x v="0"/>
    <x v="30"/>
    <d v="2024-06-29T00:00:00"/>
    <n v="6920.67"/>
    <s v="AUD"/>
    <s v="Partial"/>
    <m/>
    <s v="Net 45"/>
    <s v="Unpaid"/>
  </r>
  <r>
    <s v="AR20448"/>
    <x v="3"/>
    <x v="259"/>
    <d v="2024-07-20T00:00:00"/>
    <n v="1154.44"/>
    <s v="AUD"/>
    <s v="Partial"/>
    <m/>
    <s v="Net 45"/>
    <s v="Unpaid"/>
  </r>
  <r>
    <s v="AR20449"/>
    <x v="0"/>
    <x v="356"/>
    <d v="2025-04-28T00:00:00"/>
    <n v="6463.29"/>
    <s v="GBP"/>
    <s v="Received"/>
    <d v="2025-04-28T00:00:00"/>
    <s v="Net 45"/>
    <s v="On Time"/>
  </r>
  <r>
    <s v="AR20450"/>
    <x v="4"/>
    <x v="357"/>
    <d v="2024-11-09T00:00:00"/>
    <n v="2374.91"/>
    <s v="EUR"/>
    <s v="Partial"/>
    <m/>
    <s v="Net 45"/>
    <s v="Unpaid"/>
  </r>
  <r>
    <s v="AR20451"/>
    <x v="0"/>
    <x v="342"/>
    <d v="2023-10-23T00:00:00"/>
    <n v="2984.83"/>
    <s v="AUD"/>
    <s v="Open"/>
    <m/>
    <s v="Net 45"/>
    <s v="Unpaid"/>
  </r>
  <r>
    <s v="AR20452"/>
    <x v="2"/>
    <x v="358"/>
    <d v="2023-05-04T00:00:00"/>
    <n v="5377.36"/>
    <s v="GBP"/>
    <s v="Partial"/>
    <m/>
    <s v="Net 45"/>
    <s v="Unpaid"/>
  </r>
  <r>
    <s v="AR20453"/>
    <x v="2"/>
    <x v="359"/>
    <d v="2024-11-17T00:00:00"/>
    <n v="4366.74"/>
    <s v="EUR"/>
    <s v="Open"/>
    <m/>
    <s v="Net 45"/>
    <s v="Unpaid"/>
  </r>
  <r>
    <s v="AR20454"/>
    <x v="2"/>
    <x v="269"/>
    <d v="2024-03-16T00:00:00"/>
    <n v="2198.7600000000002"/>
    <s v="GBP"/>
    <s v="Partial"/>
    <m/>
    <s v="Net 45"/>
    <s v="Unpaid"/>
  </r>
  <r>
    <s v="AR20455"/>
    <x v="0"/>
    <x v="332"/>
    <d v="2023-08-18T00:00:00"/>
    <n v="2079.5700000000002"/>
    <s v="CAD"/>
    <s v="Open"/>
    <m/>
    <s v="Net 45"/>
    <s v="Unpaid"/>
  </r>
  <r>
    <s v="AR20456"/>
    <x v="4"/>
    <x v="360"/>
    <d v="2024-05-28T00:00:00"/>
    <n v="6720.98"/>
    <s v="AUD"/>
    <s v="Open"/>
    <m/>
    <s v="Net 45"/>
    <s v="Unpaid"/>
  </r>
  <r>
    <s v="AR20457"/>
    <x v="2"/>
    <x v="350"/>
    <d v="2023-09-27T00:00:00"/>
    <n v="1057.5899999999999"/>
    <s v="AUD"/>
    <s v="Partial"/>
    <m/>
    <s v="Net 45"/>
    <s v="Unpaid"/>
  </r>
  <r>
    <s v="AR20458"/>
    <x v="1"/>
    <x v="361"/>
    <d v="2024-03-06T00:00:00"/>
    <n v="2255.79"/>
    <s v="USD"/>
    <s v="Received"/>
    <d v="2024-03-06T00:00:00"/>
    <s v="Net 45"/>
    <s v="On Time"/>
  </r>
  <r>
    <s v="AR20459"/>
    <x v="1"/>
    <x v="362"/>
    <d v="2024-08-27T00:00:00"/>
    <n v="5123.8599999999997"/>
    <s v="USD"/>
    <s v="Partial"/>
    <m/>
    <s v="Net 45"/>
    <s v="Unpaid"/>
  </r>
  <r>
    <s v="AR20460"/>
    <x v="0"/>
    <x v="246"/>
    <d v="2024-02-21T00:00:00"/>
    <n v="6519.59"/>
    <s v="EUR"/>
    <s v="Partial"/>
    <m/>
    <s v="Net 45"/>
    <s v="Unpaid"/>
  </r>
  <r>
    <s v="AR20461"/>
    <x v="1"/>
    <x v="363"/>
    <d v="2025-02-12T00:00:00"/>
    <n v="662.3"/>
    <s v="EUR"/>
    <s v="Received"/>
    <d v="2025-02-12T00:00:00"/>
    <s v="Net 45"/>
    <s v="On Time"/>
  </r>
  <r>
    <s v="AR20462"/>
    <x v="4"/>
    <x v="364"/>
    <d v="2024-06-05T00:00:00"/>
    <n v="1797.3"/>
    <s v="EUR"/>
    <s v="Open"/>
    <m/>
    <s v="Net 45"/>
    <s v="Unpaid"/>
  </r>
  <r>
    <s v="AR20463"/>
    <x v="3"/>
    <x v="365"/>
    <d v="2023-07-01T00:00:00"/>
    <n v="3397.38"/>
    <s v="EUR"/>
    <s v="Received"/>
    <d v="2023-07-01T00:00:00"/>
    <s v="Net 45"/>
    <s v="On Time"/>
  </r>
  <r>
    <s v="AR20464"/>
    <x v="3"/>
    <x v="250"/>
    <d v="2024-03-22T00:00:00"/>
    <n v="3447.69"/>
    <s v="GBP"/>
    <s v="Received"/>
    <d v="2024-03-22T00:00:00"/>
    <s v="Net 45"/>
    <s v="On Time"/>
  </r>
  <r>
    <s v="AR20465"/>
    <x v="4"/>
    <x v="289"/>
    <d v="2024-06-04T00:00:00"/>
    <n v="1445.51"/>
    <s v="GBP"/>
    <s v="Partial"/>
    <m/>
    <s v="Net 45"/>
    <s v="Unpaid"/>
  </r>
  <r>
    <s v="AR20466"/>
    <x v="4"/>
    <x v="366"/>
    <d v="2025-04-21T00:00:00"/>
    <n v="5287.65"/>
    <s v="USD"/>
    <s v="Partial"/>
    <m/>
    <s v="Net 45"/>
    <s v="Unpaid"/>
  </r>
  <r>
    <s v="AR20467"/>
    <x v="1"/>
    <x v="215"/>
    <d v="2024-04-05T00:00:00"/>
    <n v="6849.97"/>
    <s v="AUD"/>
    <s v="Partial"/>
    <m/>
    <s v="Net 45"/>
    <s v="Unpaid"/>
  </r>
  <r>
    <s v="AR20468"/>
    <x v="1"/>
    <x v="367"/>
    <d v="2023-03-19T00:00:00"/>
    <n v="3057.81"/>
    <s v="GBP"/>
    <s v="Open"/>
    <m/>
    <s v="Net 45"/>
    <s v="Unpaid"/>
  </r>
  <r>
    <s v="AR20469"/>
    <x v="2"/>
    <x v="368"/>
    <d v="2024-12-05T00:00:00"/>
    <n v="228.89"/>
    <s v="CAD"/>
    <s v="Received"/>
    <d v="2024-12-05T00:00:00"/>
    <s v="Net 45"/>
    <s v="On Time"/>
  </r>
  <r>
    <s v="AR20470"/>
    <x v="0"/>
    <x v="150"/>
    <d v="2025-04-12T00:00:00"/>
    <n v="2991.8"/>
    <s v="USD"/>
    <s v="Received"/>
    <d v="2025-04-12T00:00:00"/>
    <s v="Net 45"/>
    <s v="On Time"/>
  </r>
  <r>
    <s v="AR20471"/>
    <x v="2"/>
    <x v="369"/>
    <d v="2023-08-05T00:00:00"/>
    <n v="5406.93"/>
    <s v="AUD"/>
    <s v="Open"/>
    <m/>
    <s v="Net 45"/>
    <s v="Unpaid"/>
  </r>
  <r>
    <s v="AR20472"/>
    <x v="0"/>
    <x v="264"/>
    <d v="2025-01-05T00:00:00"/>
    <n v="6854.97"/>
    <s v="USD"/>
    <s v="Partial"/>
    <m/>
    <s v="Net 45"/>
    <s v="Unpaid"/>
  </r>
  <r>
    <s v="AR20473"/>
    <x v="3"/>
    <x v="370"/>
    <d v="2023-03-14T00:00:00"/>
    <n v="877.13"/>
    <s v="EUR"/>
    <s v="Received"/>
    <d v="2023-03-14T00:00:00"/>
    <s v="Net 45"/>
    <s v="On Time"/>
  </r>
  <r>
    <s v="AR20474"/>
    <x v="4"/>
    <x v="18"/>
    <d v="2024-05-24T00:00:00"/>
    <n v="2494.5300000000002"/>
    <s v="EUR"/>
    <s v="Open"/>
    <m/>
    <s v="Net 45"/>
    <s v="Unpaid"/>
  </r>
  <r>
    <s v="AR20475"/>
    <x v="0"/>
    <x v="371"/>
    <d v="2023-05-27T00:00:00"/>
    <n v="3610.15"/>
    <s v="CAD"/>
    <s v="Open"/>
    <m/>
    <s v="Net 45"/>
    <s v="Unpaid"/>
  </r>
  <r>
    <s v="AR20476"/>
    <x v="0"/>
    <x v="20"/>
    <d v="2024-09-26T00:00:00"/>
    <n v="2501.8000000000002"/>
    <s v="GBP"/>
    <s v="Received"/>
    <d v="2024-09-26T00:00:00"/>
    <s v="Net 45"/>
    <s v="On Time"/>
  </r>
  <r>
    <s v="AR20477"/>
    <x v="3"/>
    <x v="292"/>
    <d v="2024-05-04T00:00:00"/>
    <n v="2866.83"/>
    <s v="USD"/>
    <s v="Open"/>
    <m/>
    <s v="Net 45"/>
    <s v="Unpaid"/>
  </r>
  <r>
    <s v="AR20478"/>
    <x v="4"/>
    <x v="101"/>
    <d v="2023-12-29T00:00:00"/>
    <n v="6939.15"/>
    <s v="CAD"/>
    <s v="Open"/>
    <m/>
    <s v="Net 45"/>
    <s v="Unpaid"/>
  </r>
  <r>
    <s v="AR20479"/>
    <x v="3"/>
    <x v="372"/>
    <d v="2023-03-23T00:00:00"/>
    <n v="2509.56"/>
    <s v="EUR"/>
    <s v="Partial"/>
    <m/>
    <s v="Net 45"/>
    <s v="Unpaid"/>
  </r>
  <r>
    <s v="AR20480"/>
    <x v="4"/>
    <x v="366"/>
    <d v="2025-04-21T00:00:00"/>
    <n v="6743.85"/>
    <s v="GBP"/>
    <s v="Received"/>
    <d v="2025-04-21T00:00:00"/>
    <s v="Net 45"/>
    <s v="On Time"/>
  </r>
  <r>
    <s v="AR20481"/>
    <x v="4"/>
    <x v="373"/>
    <d v="2023-07-02T00:00:00"/>
    <n v="1370.41"/>
    <s v="EUR"/>
    <s v="Partial"/>
    <m/>
    <s v="Net 45"/>
    <s v="Unpaid"/>
  </r>
  <r>
    <s v="AR20482"/>
    <x v="0"/>
    <x v="203"/>
    <d v="2025-04-05T00:00:00"/>
    <n v="4623.54"/>
    <s v="EUR"/>
    <s v="Open"/>
    <m/>
    <s v="Net 45"/>
    <s v="Unpaid"/>
  </r>
  <r>
    <s v="AR20483"/>
    <x v="4"/>
    <x v="24"/>
    <d v="2023-08-22T00:00:00"/>
    <n v="2675.9"/>
    <s v="AUD"/>
    <s v="Received"/>
    <d v="2023-08-22T00:00:00"/>
    <s v="Net 45"/>
    <s v="On Time"/>
  </r>
  <r>
    <s v="AR20484"/>
    <x v="4"/>
    <x v="374"/>
    <d v="2024-03-13T00:00:00"/>
    <n v="7985.15"/>
    <s v="AUD"/>
    <s v="Received"/>
    <d v="2024-03-13T00:00:00"/>
    <s v="Net 45"/>
    <s v="On Time"/>
  </r>
  <r>
    <s v="AR20485"/>
    <x v="4"/>
    <x v="375"/>
    <d v="2024-09-18T00:00:00"/>
    <n v="5313.37"/>
    <s v="GBP"/>
    <s v="Open"/>
    <m/>
    <s v="Net 45"/>
    <s v="Unpaid"/>
  </r>
  <r>
    <s v="AR20486"/>
    <x v="4"/>
    <x v="64"/>
    <d v="2023-09-28T00:00:00"/>
    <n v="3408.89"/>
    <s v="GBP"/>
    <s v="Received"/>
    <d v="2023-09-28T00:00:00"/>
    <s v="Net 45"/>
    <s v="On Time"/>
  </r>
  <r>
    <s v="AR20487"/>
    <x v="1"/>
    <x v="376"/>
    <d v="2025-06-07T00:00:00"/>
    <n v="5267.1"/>
    <s v="CAD"/>
    <s v="Received"/>
    <d v="2025-06-07T00:00:00"/>
    <s v="Net 45"/>
    <s v="On Time"/>
  </r>
  <r>
    <s v="AR20488"/>
    <x v="4"/>
    <x v="38"/>
    <d v="2023-12-15T00:00:00"/>
    <n v="4451.7"/>
    <s v="USD"/>
    <s v="Received"/>
    <d v="2023-12-15T00:00:00"/>
    <s v="Net 45"/>
    <s v="On Time"/>
  </r>
  <r>
    <s v="AR20489"/>
    <x v="2"/>
    <x v="377"/>
    <d v="2025-02-09T00:00:00"/>
    <n v="6348.41"/>
    <s v="USD"/>
    <s v="Received"/>
    <d v="2025-02-09T00:00:00"/>
    <s v="Net 45"/>
    <s v="On Time"/>
  </r>
  <r>
    <s v="AR20490"/>
    <x v="0"/>
    <x v="253"/>
    <d v="2025-05-04T00:00:00"/>
    <n v="7924.12"/>
    <s v="AUD"/>
    <s v="Received"/>
    <d v="2025-05-04T00:00:00"/>
    <s v="Net 45"/>
    <s v="On Time"/>
  </r>
  <r>
    <s v="AR20491"/>
    <x v="2"/>
    <x v="267"/>
    <d v="2023-12-17T00:00:00"/>
    <n v="6434.44"/>
    <s v="AUD"/>
    <s v="Partial"/>
    <m/>
    <s v="Net 45"/>
    <s v="Unpaid"/>
  </r>
  <r>
    <s v="AR20492"/>
    <x v="2"/>
    <x v="378"/>
    <d v="2024-07-29T00:00:00"/>
    <n v="2742.6"/>
    <s v="EUR"/>
    <s v="Partial"/>
    <m/>
    <s v="Net 45"/>
    <s v="Unpaid"/>
  </r>
  <r>
    <s v="AR20493"/>
    <x v="4"/>
    <x v="339"/>
    <d v="2024-12-19T00:00:00"/>
    <n v="2495.48"/>
    <s v="AUD"/>
    <s v="Open"/>
    <m/>
    <s v="Net 45"/>
    <s v="Unpaid"/>
  </r>
  <r>
    <s v="AR20494"/>
    <x v="4"/>
    <x v="266"/>
    <d v="2023-06-28T00:00:00"/>
    <n v="4577.08"/>
    <s v="EUR"/>
    <s v="Received"/>
    <d v="2023-06-28T00:00:00"/>
    <s v="Net 45"/>
    <s v="On Time"/>
  </r>
  <r>
    <s v="AR20495"/>
    <x v="1"/>
    <x v="379"/>
    <d v="2023-05-28T00:00:00"/>
    <n v="2137.89"/>
    <s v="AUD"/>
    <s v="Open"/>
    <m/>
    <s v="Net 45"/>
    <s v="Unpaid"/>
  </r>
  <r>
    <s v="AR20496"/>
    <x v="3"/>
    <x v="246"/>
    <d v="2024-02-21T00:00:00"/>
    <n v="6435.43"/>
    <s v="CAD"/>
    <s v="Partial"/>
    <m/>
    <s v="Net 45"/>
    <s v="Unpaid"/>
  </r>
  <r>
    <s v="AR20497"/>
    <x v="1"/>
    <x v="127"/>
    <d v="2023-11-09T00:00:00"/>
    <n v="1273.69"/>
    <s v="CAD"/>
    <s v="Open"/>
    <m/>
    <s v="Net 45"/>
    <s v="Unpaid"/>
  </r>
  <r>
    <s v="AR20498"/>
    <x v="4"/>
    <x v="380"/>
    <d v="2023-11-23T00:00:00"/>
    <n v="343.33"/>
    <s v="AUD"/>
    <s v="Received"/>
    <d v="2023-11-23T00:00:00"/>
    <s v="Net 45"/>
    <s v="On Time"/>
  </r>
  <r>
    <s v="AR20499"/>
    <x v="2"/>
    <x v="381"/>
    <d v="2024-06-07T00:00:00"/>
    <n v="5946.46"/>
    <s v="AUD"/>
    <s v="Received"/>
    <d v="2024-06-07T00:00:00"/>
    <s v="Net 45"/>
    <s v="On Time"/>
  </r>
  <r>
    <s v="AR20500"/>
    <x v="0"/>
    <x v="382"/>
    <d v="2025-06-20T00:00:00"/>
    <n v="5055.62"/>
    <s v="CAD"/>
    <s v="Partial"/>
    <m/>
    <s v="Net 45"/>
    <s v="Unpaid"/>
  </r>
  <r>
    <s v="AR20501"/>
    <x v="4"/>
    <x v="383"/>
    <d v="2023-09-02T00:00:00"/>
    <n v="1629.61"/>
    <s v="EUR"/>
    <s v="Open"/>
    <m/>
    <s v="Net 45"/>
    <s v="Unpaid"/>
  </r>
  <r>
    <s v="AR20502"/>
    <x v="3"/>
    <x v="154"/>
    <d v="2024-04-17T00:00:00"/>
    <n v="6605.12"/>
    <s v="CAD"/>
    <s v="Partial"/>
    <m/>
    <s v="Net 45"/>
    <s v="Unpaid"/>
  </r>
  <r>
    <s v="AR20503"/>
    <x v="0"/>
    <x v="384"/>
    <d v="2023-10-20T00:00:00"/>
    <n v="2497.34"/>
    <s v="AUD"/>
    <s v="Open"/>
    <m/>
    <s v="Net 45"/>
    <s v="Unpaid"/>
  </r>
  <r>
    <s v="AR20504"/>
    <x v="2"/>
    <x v="163"/>
    <d v="2023-08-29T00:00:00"/>
    <n v="6514.17"/>
    <s v="USD"/>
    <s v="Received"/>
    <d v="2023-08-29T00:00:00"/>
    <s v="Net 45"/>
    <s v="On Time"/>
  </r>
  <r>
    <s v="AR20505"/>
    <x v="4"/>
    <x v="385"/>
    <d v="2024-11-13T00:00:00"/>
    <n v="3027.77"/>
    <s v="USD"/>
    <s v="Open"/>
    <m/>
    <s v="Net 45"/>
    <s v="Unpaid"/>
  </r>
  <r>
    <s v="AR20506"/>
    <x v="1"/>
    <x v="212"/>
    <d v="2024-04-04T00:00:00"/>
    <n v="3375.12"/>
    <s v="GBP"/>
    <s v="Received"/>
    <d v="2024-04-04T00:00:00"/>
    <s v="Net 45"/>
    <s v="On Time"/>
  </r>
  <r>
    <s v="AR20507"/>
    <x v="1"/>
    <x v="345"/>
    <d v="2023-02-25T00:00:00"/>
    <n v="7102.62"/>
    <s v="GBP"/>
    <s v="Open"/>
    <m/>
    <s v="Net 45"/>
    <s v="Unpaid"/>
  </r>
  <r>
    <s v="AR20508"/>
    <x v="2"/>
    <x v="386"/>
    <d v="2024-08-31T00:00:00"/>
    <n v="5929.86"/>
    <s v="USD"/>
    <s v="Open"/>
    <m/>
    <s v="Net 45"/>
    <s v="Unpaid"/>
  </r>
  <r>
    <s v="AR20509"/>
    <x v="0"/>
    <x v="387"/>
    <d v="2023-03-13T00:00:00"/>
    <n v="6424.1"/>
    <s v="GBP"/>
    <s v="Partial"/>
    <m/>
    <s v="Net 45"/>
    <s v="Unpaid"/>
  </r>
  <r>
    <s v="AR20510"/>
    <x v="2"/>
    <x v="388"/>
    <d v="2024-10-15T00:00:00"/>
    <n v="4923.67"/>
    <s v="AUD"/>
    <s v="Open"/>
    <m/>
    <s v="Net 45"/>
    <s v="Unpaid"/>
  </r>
  <r>
    <s v="AR20511"/>
    <x v="0"/>
    <x v="249"/>
    <d v="2025-03-16T00:00:00"/>
    <n v="2084.73"/>
    <s v="AUD"/>
    <s v="Received"/>
    <d v="2025-03-16T00:00:00"/>
    <s v="Net 45"/>
    <s v="On Time"/>
  </r>
  <r>
    <s v="AR20512"/>
    <x v="0"/>
    <x v="208"/>
    <d v="2025-03-30T00:00:00"/>
    <n v="6136.43"/>
    <s v="CAD"/>
    <s v="Open"/>
    <m/>
    <s v="Net 45"/>
    <s v="Unpaid"/>
  </r>
  <r>
    <s v="AR20513"/>
    <x v="2"/>
    <x v="257"/>
    <d v="2023-04-02T00:00:00"/>
    <n v="3787.59"/>
    <s v="AUD"/>
    <s v="Received"/>
    <d v="2023-04-02T00:00:00"/>
    <s v="Net 45"/>
    <s v="On Time"/>
  </r>
  <r>
    <s v="AR20514"/>
    <x v="0"/>
    <x v="127"/>
    <d v="2023-11-09T00:00:00"/>
    <n v="6215.44"/>
    <s v="CAD"/>
    <s v="Open"/>
    <m/>
    <s v="Net 45"/>
    <s v="Unpaid"/>
  </r>
  <r>
    <s v="AR20515"/>
    <x v="3"/>
    <x v="303"/>
    <d v="2023-03-05T00:00:00"/>
    <n v="2857.74"/>
    <s v="GBP"/>
    <s v="Partial"/>
    <m/>
    <s v="Net 45"/>
    <s v="Unpaid"/>
  </r>
  <r>
    <s v="AR20516"/>
    <x v="2"/>
    <x v="97"/>
    <d v="2024-05-08T00:00:00"/>
    <n v="4322.01"/>
    <s v="CAD"/>
    <s v="Partial"/>
    <m/>
    <s v="Net 45"/>
    <s v="Unpaid"/>
  </r>
  <r>
    <s v="AR20517"/>
    <x v="0"/>
    <x v="389"/>
    <d v="2025-04-11T00:00:00"/>
    <n v="7905.09"/>
    <s v="CAD"/>
    <s v="Open"/>
    <m/>
    <s v="Net 45"/>
    <s v="Unpaid"/>
  </r>
  <r>
    <s v="AR20518"/>
    <x v="1"/>
    <x v="390"/>
    <d v="2024-04-13T00:00:00"/>
    <n v="743.1"/>
    <s v="CAD"/>
    <s v="Partial"/>
    <m/>
    <s v="Net 45"/>
    <s v="Unpaid"/>
  </r>
  <r>
    <s v="AR20519"/>
    <x v="4"/>
    <x v="391"/>
    <d v="2024-02-20T00:00:00"/>
    <n v="6727.1"/>
    <s v="EUR"/>
    <s v="Partial"/>
    <m/>
    <s v="Net 45"/>
    <s v="Unpaid"/>
  </r>
  <r>
    <s v="AR20520"/>
    <x v="2"/>
    <x v="392"/>
    <d v="2025-07-19T00:00:00"/>
    <n v="917.97"/>
    <s v="AUD"/>
    <s v="Open"/>
    <m/>
    <s v="Net 45"/>
    <s v="Unpaid"/>
  </r>
  <r>
    <s v="AR20521"/>
    <x v="0"/>
    <x v="393"/>
    <d v="2024-09-30T00:00:00"/>
    <n v="1299.6199999999999"/>
    <s v="CAD"/>
    <s v="Partial"/>
    <m/>
    <s v="Net 45"/>
    <s v="Unpaid"/>
  </r>
  <r>
    <s v="AR20522"/>
    <x v="2"/>
    <x v="232"/>
    <d v="2024-04-01T00:00:00"/>
    <n v="2593.81"/>
    <s v="AUD"/>
    <s v="Partial"/>
    <m/>
    <s v="Net 45"/>
    <s v="Unpaid"/>
  </r>
  <r>
    <s v="AR20523"/>
    <x v="1"/>
    <x v="394"/>
    <d v="2025-04-13T00:00:00"/>
    <n v="5910.9"/>
    <s v="GBP"/>
    <s v="Partial"/>
    <m/>
    <s v="Net 45"/>
    <s v="Unpaid"/>
  </r>
  <r>
    <s v="AR20524"/>
    <x v="0"/>
    <x v="9"/>
    <d v="2024-01-25T00:00:00"/>
    <n v="4375.05"/>
    <s v="CAD"/>
    <s v="Open"/>
    <m/>
    <s v="Net 45"/>
    <s v="Unpaid"/>
  </r>
  <r>
    <s v="AR20525"/>
    <x v="3"/>
    <x v="395"/>
    <d v="2023-11-18T00:00:00"/>
    <n v="5454.31"/>
    <s v="AUD"/>
    <s v="Open"/>
    <m/>
    <s v="Net 45"/>
    <s v="Unpaid"/>
  </r>
  <r>
    <s v="AR20526"/>
    <x v="4"/>
    <x v="396"/>
    <d v="2023-07-05T00:00:00"/>
    <n v="7779.62"/>
    <s v="AUD"/>
    <s v="Partial"/>
    <m/>
    <s v="Net 45"/>
    <s v="Unpaid"/>
  </r>
  <r>
    <s v="AR20527"/>
    <x v="4"/>
    <x v="275"/>
    <d v="2025-02-02T00:00:00"/>
    <n v="6732.24"/>
    <s v="EUR"/>
    <s v="Received"/>
    <d v="2025-02-02T00:00:00"/>
    <s v="Net 45"/>
    <s v="On Time"/>
  </r>
  <r>
    <s v="AR20528"/>
    <x v="1"/>
    <x v="218"/>
    <d v="2024-01-05T00:00:00"/>
    <n v="6285.37"/>
    <s v="AUD"/>
    <s v="Partial"/>
    <m/>
    <s v="Net 45"/>
    <s v="Unpaid"/>
  </r>
  <r>
    <s v="AR20529"/>
    <x v="1"/>
    <x v="397"/>
    <d v="2024-07-30T00:00:00"/>
    <n v="6675.34"/>
    <s v="AUD"/>
    <s v="Partial"/>
    <m/>
    <s v="Net 45"/>
    <s v="Unpaid"/>
  </r>
  <r>
    <s v="AR20530"/>
    <x v="3"/>
    <x v="177"/>
    <d v="2023-12-20T00:00:00"/>
    <n v="7318.39"/>
    <s v="USD"/>
    <s v="Received"/>
    <d v="2023-12-20T00:00:00"/>
    <s v="Net 45"/>
    <s v="On Time"/>
  </r>
  <r>
    <s v="AR20531"/>
    <x v="3"/>
    <x v="34"/>
    <d v="2025-05-08T00:00:00"/>
    <n v="5457.96"/>
    <s v="CAD"/>
    <s v="Received"/>
    <d v="2025-05-08T00:00:00"/>
    <s v="Net 45"/>
    <s v="On Time"/>
  </r>
  <r>
    <s v="AR20532"/>
    <x v="3"/>
    <x v="398"/>
    <d v="2023-10-28T00:00:00"/>
    <n v="637.74"/>
    <s v="USD"/>
    <s v="Received"/>
    <d v="2023-10-28T00:00:00"/>
    <s v="Net 45"/>
    <s v="On Time"/>
  </r>
  <r>
    <s v="AR20533"/>
    <x v="2"/>
    <x v="399"/>
    <d v="2025-06-26T00:00:00"/>
    <n v="3320.12"/>
    <s v="EUR"/>
    <s v="Open"/>
    <m/>
    <s v="Net 45"/>
    <s v="Unpaid"/>
  </r>
  <r>
    <s v="AR20534"/>
    <x v="2"/>
    <x v="400"/>
    <d v="2023-08-10T00:00:00"/>
    <n v="3567.1"/>
    <s v="EUR"/>
    <s v="Open"/>
    <m/>
    <s v="Net 45"/>
    <s v="Unpaid"/>
  </r>
  <r>
    <s v="AR20535"/>
    <x v="4"/>
    <x v="12"/>
    <d v="2024-08-07T00:00:00"/>
    <n v="1514.1"/>
    <s v="CAD"/>
    <s v="Partial"/>
    <m/>
    <s v="Net 45"/>
    <s v="Unpaid"/>
  </r>
  <r>
    <s v="AR20536"/>
    <x v="1"/>
    <x v="401"/>
    <d v="2024-09-04T00:00:00"/>
    <n v="5234.6000000000004"/>
    <s v="USD"/>
    <s v="Partial"/>
    <m/>
    <s v="Net 45"/>
    <s v="Unpaid"/>
  </r>
  <r>
    <s v="AR20537"/>
    <x v="3"/>
    <x v="94"/>
    <d v="2024-01-27T00:00:00"/>
    <n v="3441.63"/>
    <s v="USD"/>
    <s v="Open"/>
    <m/>
    <s v="Net 45"/>
    <s v="Unpaid"/>
  </r>
  <r>
    <s v="AR20538"/>
    <x v="0"/>
    <x v="402"/>
    <d v="2023-12-05T00:00:00"/>
    <n v="6507.19"/>
    <s v="CAD"/>
    <s v="Open"/>
    <m/>
    <s v="Net 45"/>
    <s v="Unpaid"/>
  </r>
  <r>
    <s v="AR20539"/>
    <x v="2"/>
    <x v="403"/>
    <d v="2025-04-17T00:00:00"/>
    <n v="3028.92"/>
    <s v="GBP"/>
    <s v="Open"/>
    <m/>
    <s v="Net 45"/>
    <s v="Unpaid"/>
  </r>
  <r>
    <s v="AR20540"/>
    <x v="4"/>
    <x v="226"/>
    <d v="2023-10-27T00:00:00"/>
    <n v="3580.15"/>
    <s v="AUD"/>
    <s v="Received"/>
    <d v="2023-10-27T00:00:00"/>
    <s v="Net 45"/>
    <s v="On Time"/>
  </r>
  <r>
    <s v="AR20541"/>
    <x v="4"/>
    <x v="170"/>
    <d v="2025-04-26T00:00:00"/>
    <n v="6618.18"/>
    <s v="EUR"/>
    <s v="Partial"/>
    <m/>
    <s v="Net 45"/>
    <s v="Unpaid"/>
  </r>
  <r>
    <s v="AR20542"/>
    <x v="2"/>
    <x v="404"/>
    <d v="2024-04-15T00:00:00"/>
    <n v="289.27999999999997"/>
    <s v="AUD"/>
    <s v="Partial"/>
    <m/>
    <s v="Net 45"/>
    <s v="Unpaid"/>
  </r>
  <r>
    <s v="AR20543"/>
    <x v="1"/>
    <x v="61"/>
    <d v="2025-05-27T00:00:00"/>
    <n v="5116.57"/>
    <s v="CAD"/>
    <s v="Partial"/>
    <m/>
    <s v="Net 45"/>
    <s v="Unpaid"/>
  </r>
  <r>
    <s v="AR20544"/>
    <x v="4"/>
    <x v="225"/>
    <d v="2024-11-24T00:00:00"/>
    <n v="3349.7"/>
    <s v="GBP"/>
    <s v="Received"/>
    <d v="2024-11-24T00:00:00"/>
    <s v="Net 45"/>
    <s v="On Time"/>
  </r>
  <r>
    <s v="AR20545"/>
    <x v="0"/>
    <x v="405"/>
    <d v="2024-09-06T00:00:00"/>
    <n v="2650.37"/>
    <s v="GBP"/>
    <s v="Partial"/>
    <m/>
    <s v="Net 45"/>
    <s v="Unpaid"/>
  </r>
  <r>
    <s v="AR20546"/>
    <x v="4"/>
    <x v="406"/>
    <d v="2025-06-06T00:00:00"/>
    <n v="4369.96"/>
    <s v="CAD"/>
    <s v="Open"/>
    <m/>
    <s v="Net 45"/>
    <s v="Unpaid"/>
  </r>
  <r>
    <s v="AR20547"/>
    <x v="2"/>
    <x v="407"/>
    <d v="2025-05-17T00:00:00"/>
    <n v="436.3"/>
    <s v="CAD"/>
    <s v="Partial"/>
    <m/>
    <s v="Net 45"/>
    <s v="Unpaid"/>
  </r>
  <r>
    <s v="AR20548"/>
    <x v="0"/>
    <x v="189"/>
    <d v="2024-03-02T00:00:00"/>
    <n v="2188.6999999999998"/>
    <s v="AUD"/>
    <s v="Partial"/>
    <m/>
    <s v="Net 45"/>
    <s v="Unpaid"/>
  </r>
  <r>
    <s v="AR20549"/>
    <x v="4"/>
    <x v="340"/>
    <d v="2024-04-25T00:00:00"/>
    <n v="5461.99"/>
    <s v="USD"/>
    <s v="Received"/>
    <d v="2024-04-25T00:00:00"/>
    <s v="Net 45"/>
    <s v="On Time"/>
  </r>
  <r>
    <s v="AR20550"/>
    <x v="4"/>
    <x v="408"/>
    <d v="2023-09-20T00:00:00"/>
    <n v="4212.33"/>
    <s v="GBP"/>
    <s v="Partial"/>
    <m/>
    <s v="Net 45"/>
    <s v="Unpaid"/>
  </r>
  <r>
    <s v="AR20551"/>
    <x v="3"/>
    <x v="139"/>
    <d v="2024-11-28T00:00:00"/>
    <n v="5357.53"/>
    <s v="USD"/>
    <s v="Open"/>
    <m/>
    <s v="Net 45"/>
    <s v="Unpaid"/>
  </r>
  <r>
    <s v="AR20552"/>
    <x v="4"/>
    <x v="108"/>
    <d v="2024-06-06T00:00:00"/>
    <n v="3853.52"/>
    <s v="GBP"/>
    <s v="Open"/>
    <m/>
    <s v="Net 45"/>
    <s v="Unpaid"/>
  </r>
  <r>
    <s v="AR20553"/>
    <x v="3"/>
    <x v="409"/>
    <d v="2023-04-20T00:00:00"/>
    <n v="3722.35"/>
    <s v="AUD"/>
    <s v="Received"/>
    <d v="2023-04-20T00:00:00"/>
    <s v="Net 45"/>
    <s v="On Time"/>
  </r>
  <r>
    <s v="AR20554"/>
    <x v="0"/>
    <x v="410"/>
    <d v="2023-04-25T00:00:00"/>
    <n v="6667.79"/>
    <s v="CAD"/>
    <s v="Open"/>
    <m/>
    <s v="Net 45"/>
    <s v="Unpaid"/>
  </r>
  <r>
    <s v="AR20555"/>
    <x v="4"/>
    <x v="9"/>
    <d v="2024-01-25T00:00:00"/>
    <n v="939.96"/>
    <s v="AUD"/>
    <s v="Received"/>
    <d v="2024-01-25T00:00:00"/>
    <s v="Net 45"/>
    <s v="On Time"/>
  </r>
  <r>
    <s v="AR20556"/>
    <x v="1"/>
    <x v="42"/>
    <d v="2023-12-12T00:00:00"/>
    <n v="3429.97"/>
    <s v="EUR"/>
    <s v="Partial"/>
    <m/>
    <s v="Net 45"/>
    <s v="Unpaid"/>
  </r>
  <r>
    <s v="AR20557"/>
    <x v="2"/>
    <x v="411"/>
    <d v="2025-07-16T00:00:00"/>
    <n v="2696.48"/>
    <s v="AUD"/>
    <s v="Partial"/>
    <m/>
    <s v="Net 45"/>
    <s v="Unpaid"/>
  </r>
  <r>
    <s v="AR20558"/>
    <x v="4"/>
    <x v="412"/>
    <d v="2023-11-02T00:00:00"/>
    <n v="2767.09"/>
    <s v="GBP"/>
    <s v="Open"/>
    <m/>
    <s v="Net 45"/>
    <s v="Unpaid"/>
  </r>
  <r>
    <s v="AR20559"/>
    <x v="4"/>
    <x v="186"/>
    <d v="2023-06-06T00:00:00"/>
    <n v="7836.25"/>
    <s v="CAD"/>
    <s v="Received"/>
    <d v="2023-06-06T00:00:00"/>
    <s v="Net 45"/>
    <s v="On Time"/>
  </r>
  <r>
    <s v="AR20560"/>
    <x v="2"/>
    <x v="342"/>
    <d v="2023-10-23T00:00:00"/>
    <n v="2776.14"/>
    <s v="EUR"/>
    <s v="Partial"/>
    <m/>
    <s v="Net 45"/>
    <s v="Unpaid"/>
  </r>
  <r>
    <s v="AR20561"/>
    <x v="2"/>
    <x v="126"/>
    <d v="2023-11-12T00:00:00"/>
    <n v="4256.9399999999996"/>
    <s v="GBP"/>
    <s v="Open"/>
    <m/>
    <s v="Net 45"/>
    <s v="Unpaid"/>
  </r>
  <r>
    <s v="AR20562"/>
    <x v="3"/>
    <x v="413"/>
    <d v="2023-04-09T00:00:00"/>
    <n v="7675.1"/>
    <s v="EUR"/>
    <s v="Partial"/>
    <m/>
    <s v="Net 45"/>
    <s v="Unpaid"/>
  </r>
  <r>
    <s v="AR20563"/>
    <x v="2"/>
    <x v="216"/>
    <d v="2024-03-18T00:00:00"/>
    <n v="1561.55"/>
    <s v="CAD"/>
    <s v="Partial"/>
    <m/>
    <s v="Net 45"/>
    <s v="Unpaid"/>
  </r>
  <r>
    <s v="AR20564"/>
    <x v="2"/>
    <x v="177"/>
    <d v="2023-12-20T00:00:00"/>
    <n v="3208.62"/>
    <s v="AUD"/>
    <s v="Received"/>
    <d v="2023-12-20T00:00:00"/>
    <s v="Net 45"/>
    <s v="On Time"/>
  </r>
  <r>
    <s v="AR20565"/>
    <x v="0"/>
    <x v="414"/>
    <d v="2025-07-27T00:00:00"/>
    <n v="5171.99"/>
    <s v="GBP"/>
    <s v="Partial"/>
    <m/>
    <s v="Net 45"/>
    <s v="Unpaid"/>
  </r>
  <r>
    <s v="AR20566"/>
    <x v="1"/>
    <x v="415"/>
    <d v="2024-12-10T00:00:00"/>
    <n v="6132.23"/>
    <s v="CAD"/>
    <s v="Open"/>
    <m/>
    <s v="Net 45"/>
    <s v="Unpaid"/>
  </r>
  <r>
    <s v="AR20567"/>
    <x v="4"/>
    <x v="416"/>
    <d v="2023-08-21T00:00:00"/>
    <n v="5228.9399999999996"/>
    <s v="USD"/>
    <s v="Partial"/>
    <m/>
    <s v="Net 45"/>
    <s v="Unpaid"/>
  </r>
  <r>
    <s v="AR20568"/>
    <x v="1"/>
    <x v="417"/>
    <d v="2024-07-22T00:00:00"/>
    <n v="2406.41"/>
    <s v="USD"/>
    <s v="Open"/>
    <m/>
    <s v="Net 45"/>
    <s v="Unpaid"/>
  </r>
  <r>
    <s v="AR20569"/>
    <x v="2"/>
    <x v="105"/>
    <d v="2024-04-21T00:00:00"/>
    <n v="7118.9"/>
    <s v="EUR"/>
    <s v="Partial"/>
    <m/>
    <s v="Net 45"/>
    <s v="Unpaid"/>
  </r>
  <r>
    <s v="AR20570"/>
    <x v="0"/>
    <x v="418"/>
    <d v="2025-08-12T00:00:00"/>
    <n v="2548.35"/>
    <s v="CAD"/>
    <s v="Open"/>
    <m/>
    <s v="Net 45"/>
    <s v="Unpaid"/>
  </r>
  <r>
    <s v="AR20571"/>
    <x v="3"/>
    <x v="419"/>
    <d v="2024-08-19T00:00:00"/>
    <n v="5346.99"/>
    <s v="GBP"/>
    <s v="Partial"/>
    <m/>
    <s v="Net 45"/>
    <s v="Unpaid"/>
  </r>
  <r>
    <s v="AR20572"/>
    <x v="4"/>
    <x v="245"/>
    <d v="2024-05-18T00:00:00"/>
    <n v="2614.7199999999998"/>
    <s v="USD"/>
    <s v="Received"/>
    <d v="2024-05-18T00:00:00"/>
    <s v="Net 45"/>
    <s v="On Time"/>
  </r>
  <r>
    <s v="AR20573"/>
    <x v="0"/>
    <x v="420"/>
    <d v="2024-04-11T00:00:00"/>
    <n v="332.76"/>
    <s v="CAD"/>
    <s v="Partial"/>
    <m/>
    <s v="Net 45"/>
    <s v="Unpaid"/>
  </r>
  <r>
    <s v="AR20574"/>
    <x v="0"/>
    <x v="337"/>
    <d v="2024-04-27T00:00:00"/>
    <n v="2362.15"/>
    <s v="USD"/>
    <s v="Received"/>
    <d v="2024-04-27T00:00:00"/>
    <s v="Net 45"/>
    <s v="On Time"/>
  </r>
  <r>
    <s v="AR20575"/>
    <x v="2"/>
    <x v="421"/>
    <d v="2023-07-07T00:00:00"/>
    <n v="4512.25"/>
    <s v="AUD"/>
    <s v="Received"/>
    <d v="2023-07-07T00:00:00"/>
    <s v="Net 45"/>
    <s v="On Time"/>
  </r>
  <r>
    <s v="AR20576"/>
    <x v="2"/>
    <x v="422"/>
    <d v="2024-08-01T00:00:00"/>
    <n v="5745.66"/>
    <s v="AUD"/>
    <s v="Received"/>
    <d v="2024-08-01T00:00:00"/>
    <s v="Net 45"/>
    <s v="On Time"/>
  </r>
  <r>
    <s v="AR20577"/>
    <x v="0"/>
    <x v="423"/>
    <d v="2025-03-21T00:00:00"/>
    <n v="1607"/>
    <s v="USD"/>
    <s v="Open"/>
    <m/>
    <s v="Net 45"/>
    <s v="Unpaid"/>
  </r>
  <r>
    <s v="AR20578"/>
    <x v="1"/>
    <x v="424"/>
    <d v="2025-07-13T00:00:00"/>
    <n v="7427.79"/>
    <s v="GBP"/>
    <s v="Received"/>
    <d v="2025-07-13T00:00:00"/>
    <s v="Net 45"/>
    <s v="On Time"/>
  </r>
  <r>
    <s v="AR20579"/>
    <x v="4"/>
    <x v="355"/>
    <d v="2024-02-13T00:00:00"/>
    <n v="6670.94"/>
    <s v="AUD"/>
    <s v="Received"/>
    <d v="2024-02-13T00:00:00"/>
    <s v="Net 45"/>
    <s v="On Time"/>
  </r>
  <r>
    <s v="AR20580"/>
    <x v="0"/>
    <x v="354"/>
    <d v="2023-02-21T00:00:00"/>
    <n v="2177.16"/>
    <s v="USD"/>
    <s v="Open"/>
    <m/>
    <s v="Net 45"/>
    <s v="Unpaid"/>
  </r>
  <r>
    <s v="AR20581"/>
    <x v="3"/>
    <x v="39"/>
    <d v="2023-09-19T00:00:00"/>
    <n v="5300.97"/>
    <s v="USD"/>
    <s v="Received"/>
    <d v="2023-09-19T00:00:00"/>
    <s v="Net 45"/>
    <s v="On Time"/>
  </r>
  <r>
    <s v="AR20582"/>
    <x v="2"/>
    <x v="425"/>
    <d v="2025-05-29T00:00:00"/>
    <n v="1242.32"/>
    <s v="GBP"/>
    <s v="Partial"/>
    <m/>
    <s v="Net 45"/>
    <s v="Unpaid"/>
  </r>
  <r>
    <s v="AR20583"/>
    <x v="2"/>
    <x v="426"/>
    <d v="2025-03-05T00:00:00"/>
    <n v="4115.6400000000003"/>
    <s v="CAD"/>
    <s v="Open"/>
    <m/>
    <s v="Net 45"/>
    <s v="Unpaid"/>
  </r>
  <r>
    <s v="AR20584"/>
    <x v="1"/>
    <x v="211"/>
    <d v="2024-12-24T00:00:00"/>
    <n v="7260.77"/>
    <s v="USD"/>
    <s v="Partial"/>
    <m/>
    <s v="Net 45"/>
    <s v="Unpaid"/>
  </r>
  <r>
    <s v="AR20585"/>
    <x v="0"/>
    <x v="427"/>
    <d v="2024-07-12T00:00:00"/>
    <n v="3015.47"/>
    <s v="CAD"/>
    <s v="Received"/>
    <d v="2024-07-12T00:00:00"/>
    <s v="Net 45"/>
    <s v="On Time"/>
  </r>
  <r>
    <s v="AR20586"/>
    <x v="4"/>
    <x v="428"/>
    <d v="2023-03-28T00:00:00"/>
    <n v="6294.93"/>
    <s v="EUR"/>
    <s v="Partial"/>
    <m/>
    <s v="Net 45"/>
    <s v="Unpaid"/>
  </r>
  <r>
    <s v="AR20587"/>
    <x v="1"/>
    <x v="33"/>
    <d v="2024-01-07T00:00:00"/>
    <n v="4468.68"/>
    <s v="GBP"/>
    <s v="Open"/>
    <m/>
    <s v="Net 45"/>
    <s v="Unpaid"/>
  </r>
  <r>
    <s v="AR20588"/>
    <x v="1"/>
    <x v="283"/>
    <d v="2023-12-08T00:00:00"/>
    <n v="240.09"/>
    <s v="GBP"/>
    <s v="Open"/>
    <m/>
    <s v="Net 45"/>
    <s v="Unpaid"/>
  </r>
  <r>
    <s v="AR20589"/>
    <x v="3"/>
    <x v="429"/>
    <d v="2025-07-10T00:00:00"/>
    <n v="7050.65"/>
    <s v="AUD"/>
    <s v="Received"/>
    <d v="2025-07-10T00:00:00"/>
    <s v="Net 45"/>
    <s v="On Time"/>
  </r>
  <r>
    <s v="AR20590"/>
    <x v="2"/>
    <x v="229"/>
    <d v="2025-03-09T00:00:00"/>
    <n v="4117.13"/>
    <s v="CAD"/>
    <s v="Received"/>
    <d v="2025-03-09T00:00:00"/>
    <s v="Net 45"/>
    <s v="On Time"/>
  </r>
  <r>
    <s v="AR20591"/>
    <x v="2"/>
    <x v="430"/>
    <d v="2024-07-02T00:00:00"/>
    <n v="2054.09"/>
    <s v="AUD"/>
    <s v="Received"/>
    <d v="2024-07-02T00:00:00"/>
    <s v="Net 45"/>
    <s v="On Time"/>
  </r>
  <r>
    <s v="AR20592"/>
    <x v="1"/>
    <x v="161"/>
    <d v="2024-09-20T00:00:00"/>
    <n v="5527.3"/>
    <s v="EUR"/>
    <s v="Open"/>
    <m/>
    <s v="Net 45"/>
    <s v="Unpaid"/>
  </r>
  <r>
    <s v="AR20593"/>
    <x v="2"/>
    <x v="264"/>
    <d v="2025-01-05T00:00:00"/>
    <n v="3629.15"/>
    <s v="GBP"/>
    <s v="Open"/>
    <m/>
    <s v="Net 45"/>
    <s v="Unpaid"/>
  </r>
  <r>
    <s v="AR20594"/>
    <x v="3"/>
    <x v="431"/>
    <d v="2023-10-14T00:00:00"/>
    <n v="1194.05"/>
    <s v="CAD"/>
    <s v="Partial"/>
    <m/>
    <s v="Net 45"/>
    <s v="Unpaid"/>
  </r>
  <r>
    <s v="AR20595"/>
    <x v="2"/>
    <x v="399"/>
    <d v="2025-06-26T00:00:00"/>
    <n v="1885.59"/>
    <s v="AUD"/>
    <s v="Received"/>
    <d v="2025-06-26T00:00:00"/>
    <s v="Net 45"/>
    <s v="On Time"/>
  </r>
  <r>
    <s v="AR20596"/>
    <x v="4"/>
    <x v="432"/>
    <d v="2024-09-05T00:00:00"/>
    <n v="5091.8900000000003"/>
    <s v="USD"/>
    <s v="Partial"/>
    <m/>
    <s v="Net 45"/>
    <s v="Unpaid"/>
  </r>
  <r>
    <s v="AR20597"/>
    <x v="2"/>
    <x v="433"/>
    <d v="2024-09-22T00:00:00"/>
    <n v="6072.8"/>
    <s v="AUD"/>
    <s v="Open"/>
    <m/>
    <s v="Net 45"/>
    <s v="Unpaid"/>
  </r>
  <r>
    <s v="AR20598"/>
    <x v="3"/>
    <x v="54"/>
    <d v="2024-08-21T00:00:00"/>
    <n v="4904.74"/>
    <s v="USD"/>
    <s v="Open"/>
    <m/>
    <s v="Net 45"/>
    <s v="Unpaid"/>
  </r>
  <r>
    <s v="AR20599"/>
    <x v="1"/>
    <x v="55"/>
    <d v="2023-08-30T00:00:00"/>
    <n v="6631.88"/>
    <s v="EUR"/>
    <s v="Received"/>
    <d v="2023-08-30T00:00:00"/>
    <s v="Net 45"/>
    <s v="On Time"/>
  </r>
  <r>
    <s v="AR20600"/>
    <x v="2"/>
    <x v="434"/>
    <d v="2024-04-02T00:00:00"/>
    <n v="4297.46"/>
    <s v="USD"/>
    <s v="Partial"/>
    <m/>
    <s v="Net 45"/>
    <s v="Unpaid"/>
  </r>
  <r>
    <s v="AR20601"/>
    <x v="0"/>
    <x v="385"/>
    <d v="2024-11-13T00:00:00"/>
    <n v="6265.82"/>
    <s v="USD"/>
    <s v="Open"/>
    <m/>
    <s v="Net 45"/>
    <s v="Unpaid"/>
  </r>
  <r>
    <s v="AR20602"/>
    <x v="3"/>
    <x v="435"/>
    <d v="2024-04-16T00:00:00"/>
    <n v="1336.98"/>
    <s v="EUR"/>
    <s v="Received"/>
    <d v="2024-04-16T00:00:00"/>
    <s v="Net 45"/>
    <s v="On Time"/>
  </r>
  <r>
    <s v="AR20603"/>
    <x v="0"/>
    <x v="436"/>
    <d v="2023-08-04T00:00:00"/>
    <n v="2594.04"/>
    <s v="USD"/>
    <s v="Open"/>
    <m/>
    <s v="Net 45"/>
    <s v="Unpaid"/>
  </r>
  <r>
    <s v="AR20604"/>
    <x v="3"/>
    <x v="437"/>
    <d v="2024-02-29T00:00:00"/>
    <n v="3492.88"/>
    <s v="GBP"/>
    <s v="Partial"/>
    <m/>
    <s v="Net 45"/>
    <s v="Unpaid"/>
  </r>
  <r>
    <s v="AR20605"/>
    <x v="0"/>
    <x v="326"/>
    <d v="2025-06-15T00:00:00"/>
    <n v="6733.21"/>
    <s v="EUR"/>
    <s v="Partial"/>
    <m/>
    <s v="Net 45"/>
    <s v="Unpaid"/>
  </r>
  <r>
    <s v="AR20606"/>
    <x v="4"/>
    <x v="438"/>
    <d v="2024-02-28T00:00:00"/>
    <n v="392.35"/>
    <s v="GBP"/>
    <s v="Partial"/>
    <m/>
    <s v="Net 45"/>
    <s v="Unpaid"/>
  </r>
  <r>
    <s v="AR20607"/>
    <x v="2"/>
    <x v="97"/>
    <d v="2024-05-08T00:00:00"/>
    <n v="372.39"/>
    <s v="CAD"/>
    <s v="Open"/>
    <m/>
    <s v="Net 45"/>
    <s v="Unpaid"/>
  </r>
  <r>
    <s v="AR20608"/>
    <x v="4"/>
    <x v="246"/>
    <d v="2024-02-21T00:00:00"/>
    <n v="5066.4799999999996"/>
    <s v="GBP"/>
    <s v="Partial"/>
    <m/>
    <s v="Net 45"/>
    <s v="Unpaid"/>
  </r>
  <r>
    <s v="AR20609"/>
    <x v="0"/>
    <x v="128"/>
    <d v="2025-07-11T00:00:00"/>
    <n v="2397.25"/>
    <s v="CAD"/>
    <s v="Open"/>
    <m/>
    <s v="Net 45"/>
    <s v="Unpaid"/>
  </r>
  <r>
    <s v="AR20610"/>
    <x v="1"/>
    <x v="439"/>
    <d v="2023-08-27T00:00:00"/>
    <n v="1999.63"/>
    <s v="EUR"/>
    <s v="Open"/>
    <m/>
    <s v="Net 45"/>
    <s v="Unpaid"/>
  </r>
  <r>
    <s v="AR20611"/>
    <x v="4"/>
    <x v="440"/>
    <d v="2025-01-22T00:00:00"/>
    <n v="1154.49"/>
    <s v="USD"/>
    <s v="Received"/>
    <d v="2025-01-22T00:00:00"/>
    <s v="Net 45"/>
    <s v="On Time"/>
  </r>
  <r>
    <s v="AR20612"/>
    <x v="2"/>
    <x v="441"/>
    <d v="2023-06-04T00:00:00"/>
    <n v="594.48"/>
    <s v="USD"/>
    <s v="Open"/>
    <m/>
    <s v="Net 45"/>
    <s v="Unpaid"/>
  </r>
  <r>
    <s v="AR20613"/>
    <x v="1"/>
    <x v="226"/>
    <d v="2023-10-27T00:00:00"/>
    <n v="6539.17"/>
    <s v="AUD"/>
    <s v="Partial"/>
    <m/>
    <s v="Net 45"/>
    <s v="Unpaid"/>
  </r>
  <r>
    <s v="AR20614"/>
    <x v="1"/>
    <x v="442"/>
    <d v="2024-05-17T00:00:00"/>
    <n v="6898.03"/>
    <s v="GBP"/>
    <s v="Open"/>
    <m/>
    <s v="Net 45"/>
    <s v="Unpaid"/>
  </r>
  <r>
    <s v="AR20615"/>
    <x v="0"/>
    <x v="443"/>
    <d v="2024-02-27T00:00:00"/>
    <n v="1278.8699999999999"/>
    <s v="USD"/>
    <s v="Open"/>
    <m/>
    <s v="Net 45"/>
    <s v="Unpaid"/>
  </r>
  <r>
    <s v="AR20616"/>
    <x v="0"/>
    <x v="324"/>
    <d v="2025-06-02T00:00:00"/>
    <n v="2943.85"/>
    <s v="EUR"/>
    <s v="Received"/>
    <d v="2025-06-02T00:00:00"/>
    <s v="Net 45"/>
    <s v="On Time"/>
  </r>
  <r>
    <s v="AR20617"/>
    <x v="0"/>
    <x v="402"/>
    <d v="2023-12-05T00:00:00"/>
    <n v="2262.88"/>
    <s v="EUR"/>
    <s v="Partial"/>
    <m/>
    <s v="Net 45"/>
    <s v="Unpaid"/>
  </r>
  <r>
    <s v="AR20618"/>
    <x v="3"/>
    <x v="242"/>
    <d v="2024-08-04T00:00:00"/>
    <n v="839.79"/>
    <s v="GBP"/>
    <s v="Partial"/>
    <m/>
    <s v="Net 45"/>
    <s v="Unpaid"/>
  </r>
  <r>
    <s v="AR20619"/>
    <x v="4"/>
    <x v="380"/>
    <d v="2023-11-23T00:00:00"/>
    <n v="1981.78"/>
    <s v="CAD"/>
    <s v="Open"/>
    <m/>
    <s v="Net 45"/>
    <s v="Unpaid"/>
  </r>
  <r>
    <s v="AR20620"/>
    <x v="3"/>
    <x v="444"/>
    <d v="2024-08-02T00:00:00"/>
    <n v="7993.22"/>
    <s v="USD"/>
    <s v="Received"/>
    <d v="2024-08-02T00:00:00"/>
    <s v="Net 45"/>
    <s v="On Time"/>
  </r>
  <r>
    <s v="AR20621"/>
    <x v="4"/>
    <x v="445"/>
    <d v="2024-11-26T00:00:00"/>
    <n v="505.41"/>
    <s v="GBP"/>
    <s v="Received"/>
    <d v="2024-11-26T00:00:00"/>
    <s v="Net 45"/>
    <s v="On Time"/>
  </r>
  <r>
    <s v="AR20622"/>
    <x v="0"/>
    <x v="306"/>
    <d v="2024-06-16T00:00:00"/>
    <n v="1214.1099999999999"/>
    <s v="USD"/>
    <s v="Open"/>
    <m/>
    <s v="Net 45"/>
    <s v="Unpaid"/>
  </r>
  <r>
    <s v="AR20623"/>
    <x v="4"/>
    <x v="191"/>
    <d v="2025-06-05T00:00:00"/>
    <n v="2924.58"/>
    <s v="CAD"/>
    <s v="Received"/>
    <d v="2025-06-05T00:00:00"/>
    <s v="Net 45"/>
    <s v="On Time"/>
  </r>
  <r>
    <s v="AR20624"/>
    <x v="2"/>
    <x v="124"/>
    <d v="2023-12-28T00:00:00"/>
    <n v="7029.41"/>
    <s v="GBP"/>
    <s v="Partial"/>
    <m/>
    <s v="Net 45"/>
    <s v="Unpaid"/>
  </r>
  <r>
    <s v="AR20625"/>
    <x v="0"/>
    <x v="446"/>
    <d v="2024-10-20T00:00:00"/>
    <n v="4527.1099999999997"/>
    <s v="EUR"/>
    <s v="Open"/>
    <m/>
    <s v="Net 45"/>
    <s v="Unpaid"/>
  </r>
  <r>
    <s v="AR20626"/>
    <x v="1"/>
    <x v="447"/>
    <d v="2023-06-25T00:00:00"/>
    <n v="6525.23"/>
    <s v="AUD"/>
    <s v="Open"/>
    <m/>
    <s v="Net 45"/>
    <s v="Unpaid"/>
  </r>
  <r>
    <s v="AR20627"/>
    <x v="3"/>
    <x v="448"/>
    <d v="2025-08-05T00:00:00"/>
    <n v="3824.97"/>
    <s v="USD"/>
    <s v="Received"/>
    <d v="2025-08-05T00:00:00"/>
    <s v="Net 45"/>
    <s v="On Time"/>
  </r>
  <r>
    <s v="AR20628"/>
    <x v="4"/>
    <x v="203"/>
    <d v="2025-04-05T00:00:00"/>
    <n v="1942.51"/>
    <s v="AUD"/>
    <s v="Partial"/>
    <m/>
    <s v="Net 45"/>
    <s v="Unpaid"/>
  </r>
  <r>
    <s v="AR20629"/>
    <x v="0"/>
    <x v="449"/>
    <d v="2023-12-26T00:00:00"/>
    <n v="5154.78"/>
    <s v="EUR"/>
    <s v="Partial"/>
    <m/>
    <s v="Net 45"/>
    <s v="Unpaid"/>
  </r>
  <r>
    <s v="AR20630"/>
    <x v="2"/>
    <x v="383"/>
    <d v="2023-09-02T00:00:00"/>
    <n v="2001.78"/>
    <s v="AUD"/>
    <s v="Partial"/>
    <m/>
    <s v="Net 45"/>
    <s v="Unpaid"/>
  </r>
  <r>
    <s v="AR20631"/>
    <x v="0"/>
    <x v="450"/>
    <d v="2024-12-11T00:00:00"/>
    <n v="2090.41"/>
    <s v="EUR"/>
    <s v="Open"/>
    <m/>
    <s v="Net 45"/>
    <s v="Unpaid"/>
  </r>
  <r>
    <s v="AR20632"/>
    <x v="3"/>
    <x v="282"/>
    <d v="2023-11-05T00:00:00"/>
    <n v="2713.38"/>
    <s v="USD"/>
    <s v="Received"/>
    <d v="2023-11-05T00:00:00"/>
    <s v="Net 45"/>
    <s v="On Time"/>
  </r>
  <r>
    <s v="AR20633"/>
    <x v="2"/>
    <x v="451"/>
    <d v="2023-05-08T00:00:00"/>
    <n v="1688.41"/>
    <s v="USD"/>
    <s v="Received"/>
    <d v="2023-05-08T00:00:00"/>
    <s v="Net 45"/>
    <s v="On Time"/>
  </r>
  <r>
    <s v="AR20634"/>
    <x v="4"/>
    <x v="47"/>
    <d v="2023-08-15T00:00:00"/>
    <n v="7964.05"/>
    <s v="AUD"/>
    <s v="Partial"/>
    <m/>
    <s v="Net 45"/>
    <s v="Unpaid"/>
  </r>
  <r>
    <s v="AR20635"/>
    <x v="2"/>
    <x v="452"/>
    <d v="2025-05-28T00:00:00"/>
    <n v="1540.79"/>
    <s v="USD"/>
    <s v="Open"/>
    <m/>
    <s v="Net 45"/>
    <s v="Unpaid"/>
  </r>
  <r>
    <s v="AR20636"/>
    <x v="3"/>
    <x v="191"/>
    <d v="2025-06-05T00:00:00"/>
    <n v="1933.33"/>
    <s v="USD"/>
    <s v="Open"/>
    <m/>
    <s v="Net 45"/>
    <s v="Unpaid"/>
  </r>
  <r>
    <s v="AR20637"/>
    <x v="1"/>
    <x v="168"/>
    <d v="2023-10-17T00:00:00"/>
    <n v="458.58"/>
    <s v="GBP"/>
    <s v="Open"/>
    <m/>
    <s v="Net 45"/>
    <s v="Unpaid"/>
  </r>
  <r>
    <s v="AR20638"/>
    <x v="3"/>
    <x v="453"/>
    <d v="2025-08-13T00:00:00"/>
    <n v="5760.56"/>
    <s v="USD"/>
    <s v="Partial"/>
    <m/>
    <s v="Net 45"/>
    <s v="Unpaid"/>
  </r>
  <r>
    <s v="AR20639"/>
    <x v="1"/>
    <x v="454"/>
    <d v="2025-07-24T00:00:00"/>
    <n v="1719.86"/>
    <s v="EUR"/>
    <s v="Partial"/>
    <m/>
    <s v="Net 45"/>
    <s v="Unpaid"/>
  </r>
  <r>
    <s v="AR20640"/>
    <x v="3"/>
    <x v="455"/>
    <d v="2025-04-23T00:00:00"/>
    <n v="6756.99"/>
    <s v="EUR"/>
    <s v="Partial"/>
    <m/>
    <s v="Net 45"/>
    <s v="Unpaid"/>
  </r>
  <r>
    <s v="AR20641"/>
    <x v="0"/>
    <x v="456"/>
    <d v="2024-12-25T00:00:00"/>
    <n v="4654.32"/>
    <s v="CAD"/>
    <s v="Open"/>
    <m/>
    <s v="Net 45"/>
    <s v="Unpaid"/>
  </r>
  <r>
    <s v="AR20642"/>
    <x v="3"/>
    <x v="457"/>
    <d v="2024-11-20T00:00:00"/>
    <n v="3915.77"/>
    <s v="USD"/>
    <s v="Open"/>
    <m/>
    <s v="Net 45"/>
    <s v="Unpaid"/>
  </r>
  <r>
    <s v="AR20643"/>
    <x v="4"/>
    <x v="458"/>
    <d v="2025-07-07T00:00:00"/>
    <n v="1446.12"/>
    <s v="USD"/>
    <s v="Received"/>
    <d v="2025-07-07T00:00:00"/>
    <s v="Net 45"/>
    <s v="On Time"/>
  </r>
  <r>
    <s v="AR20644"/>
    <x v="4"/>
    <x v="459"/>
    <d v="2024-07-26T00:00:00"/>
    <n v="3333.72"/>
    <s v="CAD"/>
    <s v="Received"/>
    <d v="2024-07-26T00:00:00"/>
    <s v="Net 45"/>
    <s v="On Time"/>
  </r>
  <r>
    <s v="AR20645"/>
    <x v="4"/>
    <x v="87"/>
    <d v="2023-06-30T00:00:00"/>
    <n v="6396.64"/>
    <s v="USD"/>
    <s v="Received"/>
    <d v="2023-06-30T00:00:00"/>
    <s v="Net 45"/>
    <s v="On Time"/>
  </r>
  <r>
    <s v="AR20646"/>
    <x v="3"/>
    <x v="460"/>
    <d v="2024-10-04T00:00:00"/>
    <n v="745.71"/>
    <s v="GBP"/>
    <s v="Open"/>
    <m/>
    <s v="Net 45"/>
    <s v="Unpaid"/>
  </r>
  <r>
    <s v="AR20647"/>
    <x v="3"/>
    <x v="461"/>
    <d v="2024-09-13T00:00:00"/>
    <n v="2882.56"/>
    <s v="GBP"/>
    <s v="Received"/>
    <d v="2024-09-13T00:00:00"/>
    <s v="Net 45"/>
    <s v="On Time"/>
  </r>
  <r>
    <s v="AR20648"/>
    <x v="0"/>
    <x v="133"/>
    <d v="2023-11-01T00:00:00"/>
    <n v="4831.9799999999996"/>
    <s v="USD"/>
    <s v="Open"/>
    <m/>
    <s v="Net 45"/>
    <s v="Unpaid"/>
  </r>
  <r>
    <s v="AR20649"/>
    <x v="1"/>
    <x v="462"/>
    <d v="2023-02-17T00:00:00"/>
    <n v="1606.99"/>
    <s v="GBP"/>
    <s v="Open"/>
    <m/>
    <s v="Net 45"/>
    <s v="Unpaid"/>
  </r>
  <r>
    <s v="AR20650"/>
    <x v="3"/>
    <x v="354"/>
    <d v="2023-02-21T00:00:00"/>
    <n v="243.81"/>
    <s v="GBP"/>
    <s v="Open"/>
    <m/>
    <s v="Net 45"/>
    <s v="Unpaid"/>
  </r>
  <r>
    <s v="AR20651"/>
    <x v="1"/>
    <x v="90"/>
    <d v="2025-05-09T00:00:00"/>
    <n v="3008.8"/>
    <s v="CAD"/>
    <s v="Received"/>
    <d v="2025-05-09T00:00:00"/>
    <s v="Net 45"/>
    <s v="On Time"/>
  </r>
  <r>
    <s v="AR20652"/>
    <x v="4"/>
    <x v="463"/>
    <d v="2023-03-17T00:00:00"/>
    <n v="6453.32"/>
    <s v="CAD"/>
    <s v="Received"/>
    <d v="2023-03-17T00:00:00"/>
    <s v="Net 45"/>
    <s v="On Time"/>
  </r>
  <r>
    <s v="AR20653"/>
    <x v="4"/>
    <x v="464"/>
    <d v="2024-10-08T00:00:00"/>
    <n v="6816.1"/>
    <s v="GBP"/>
    <s v="Partial"/>
    <m/>
    <s v="Net 45"/>
    <s v="Unpaid"/>
  </r>
  <r>
    <s v="AR20654"/>
    <x v="0"/>
    <x v="465"/>
    <d v="2023-09-16T00:00:00"/>
    <n v="3940.19"/>
    <s v="AUD"/>
    <s v="Open"/>
    <m/>
    <s v="Net 45"/>
    <s v="Unpaid"/>
  </r>
  <r>
    <s v="AR20655"/>
    <x v="4"/>
    <x v="142"/>
    <d v="2023-07-29T00:00:00"/>
    <n v="3595.35"/>
    <s v="GBP"/>
    <s v="Open"/>
    <m/>
    <s v="Net 45"/>
    <s v="Unpaid"/>
  </r>
  <r>
    <s v="AR20656"/>
    <x v="0"/>
    <x v="30"/>
    <d v="2024-06-29T00:00:00"/>
    <n v="3077.11"/>
    <s v="CAD"/>
    <s v="Open"/>
    <m/>
    <s v="Net 45"/>
    <s v="Unpaid"/>
  </r>
  <r>
    <s v="AR20657"/>
    <x v="0"/>
    <x v="466"/>
    <d v="2025-04-03T00:00:00"/>
    <n v="5124.7"/>
    <s v="GBP"/>
    <s v="Partial"/>
    <m/>
    <s v="Net 45"/>
    <s v="Unpaid"/>
  </r>
  <r>
    <s v="AR20658"/>
    <x v="0"/>
    <x v="119"/>
    <d v="2023-07-30T00:00:00"/>
    <n v="7013.17"/>
    <s v="GBP"/>
    <s v="Partial"/>
    <m/>
    <s v="Net 45"/>
    <s v="Unpaid"/>
  </r>
  <r>
    <s v="AR20659"/>
    <x v="3"/>
    <x v="467"/>
    <d v="2023-03-24T00:00:00"/>
    <n v="6328.76"/>
    <s v="GBP"/>
    <s v="Open"/>
    <m/>
    <s v="Net 45"/>
    <s v="Unpaid"/>
  </r>
  <r>
    <s v="AR20660"/>
    <x v="4"/>
    <x v="341"/>
    <d v="2023-05-19T00:00:00"/>
    <n v="4370.75"/>
    <s v="EUR"/>
    <s v="Received"/>
    <d v="2023-05-19T00:00:00"/>
    <s v="Net 45"/>
    <s v="On Time"/>
  </r>
  <r>
    <s v="AR20661"/>
    <x v="2"/>
    <x v="468"/>
    <d v="2024-01-01T00:00:00"/>
    <n v="1197.19"/>
    <s v="GBP"/>
    <s v="Received"/>
    <d v="2024-01-01T00:00:00"/>
    <s v="Net 45"/>
    <s v="On Time"/>
  </r>
  <r>
    <s v="AR20662"/>
    <x v="1"/>
    <x v="469"/>
    <d v="2024-10-24T00:00:00"/>
    <n v="1237.3499999999999"/>
    <s v="EUR"/>
    <s v="Received"/>
    <d v="2024-10-24T00:00:00"/>
    <s v="Net 45"/>
    <s v="On Time"/>
  </r>
  <r>
    <s v="AR20663"/>
    <x v="1"/>
    <x v="470"/>
    <d v="2023-07-04T00:00:00"/>
    <n v="1158.5999999999999"/>
    <s v="USD"/>
    <s v="Received"/>
    <d v="2023-07-04T00:00:00"/>
    <s v="Net 45"/>
    <s v="On Time"/>
  </r>
  <r>
    <s v="AR20664"/>
    <x v="1"/>
    <x v="446"/>
    <d v="2024-10-20T00:00:00"/>
    <n v="902.03"/>
    <s v="EUR"/>
    <s v="Partial"/>
    <m/>
    <s v="Net 45"/>
    <s v="Unpaid"/>
  </r>
  <r>
    <s v="AR20665"/>
    <x v="2"/>
    <x v="235"/>
    <d v="2025-04-25T00:00:00"/>
    <n v="5343.75"/>
    <s v="CAD"/>
    <s v="Open"/>
    <m/>
    <s v="Net 45"/>
    <s v="Unpaid"/>
  </r>
  <r>
    <s v="AR20666"/>
    <x v="1"/>
    <x v="471"/>
    <d v="2024-12-31T00:00:00"/>
    <n v="7948.89"/>
    <s v="CAD"/>
    <s v="Partial"/>
    <m/>
    <s v="Net 45"/>
    <s v="Unpaid"/>
  </r>
  <r>
    <s v="AR20667"/>
    <x v="1"/>
    <x v="472"/>
    <d v="2024-11-18T00:00:00"/>
    <n v="7072.26"/>
    <s v="EUR"/>
    <s v="Received"/>
    <d v="2024-11-18T00:00:00"/>
    <s v="Net 45"/>
    <s v="On Time"/>
  </r>
  <r>
    <s v="AR20668"/>
    <x v="1"/>
    <x v="473"/>
    <d v="2023-09-04T00:00:00"/>
    <n v="4905.33"/>
    <s v="USD"/>
    <s v="Partial"/>
    <m/>
    <s v="Net 45"/>
    <s v="Unpaid"/>
  </r>
  <r>
    <s v="AR20669"/>
    <x v="2"/>
    <x v="474"/>
    <d v="2023-05-23T00:00:00"/>
    <n v="1063.05"/>
    <s v="USD"/>
    <s v="Received"/>
    <d v="2023-05-23T00:00:00"/>
    <s v="Net 45"/>
    <s v="On Time"/>
  </r>
  <r>
    <s v="AR20670"/>
    <x v="2"/>
    <x v="158"/>
    <d v="2025-03-26T00:00:00"/>
    <n v="4173.51"/>
    <s v="EUR"/>
    <s v="Received"/>
    <d v="2025-03-26T00:00:00"/>
    <s v="Net 45"/>
    <s v="On Time"/>
  </r>
  <r>
    <s v="AR20671"/>
    <x v="2"/>
    <x v="413"/>
    <d v="2023-04-09T00:00:00"/>
    <n v="5531.26"/>
    <s v="USD"/>
    <s v="Open"/>
    <m/>
    <s v="Net 45"/>
    <s v="Unpaid"/>
  </r>
  <r>
    <s v="AR20672"/>
    <x v="3"/>
    <x v="475"/>
    <d v="2025-05-15T00:00:00"/>
    <n v="696.31"/>
    <s v="USD"/>
    <s v="Open"/>
    <m/>
    <s v="Net 45"/>
    <s v="Unpaid"/>
  </r>
  <r>
    <s v="AR20673"/>
    <x v="3"/>
    <x v="128"/>
    <d v="2025-07-11T00:00:00"/>
    <n v="4219.1899999999996"/>
    <s v="EUR"/>
    <s v="Open"/>
    <m/>
    <s v="Net 45"/>
    <s v="Unpaid"/>
  </r>
  <r>
    <s v="AR20674"/>
    <x v="0"/>
    <x v="476"/>
    <d v="2024-03-17T00:00:00"/>
    <n v="6754.63"/>
    <s v="EUR"/>
    <s v="Open"/>
    <m/>
    <s v="Net 45"/>
    <s v="Unpaid"/>
  </r>
  <r>
    <s v="AR20675"/>
    <x v="1"/>
    <x v="183"/>
    <d v="2024-05-19T00:00:00"/>
    <n v="4258.29"/>
    <s v="USD"/>
    <s v="Received"/>
    <d v="2024-05-19T00:00:00"/>
    <s v="Net 45"/>
    <s v="On Time"/>
  </r>
  <r>
    <s v="AR20676"/>
    <x v="4"/>
    <x v="477"/>
    <d v="2023-07-19T00:00:00"/>
    <n v="5986.21"/>
    <s v="EUR"/>
    <s v="Partial"/>
    <m/>
    <s v="Net 45"/>
    <s v="Unpaid"/>
  </r>
  <r>
    <s v="AR20677"/>
    <x v="0"/>
    <x v="478"/>
    <d v="2023-08-19T00:00:00"/>
    <n v="6093.81"/>
    <s v="USD"/>
    <s v="Received"/>
    <d v="2023-08-19T00:00:00"/>
    <s v="Net 45"/>
    <s v="On Time"/>
  </r>
  <r>
    <s v="AR20678"/>
    <x v="3"/>
    <x v="479"/>
    <d v="2024-10-18T00:00:00"/>
    <n v="3906.09"/>
    <s v="USD"/>
    <s v="Received"/>
    <d v="2024-10-18T00:00:00"/>
    <s v="Net 45"/>
    <s v="On Time"/>
  </r>
  <r>
    <s v="AR20679"/>
    <x v="1"/>
    <x v="480"/>
    <d v="2025-01-11T00:00:00"/>
    <n v="4948.45"/>
    <s v="GBP"/>
    <s v="Open"/>
    <m/>
    <s v="Net 45"/>
    <s v="Unpaid"/>
  </r>
  <r>
    <s v="AR20680"/>
    <x v="4"/>
    <x v="26"/>
    <d v="2023-05-05T00:00:00"/>
    <n v="3111.12"/>
    <s v="EUR"/>
    <s v="Open"/>
    <m/>
    <s v="Net 45"/>
    <s v="Unpaid"/>
  </r>
  <r>
    <s v="AR20681"/>
    <x v="1"/>
    <x v="481"/>
    <d v="2025-07-31T00:00:00"/>
    <n v="4171.1000000000004"/>
    <s v="CAD"/>
    <s v="Partial"/>
    <m/>
    <s v="Net 45"/>
    <s v="Unpaid"/>
  </r>
  <r>
    <s v="AR20682"/>
    <x v="1"/>
    <x v="482"/>
    <d v="2025-07-03T00:00:00"/>
    <n v="3794.84"/>
    <s v="GBP"/>
    <s v="Received"/>
    <d v="2025-07-03T00:00:00"/>
    <s v="Net 45"/>
    <s v="On Time"/>
  </r>
  <r>
    <s v="AR20683"/>
    <x v="0"/>
    <x v="483"/>
    <d v="2023-07-14T00:00:00"/>
    <n v="778.03"/>
    <s v="AUD"/>
    <s v="Received"/>
    <d v="2023-07-14T00:00:00"/>
    <s v="Net 45"/>
    <s v="On Time"/>
  </r>
  <r>
    <s v="AR20684"/>
    <x v="0"/>
    <x v="395"/>
    <d v="2023-11-18T00:00:00"/>
    <n v="6025.55"/>
    <s v="USD"/>
    <s v="Partial"/>
    <m/>
    <s v="Net 45"/>
    <s v="Unpaid"/>
  </r>
  <r>
    <s v="AR20685"/>
    <x v="2"/>
    <x v="210"/>
    <d v="2024-04-09T00:00:00"/>
    <n v="4483.34"/>
    <s v="AUD"/>
    <s v="Partial"/>
    <m/>
    <s v="Net 45"/>
    <s v="Unpaid"/>
  </r>
  <r>
    <s v="AR20686"/>
    <x v="3"/>
    <x v="482"/>
    <d v="2025-07-03T00:00:00"/>
    <n v="1864.5"/>
    <s v="GBP"/>
    <s v="Open"/>
    <m/>
    <s v="Net 45"/>
    <s v="Unpaid"/>
  </r>
  <r>
    <s v="AR20687"/>
    <x v="3"/>
    <x v="177"/>
    <d v="2023-12-20T00:00:00"/>
    <n v="3805.4"/>
    <s v="CAD"/>
    <s v="Open"/>
    <m/>
    <s v="Net 45"/>
    <s v="Unpaid"/>
  </r>
  <r>
    <s v="AR20688"/>
    <x v="3"/>
    <x v="142"/>
    <d v="2023-07-29T00:00:00"/>
    <n v="3548.95"/>
    <s v="GBP"/>
    <s v="Open"/>
    <m/>
    <s v="Net 45"/>
    <s v="Unpaid"/>
  </r>
  <r>
    <s v="AR20689"/>
    <x v="0"/>
    <x v="484"/>
    <d v="2025-01-09T00:00:00"/>
    <n v="283.44"/>
    <s v="GBP"/>
    <s v="Open"/>
    <m/>
    <s v="Net 45"/>
    <s v="Unpaid"/>
  </r>
  <r>
    <s v="AR20690"/>
    <x v="4"/>
    <x v="5"/>
    <d v="2023-07-13T00:00:00"/>
    <n v="3193.11"/>
    <s v="GBP"/>
    <s v="Open"/>
    <m/>
    <s v="Net 45"/>
    <s v="Unpaid"/>
  </r>
  <r>
    <s v="AR20691"/>
    <x v="1"/>
    <x v="485"/>
    <d v="2023-03-06T00:00:00"/>
    <n v="2760.66"/>
    <s v="AUD"/>
    <s v="Partial"/>
    <m/>
    <s v="Net 45"/>
    <s v="Unpaid"/>
  </r>
  <r>
    <s v="AR20692"/>
    <x v="4"/>
    <x v="417"/>
    <d v="2024-07-22T00:00:00"/>
    <n v="5320.56"/>
    <s v="AUD"/>
    <s v="Received"/>
    <d v="2024-07-22T00:00:00"/>
    <s v="Net 45"/>
    <s v="On Time"/>
  </r>
  <r>
    <s v="AR20693"/>
    <x v="2"/>
    <x v="240"/>
    <d v="2023-03-07T00:00:00"/>
    <n v="4442.5200000000004"/>
    <s v="GBP"/>
    <s v="Partial"/>
    <m/>
    <s v="Net 45"/>
    <s v="Unpaid"/>
  </r>
  <r>
    <s v="AR20694"/>
    <x v="3"/>
    <x v="67"/>
    <d v="2023-11-15T00:00:00"/>
    <n v="6614.86"/>
    <s v="EUR"/>
    <s v="Partial"/>
    <m/>
    <s v="Net 45"/>
    <s v="Unpaid"/>
  </r>
  <r>
    <s v="AR20695"/>
    <x v="3"/>
    <x v="486"/>
    <d v="2024-12-26T00:00:00"/>
    <n v="2556.04"/>
    <s v="USD"/>
    <s v="Partial"/>
    <m/>
    <s v="Net 45"/>
    <s v="Unpaid"/>
  </r>
  <r>
    <s v="AR20696"/>
    <x v="0"/>
    <x v="487"/>
    <d v="2024-10-03T00:00:00"/>
    <n v="2111.52"/>
    <s v="AUD"/>
    <s v="Open"/>
    <m/>
    <s v="Net 45"/>
    <s v="Unpaid"/>
  </r>
  <r>
    <s v="AR20697"/>
    <x v="2"/>
    <x v="488"/>
    <d v="2024-05-05T00:00:00"/>
    <n v="982.36"/>
    <s v="EUR"/>
    <s v="Partial"/>
    <m/>
    <s v="Net 45"/>
    <s v="Unpaid"/>
  </r>
  <r>
    <s v="AR20698"/>
    <x v="3"/>
    <x v="340"/>
    <d v="2024-04-25T00:00:00"/>
    <n v="5662.81"/>
    <s v="EUR"/>
    <s v="Partial"/>
    <m/>
    <s v="Net 45"/>
    <s v="Unpaid"/>
  </r>
  <r>
    <s v="AR20699"/>
    <x v="0"/>
    <x v="489"/>
    <d v="2024-07-13T00:00:00"/>
    <n v="5466.25"/>
    <s v="EUR"/>
    <s v="Partial"/>
    <m/>
    <s v="Net 45"/>
    <s v="Unpaid"/>
  </r>
  <r>
    <s v="AR20700"/>
    <x v="0"/>
    <x v="154"/>
    <d v="2024-04-17T00:00:00"/>
    <n v="5790.42"/>
    <s v="EUR"/>
    <s v="Partial"/>
    <m/>
    <s v="Net 45"/>
    <s v="Unpaid"/>
  </r>
  <r>
    <s v="AR20701"/>
    <x v="2"/>
    <x v="490"/>
    <d v="2024-01-22T00:00:00"/>
    <n v="5414.66"/>
    <s v="EUR"/>
    <s v="Received"/>
    <d v="2024-01-22T00:00:00"/>
    <s v="Net 45"/>
    <s v="On Time"/>
  </r>
  <r>
    <s v="AR20702"/>
    <x v="4"/>
    <x v="155"/>
    <d v="2023-10-25T00:00:00"/>
    <n v="3252.33"/>
    <s v="GBP"/>
    <s v="Open"/>
    <m/>
    <s v="Net 45"/>
    <s v="Unpaid"/>
  </r>
  <r>
    <s v="AR20703"/>
    <x v="3"/>
    <x v="491"/>
    <d v="2024-03-12T00:00:00"/>
    <n v="4304.96"/>
    <s v="USD"/>
    <s v="Received"/>
    <d v="2024-03-12T00:00:00"/>
    <s v="Net 45"/>
    <s v="On Time"/>
  </r>
  <r>
    <s v="AR20704"/>
    <x v="3"/>
    <x v="454"/>
    <d v="2025-07-24T00:00:00"/>
    <n v="1447.17"/>
    <s v="CAD"/>
    <s v="Partial"/>
    <m/>
    <s v="Net 45"/>
    <s v="Unpaid"/>
  </r>
  <r>
    <s v="AR20705"/>
    <x v="0"/>
    <x v="492"/>
    <d v="2024-09-19T00:00:00"/>
    <n v="7506.22"/>
    <s v="AUD"/>
    <s v="Open"/>
    <m/>
    <s v="Net 45"/>
    <s v="Unpaid"/>
  </r>
  <r>
    <s v="AR20706"/>
    <x v="3"/>
    <x v="425"/>
    <d v="2025-05-29T00:00:00"/>
    <n v="7912.6"/>
    <s v="USD"/>
    <s v="Partial"/>
    <m/>
    <s v="Net 45"/>
    <s v="Unpaid"/>
  </r>
  <r>
    <s v="AR20707"/>
    <x v="3"/>
    <x v="493"/>
    <d v="2023-09-22T00:00:00"/>
    <n v="4014.31"/>
    <s v="CAD"/>
    <s v="Received"/>
    <d v="2023-09-22T00:00:00"/>
    <s v="Net 45"/>
    <s v="On Time"/>
  </r>
  <r>
    <s v="AR20708"/>
    <x v="4"/>
    <x v="199"/>
    <d v="2023-04-11T00:00:00"/>
    <n v="6682.82"/>
    <s v="EUR"/>
    <s v="Open"/>
    <m/>
    <s v="Net 45"/>
    <s v="Unpaid"/>
  </r>
  <r>
    <s v="AR20709"/>
    <x v="4"/>
    <x v="494"/>
    <d v="2024-12-13T00:00:00"/>
    <n v="4718.18"/>
    <s v="GBP"/>
    <s v="Partial"/>
    <m/>
    <s v="Net 45"/>
    <s v="Unpaid"/>
  </r>
  <r>
    <s v="AR20710"/>
    <x v="0"/>
    <x v="495"/>
    <d v="2025-05-21T00:00:00"/>
    <n v="5413.68"/>
    <s v="GBP"/>
    <s v="Partial"/>
    <m/>
    <s v="Net 45"/>
    <s v="Unpaid"/>
  </r>
  <r>
    <s v="AR20711"/>
    <x v="3"/>
    <x v="253"/>
    <d v="2025-05-04T00:00:00"/>
    <n v="5711.55"/>
    <s v="GBP"/>
    <s v="Received"/>
    <d v="2025-05-04T00:00:00"/>
    <s v="Net 45"/>
    <s v="On Time"/>
  </r>
  <r>
    <s v="AR20712"/>
    <x v="1"/>
    <x v="114"/>
    <d v="2025-06-04T00:00:00"/>
    <n v="1016.83"/>
    <s v="AUD"/>
    <s v="Open"/>
    <m/>
    <s v="Net 45"/>
    <s v="Unpaid"/>
  </r>
  <r>
    <s v="AR20713"/>
    <x v="3"/>
    <x v="396"/>
    <d v="2023-07-05T00:00:00"/>
    <n v="4967.9399999999996"/>
    <s v="EUR"/>
    <s v="Partial"/>
    <m/>
    <s v="Net 45"/>
    <s v="Unpaid"/>
  </r>
  <r>
    <s v="AR20714"/>
    <x v="2"/>
    <x v="227"/>
    <d v="2023-03-25T00:00:00"/>
    <n v="1921.94"/>
    <s v="CAD"/>
    <s v="Received"/>
    <d v="2023-03-25T00:00:00"/>
    <s v="Net 45"/>
    <s v="On Time"/>
  </r>
  <r>
    <s v="AR20715"/>
    <x v="0"/>
    <x v="407"/>
    <d v="2025-05-17T00:00:00"/>
    <n v="2725.11"/>
    <s v="CAD"/>
    <s v="Open"/>
    <m/>
    <s v="Net 45"/>
    <s v="Unpaid"/>
  </r>
  <r>
    <s v="AR20716"/>
    <x v="2"/>
    <x v="470"/>
    <d v="2023-07-04T00:00:00"/>
    <n v="7384.94"/>
    <s v="AUD"/>
    <s v="Received"/>
    <d v="2023-07-04T00:00:00"/>
    <s v="Net 45"/>
    <s v="On Time"/>
  </r>
  <r>
    <s v="AR20717"/>
    <x v="4"/>
    <x v="310"/>
    <d v="2024-10-21T00:00:00"/>
    <n v="379.48"/>
    <s v="EUR"/>
    <s v="Partial"/>
    <m/>
    <s v="Net 45"/>
    <s v="Unpaid"/>
  </r>
  <r>
    <s v="AR20718"/>
    <x v="4"/>
    <x v="321"/>
    <d v="2024-05-26T00:00:00"/>
    <n v="7372.24"/>
    <s v="USD"/>
    <s v="Open"/>
    <m/>
    <s v="Net 45"/>
    <s v="Unpaid"/>
  </r>
  <r>
    <s v="AR20719"/>
    <x v="4"/>
    <x v="474"/>
    <d v="2023-05-23T00:00:00"/>
    <n v="4620.79"/>
    <s v="GBP"/>
    <s v="Received"/>
    <d v="2023-05-23T00:00:00"/>
    <s v="Net 45"/>
    <s v="On Time"/>
  </r>
  <r>
    <s v="AR20720"/>
    <x v="3"/>
    <x v="87"/>
    <d v="2023-06-30T00:00:00"/>
    <n v="528.38"/>
    <s v="USD"/>
    <s v="Open"/>
    <m/>
    <s v="Net 45"/>
    <s v="Unpaid"/>
  </r>
  <r>
    <s v="AR20721"/>
    <x v="2"/>
    <x v="496"/>
    <d v="2024-09-25T00:00:00"/>
    <n v="6586.87"/>
    <s v="GBP"/>
    <s v="Partial"/>
    <m/>
    <s v="Net 45"/>
    <s v="Unpaid"/>
  </r>
  <r>
    <s v="AR20722"/>
    <x v="1"/>
    <x v="407"/>
    <d v="2025-05-17T00:00:00"/>
    <n v="1050.93"/>
    <s v="EUR"/>
    <s v="Partial"/>
    <m/>
    <s v="Net 45"/>
    <s v="Unpaid"/>
  </r>
  <r>
    <s v="AR20723"/>
    <x v="0"/>
    <x v="497"/>
    <d v="2024-10-28T00:00:00"/>
    <n v="3679.18"/>
    <s v="CAD"/>
    <s v="Received"/>
    <d v="2024-10-28T00:00:00"/>
    <s v="Net 45"/>
    <s v="On Time"/>
  </r>
  <r>
    <s v="AR20724"/>
    <x v="1"/>
    <x v="132"/>
    <d v="2024-06-12T00:00:00"/>
    <n v="7286.86"/>
    <s v="USD"/>
    <s v="Received"/>
    <d v="2024-06-12T00:00:00"/>
    <s v="Net 45"/>
    <s v="On Time"/>
  </r>
  <r>
    <s v="AR20725"/>
    <x v="0"/>
    <x v="498"/>
    <d v="2024-03-30T00:00:00"/>
    <n v="2238.7600000000002"/>
    <s v="AUD"/>
    <s v="Partial"/>
    <m/>
    <s v="Net 45"/>
    <s v="Unpaid"/>
  </r>
  <r>
    <s v="AR20726"/>
    <x v="1"/>
    <x v="292"/>
    <d v="2024-05-04T00:00:00"/>
    <n v="6394.62"/>
    <s v="AUD"/>
    <s v="Partial"/>
    <m/>
    <s v="Net 45"/>
    <s v="Unpaid"/>
  </r>
  <r>
    <s v="AR20727"/>
    <x v="3"/>
    <x v="499"/>
    <d v="2023-07-18T00:00:00"/>
    <n v="7492.09"/>
    <s v="CAD"/>
    <s v="Open"/>
    <m/>
    <s v="Net 45"/>
    <s v="Unpaid"/>
  </r>
  <r>
    <s v="AR20728"/>
    <x v="0"/>
    <x v="500"/>
    <d v="2025-05-01T00:00:00"/>
    <n v="4830.54"/>
    <s v="EUR"/>
    <s v="Partial"/>
    <m/>
    <s v="Net 45"/>
    <s v="Unpaid"/>
  </r>
  <r>
    <s v="AR20729"/>
    <x v="1"/>
    <x v="501"/>
    <d v="2025-07-26T00:00:00"/>
    <n v="4670.08"/>
    <s v="GBP"/>
    <s v="Partial"/>
    <m/>
    <s v="Net 45"/>
    <s v="Unpaid"/>
  </r>
  <r>
    <s v="AR20730"/>
    <x v="0"/>
    <x v="502"/>
    <d v="2025-02-23T00:00:00"/>
    <n v="6954.16"/>
    <s v="GBP"/>
    <s v="Received"/>
    <d v="2025-02-23T00:00:00"/>
    <s v="Net 45"/>
    <s v="On Time"/>
  </r>
  <r>
    <s v="AR20731"/>
    <x v="1"/>
    <x v="503"/>
    <d v="2023-04-29T00:00:00"/>
    <n v="4219.6099999999997"/>
    <s v="EUR"/>
    <s v="Partial"/>
    <m/>
    <s v="Net 45"/>
    <s v="Unpaid"/>
  </r>
  <r>
    <s v="AR20732"/>
    <x v="4"/>
    <x v="302"/>
    <d v="2024-03-28T00:00:00"/>
    <n v="7672.81"/>
    <s v="GBP"/>
    <s v="Received"/>
    <d v="2024-03-28T00:00:00"/>
    <s v="Net 45"/>
    <s v="On Time"/>
  </r>
  <r>
    <s v="AR20733"/>
    <x v="3"/>
    <x v="475"/>
    <d v="2025-05-15T00:00:00"/>
    <n v="3127.27"/>
    <s v="AUD"/>
    <s v="Partial"/>
    <m/>
    <s v="Net 45"/>
    <s v="Unpaid"/>
  </r>
  <r>
    <s v="AR20734"/>
    <x v="3"/>
    <x v="504"/>
    <d v="2024-11-15T00:00:00"/>
    <n v="2341.1999999999998"/>
    <s v="USD"/>
    <s v="Received"/>
    <d v="2024-11-15T00:00:00"/>
    <s v="Net 45"/>
    <s v="On Time"/>
  </r>
  <r>
    <s v="AR20735"/>
    <x v="1"/>
    <x v="505"/>
    <d v="2024-12-14T00:00:00"/>
    <n v="5614.34"/>
    <s v="USD"/>
    <s v="Partial"/>
    <m/>
    <s v="Net 45"/>
    <s v="Unpaid"/>
  </r>
  <r>
    <s v="AR20736"/>
    <x v="4"/>
    <x v="70"/>
    <d v="2023-03-16T00:00:00"/>
    <n v="7144.44"/>
    <s v="EUR"/>
    <s v="Partial"/>
    <m/>
    <s v="Net 45"/>
    <s v="Unpaid"/>
  </r>
  <r>
    <s v="AR20737"/>
    <x v="4"/>
    <x v="506"/>
    <d v="2023-09-12T00:00:00"/>
    <n v="5084.83"/>
    <s v="CAD"/>
    <s v="Received"/>
    <d v="2023-09-12T00:00:00"/>
    <s v="Net 45"/>
    <s v="On Time"/>
  </r>
  <r>
    <s v="AR20738"/>
    <x v="2"/>
    <x v="507"/>
    <d v="2025-06-27T00:00:00"/>
    <n v="4558.47"/>
    <s v="USD"/>
    <s v="Open"/>
    <m/>
    <s v="Net 45"/>
    <s v="Unpaid"/>
  </r>
  <r>
    <s v="AR20739"/>
    <x v="3"/>
    <x v="508"/>
    <d v="2023-10-26T00:00:00"/>
    <n v="7477.62"/>
    <s v="CAD"/>
    <s v="Received"/>
    <d v="2023-10-26T00:00:00"/>
    <s v="Net 45"/>
    <s v="On Time"/>
  </r>
  <r>
    <s v="AR20740"/>
    <x v="1"/>
    <x v="488"/>
    <d v="2024-05-05T00:00:00"/>
    <n v="2809.92"/>
    <s v="GBP"/>
    <s v="Received"/>
    <d v="2024-05-05T00:00:00"/>
    <s v="Net 45"/>
    <s v="On Time"/>
  </r>
  <r>
    <s v="AR20741"/>
    <x v="1"/>
    <x v="181"/>
    <d v="2023-03-08T00:00:00"/>
    <n v="1528"/>
    <s v="USD"/>
    <s v="Partial"/>
    <m/>
    <s v="Net 45"/>
    <s v="Unpaid"/>
  </r>
  <r>
    <s v="AR20742"/>
    <x v="0"/>
    <x v="152"/>
    <d v="2023-06-02T00:00:00"/>
    <n v="6314.46"/>
    <s v="AUD"/>
    <s v="Received"/>
    <d v="2023-06-02T00:00:00"/>
    <s v="Net 45"/>
    <s v="On Time"/>
  </r>
  <r>
    <s v="AR20743"/>
    <x v="1"/>
    <x v="509"/>
    <d v="2023-05-14T00:00:00"/>
    <n v="4757.3900000000003"/>
    <s v="GBP"/>
    <s v="Open"/>
    <m/>
    <s v="Net 45"/>
    <s v="Unpaid"/>
  </r>
  <r>
    <s v="AR20744"/>
    <x v="1"/>
    <x v="499"/>
    <d v="2023-07-18T00:00:00"/>
    <n v="4061.27"/>
    <s v="CAD"/>
    <s v="Received"/>
    <d v="2023-07-18T00:00:00"/>
    <s v="Net 45"/>
    <s v="On Time"/>
  </r>
  <r>
    <s v="AR20745"/>
    <x v="4"/>
    <x v="500"/>
    <d v="2025-05-01T00:00:00"/>
    <n v="1445.59"/>
    <s v="USD"/>
    <s v="Partial"/>
    <m/>
    <s v="Net 45"/>
    <s v="Unpaid"/>
  </r>
  <r>
    <s v="AR20746"/>
    <x v="3"/>
    <x v="510"/>
    <d v="2024-08-28T00:00:00"/>
    <n v="4549.8999999999996"/>
    <s v="CAD"/>
    <s v="Received"/>
    <d v="2024-08-28T00:00:00"/>
    <s v="Net 45"/>
    <s v="On Time"/>
  </r>
  <r>
    <s v="AR20747"/>
    <x v="3"/>
    <x v="488"/>
    <d v="2024-05-05T00:00:00"/>
    <n v="5530.33"/>
    <s v="USD"/>
    <s v="Open"/>
    <m/>
    <s v="Net 45"/>
    <s v="Unpaid"/>
  </r>
  <r>
    <s v="AR20748"/>
    <x v="0"/>
    <x v="15"/>
    <d v="2025-06-13T00:00:00"/>
    <n v="2790.34"/>
    <s v="EUR"/>
    <s v="Partial"/>
    <m/>
    <s v="Net 45"/>
    <s v="Unpaid"/>
  </r>
  <r>
    <s v="AR20749"/>
    <x v="0"/>
    <x v="443"/>
    <d v="2024-02-27T00:00:00"/>
    <n v="7511.89"/>
    <s v="EUR"/>
    <s v="Partial"/>
    <m/>
    <s v="Net 45"/>
    <s v="Unpaid"/>
  </r>
  <r>
    <s v="AR20750"/>
    <x v="4"/>
    <x v="511"/>
    <d v="2025-01-02T00:00:00"/>
    <n v="7449.48"/>
    <s v="USD"/>
    <s v="Partial"/>
    <m/>
    <s v="Net 45"/>
    <s v="Unpaid"/>
  </r>
  <r>
    <s v="AR20751"/>
    <x v="0"/>
    <x v="512"/>
    <d v="2023-07-22T00:00:00"/>
    <n v="5701.18"/>
    <s v="EUR"/>
    <s v="Partial"/>
    <m/>
    <s v="Net 45"/>
    <s v="Unpaid"/>
  </r>
  <r>
    <s v="AR20752"/>
    <x v="1"/>
    <x v="513"/>
    <d v="2024-06-24T00:00:00"/>
    <n v="2707.82"/>
    <s v="EUR"/>
    <s v="Open"/>
    <m/>
    <s v="Net 45"/>
    <s v="Unpaid"/>
  </r>
  <r>
    <s v="AR20753"/>
    <x v="1"/>
    <x v="51"/>
    <d v="2025-03-03T00:00:00"/>
    <n v="289.7"/>
    <s v="EUR"/>
    <s v="Open"/>
    <m/>
    <s v="Net 45"/>
    <s v="Unpaid"/>
  </r>
  <r>
    <s v="AR20754"/>
    <x v="3"/>
    <x v="514"/>
    <d v="2025-07-23T00:00:00"/>
    <n v="3246.06"/>
    <s v="AUD"/>
    <s v="Partial"/>
    <m/>
    <s v="Net 45"/>
    <s v="Unpaid"/>
  </r>
  <r>
    <s v="AR20755"/>
    <x v="2"/>
    <x v="133"/>
    <d v="2023-11-01T00:00:00"/>
    <n v="2844.18"/>
    <s v="EUR"/>
    <s v="Received"/>
    <d v="2023-11-01T00:00:00"/>
    <s v="Net 45"/>
    <s v="On Time"/>
  </r>
  <r>
    <s v="AR20756"/>
    <x v="0"/>
    <x v="286"/>
    <d v="2024-03-26T00:00:00"/>
    <n v="4564.2"/>
    <s v="CAD"/>
    <s v="Partial"/>
    <m/>
    <s v="Net 45"/>
    <s v="Unpaid"/>
  </r>
  <r>
    <s v="AR20757"/>
    <x v="1"/>
    <x v="444"/>
    <d v="2024-08-02T00:00:00"/>
    <n v="5995.72"/>
    <s v="USD"/>
    <s v="Received"/>
    <d v="2024-08-02T00:00:00"/>
    <s v="Net 45"/>
    <s v="On Time"/>
  </r>
  <r>
    <s v="AR20758"/>
    <x v="2"/>
    <x v="96"/>
    <d v="2023-05-16T00:00:00"/>
    <n v="1249.92"/>
    <s v="GBP"/>
    <s v="Received"/>
    <d v="2023-05-16T00:00:00"/>
    <s v="Net 45"/>
    <s v="On Time"/>
  </r>
  <r>
    <s v="AR20759"/>
    <x v="3"/>
    <x v="515"/>
    <d v="2024-01-04T00:00:00"/>
    <n v="417.53"/>
    <s v="USD"/>
    <s v="Received"/>
    <d v="2024-01-04T00:00:00"/>
    <s v="Net 45"/>
    <s v="On Time"/>
  </r>
  <r>
    <s v="AR20760"/>
    <x v="1"/>
    <x v="516"/>
    <d v="2024-06-27T00:00:00"/>
    <n v="555.04999999999995"/>
    <s v="AUD"/>
    <s v="Received"/>
    <d v="2024-06-27T00:00:00"/>
    <s v="Net 45"/>
    <s v="On Time"/>
  </r>
  <r>
    <s v="AR20761"/>
    <x v="1"/>
    <x v="1"/>
    <d v="2025-05-16T00:00:00"/>
    <n v="4786.58"/>
    <s v="USD"/>
    <s v="Received"/>
    <d v="2025-05-16T00:00:00"/>
    <s v="Net 45"/>
    <s v="On Time"/>
  </r>
  <r>
    <s v="AR20762"/>
    <x v="4"/>
    <x v="180"/>
    <d v="2023-02-22T00:00:00"/>
    <n v="4534.3999999999996"/>
    <s v="EUR"/>
    <s v="Received"/>
    <d v="2023-02-22T00:00:00"/>
    <s v="Net 45"/>
    <s v="On Time"/>
  </r>
  <r>
    <s v="AR20763"/>
    <x v="0"/>
    <x v="187"/>
    <d v="2023-12-31T00:00:00"/>
    <n v="5553.38"/>
    <s v="AUD"/>
    <s v="Received"/>
    <d v="2023-12-31T00:00:00"/>
    <s v="Net 45"/>
    <s v="On Time"/>
  </r>
  <r>
    <s v="AR20764"/>
    <x v="4"/>
    <x v="83"/>
    <d v="2023-09-18T00:00:00"/>
    <n v="4181.1899999999996"/>
    <s v="AUD"/>
    <s v="Open"/>
    <m/>
    <s v="Net 45"/>
    <s v="Unpaid"/>
  </r>
  <r>
    <s v="AR20765"/>
    <x v="0"/>
    <x v="517"/>
    <d v="2024-07-27T00:00:00"/>
    <n v="2073.36"/>
    <s v="GBP"/>
    <s v="Received"/>
    <d v="2024-07-27T00:00:00"/>
    <s v="Net 45"/>
    <s v="On Time"/>
  </r>
  <r>
    <s v="AR20766"/>
    <x v="3"/>
    <x v="518"/>
    <d v="2024-10-06T00:00:00"/>
    <n v="5261.47"/>
    <s v="USD"/>
    <s v="Open"/>
    <m/>
    <s v="Net 45"/>
    <s v="Unpaid"/>
  </r>
  <r>
    <s v="AR20767"/>
    <x v="4"/>
    <x v="304"/>
    <d v="2024-01-17T00:00:00"/>
    <n v="4961.4399999999996"/>
    <s v="AUD"/>
    <s v="Open"/>
    <m/>
    <s v="Net 45"/>
    <s v="Unpaid"/>
  </r>
  <r>
    <s v="AR20768"/>
    <x v="0"/>
    <x v="519"/>
    <d v="2025-07-17T00:00:00"/>
    <n v="3635.6"/>
    <s v="GBP"/>
    <s v="Received"/>
    <d v="2025-07-17T00:00:00"/>
    <s v="Net 45"/>
    <s v="On Time"/>
  </r>
  <r>
    <s v="AR20769"/>
    <x v="1"/>
    <x v="258"/>
    <d v="2025-06-18T00:00:00"/>
    <n v="556.26"/>
    <s v="GBP"/>
    <s v="Open"/>
    <m/>
    <s v="Net 45"/>
    <s v="Unpaid"/>
  </r>
  <r>
    <s v="AR20770"/>
    <x v="4"/>
    <x v="157"/>
    <d v="2025-05-20T00:00:00"/>
    <n v="3646.79"/>
    <s v="EUR"/>
    <s v="Open"/>
    <m/>
    <s v="Net 45"/>
    <s v="Unpaid"/>
  </r>
  <r>
    <s v="AR20771"/>
    <x v="2"/>
    <x v="520"/>
    <d v="2024-07-16T00:00:00"/>
    <n v="3481.23"/>
    <s v="CAD"/>
    <s v="Received"/>
    <d v="2024-07-16T00:00:00"/>
    <s v="Net 45"/>
    <s v="On Time"/>
  </r>
  <r>
    <s v="AR20772"/>
    <x v="3"/>
    <x v="202"/>
    <d v="2023-05-12T00:00:00"/>
    <n v="5455.28"/>
    <s v="EUR"/>
    <s v="Received"/>
    <d v="2023-05-12T00:00:00"/>
    <s v="Net 45"/>
    <s v="On Time"/>
  </r>
  <r>
    <s v="AR20773"/>
    <x v="1"/>
    <x v="521"/>
    <d v="2024-08-17T00:00:00"/>
    <n v="878.36"/>
    <s v="GBP"/>
    <s v="Received"/>
    <d v="2024-08-17T00:00:00"/>
    <s v="Net 45"/>
    <s v="On Time"/>
  </r>
  <r>
    <s v="AR20774"/>
    <x v="3"/>
    <x v="522"/>
    <d v="2024-05-29T00:00:00"/>
    <n v="3961.35"/>
    <s v="GBP"/>
    <s v="Partial"/>
    <m/>
    <s v="Net 45"/>
    <s v="Unpaid"/>
  </r>
  <r>
    <s v="AR20775"/>
    <x v="2"/>
    <x v="16"/>
    <d v="2025-06-30T00:00:00"/>
    <n v="1826.28"/>
    <s v="GBP"/>
    <s v="Received"/>
    <d v="2025-06-30T00:00:00"/>
    <s v="Net 45"/>
    <s v="On Time"/>
  </r>
  <r>
    <s v="AR20776"/>
    <x v="3"/>
    <x v="387"/>
    <d v="2023-03-13T00:00:00"/>
    <n v="1812.47"/>
    <s v="EUR"/>
    <s v="Partial"/>
    <m/>
    <s v="Net 45"/>
    <s v="Unpaid"/>
  </r>
  <r>
    <s v="AR20777"/>
    <x v="4"/>
    <x v="523"/>
    <d v="2025-01-29T00:00:00"/>
    <n v="661.49"/>
    <s v="USD"/>
    <s v="Open"/>
    <m/>
    <s v="Net 45"/>
    <s v="Unpaid"/>
  </r>
  <r>
    <s v="AR20778"/>
    <x v="0"/>
    <x v="524"/>
    <d v="2025-02-25T00:00:00"/>
    <n v="5875.17"/>
    <s v="EUR"/>
    <s v="Received"/>
    <d v="2025-02-25T00:00:00"/>
    <s v="Net 45"/>
    <s v="On Time"/>
  </r>
  <r>
    <s v="AR20779"/>
    <x v="1"/>
    <x v="108"/>
    <d v="2024-06-06T00:00:00"/>
    <n v="6564.03"/>
    <s v="CAD"/>
    <s v="Received"/>
    <d v="2024-06-06T00:00:00"/>
    <s v="Net 45"/>
    <s v="On Time"/>
  </r>
  <r>
    <s v="AR20780"/>
    <x v="0"/>
    <x v="525"/>
    <d v="2023-02-26T00:00:00"/>
    <n v="5553.31"/>
    <s v="GBP"/>
    <s v="Received"/>
    <d v="2023-02-26T00:00:00"/>
    <s v="Net 45"/>
    <s v="On Time"/>
  </r>
  <r>
    <s v="AR20781"/>
    <x v="3"/>
    <x v="434"/>
    <d v="2024-04-02T00:00:00"/>
    <n v="1061.81"/>
    <s v="AUD"/>
    <s v="Partial"/>
    <m/>
    <s v="Net 45"/>
    <s v="Unpaid"/>
  </r>
  <r>
    <s v="AR20782"/>
    <x v="2"/>
    <x v="433"/>
    <d v="2024-09-22T00:00:00"/>
    <n v="7675.26"/>
    <s v="CAD"/>
    <s v="Received"/>
    <d v="2024-09-22T00:00:00"/>
    <s v="Net 45"/>
    <s v="On Time"/>
  </r>
  <r>
    <s v="AR20783"/>
    <x v="2"/>
    <x v="287"/>
    <d v="2025-01-21T00:00:00"/>
    <n v="3464.63"/>
    <s v="AUD"/>
    <s v="Open"/>
    <m/>
    <s v="Net 45"/>
    <s v="Unpaid"/>
  </r>
  <r>
    <s v="AR20784"/>
    <x v="1"/>
    <x v="526"/>
    <d v="2024-02-15T00:00:00"/>
    <n v="3760.84"/>
    <s v="EUR"/>
    <s v="Received"/>
    <d v="2024-02-15T00:00:00"/>
    <s v="Net 45"/>
    <s v="On Time"/>
  </r>
  <r>
    <s v="AR20785"/>
    <x v="4"/>
    <x v="527"/>
    <d v="2023-04-14T00:00:00"/>
    <n v="3807.09"/>
    <s v="USD"/>
    <s v="Received"/>
    <d v="2023-04-14T00:00:00"/>
    <s v="Net 45"/>
    <s v="On Time"/>
  </r>
  <r>
    <s v="AR20786"/>
    <x v="1"/>
    <x v="528"/>
    <d v="2024-12-15T00:00:00"/>
    <n v="686.86"/>
    <s v="GBP"/>
    <s v="Partial"/>
    <m/>
    <s v="Net 45"/>
    <s v="Unpaid"/>
  </r>
  <r>
    <s v="AR20787"/>
    <x v="1"/>
    <x v="529"/>
    <d v="2025-01-18T00:00:00"/>
    <n v="6790.46"/>
    <s v="CAD"/>
    <s v="Received"/>
    <d v="2025-01-18T00:00:00"/>
    <s v="Net 45"/>
    <s v="On Time"/>
  </r>
  <r>
    <s v="AR20788"/>
    <x v="2"/>
    <x v="171"/>
    <d v="2024-07-25T00:00:00"/>
    <n v="7091.17"/>
    <s v="AUD"/>
    <s v="Open"/>
    <m/>
    <s v="Net 45"/>
    <s v="Unpaid"/>
  </r>
  <r>
    <s v="AR20789"/>
    <x v="4"/>
    <x v="381"/>
    <d v="2024-06-07T00:00:00"/>
    <n v="7699.12"/>
    <s v="USD"/>
    <s v="Partial"/>
    <m/>
    <s v="Net 45"/>
    <s v="Unpaid"/>
  </r>
  <r>
    <s v="AR20790"/>
    <x v="4"/>
    <x v="530"/>
    <d v="2025-05-12T00:00:00"/>
    <n v="5087.32"/>
    <s v="GBP"/>
    <s v="Received"/>
    <d v="2025-05-12T00:00:00"/>
    <s v="Net 45"/>
    <s v="On Time"/>
  </r>
  <r>
    <s v="AR20791"/>
    <x v="2"/>
    <x v="531"/>
    <d v="2023-05-09T00:00:00"/>
    <n v="2075.5"/>
    <s v="GBP"/>
    <s v="Partial"/>
    <m/>
    <s v="Net 45"/>
    <s v="Unpaid"/>
  </r>
  <r>
    <s v="AR20792"/>
    <x v="2"/>
    <x v="115"/>
    <d v="2024-08-16T00:00:00"/>
    <n v="1547.05"/>
    <s v="CAD"/>
    <s v="Open"/>
    <m/>
    <s v="Net 45"/>
    <s v="Unpaid"/>
  </r>
  <r>
    <s v="AR20793"/>
    <x v="2"/>
    <x v="114"/>
    <d v="2025-06-04T00:00:00"/>
    <n v="200.4"/>
    <s v="EUR"/>
    <s v="Partial"/>
    <m/>
    <s v="Net 45"/>
    <s v="Unpaid"/>
  </r>
  <r>
    <s v="AR20794"/>
    <x v="3"/>
    <x v="532"/>
    <d v="2023-10-07T00:00:00"/>
    <n v="1095.1199999999999"/>
    <s v="USD"/>
    <s v="Partial"/>
    <m/>
    <s v="Net 45"/>
    <s v="Unpaid"/>
  </r>
  <r>
    <s v="AR20795"/>
    <x v="0"/>
    <x v="533"/>
    <d v="2023-04-01T00:00:00"/>
    <n v="674.83"/>
    <s v="AUD"/>
    <s v="Open"/>
    <m/>
    <s v="Net 45"/>
    <s v="Unpaid"/>
  </r>
  <r>
    <s v="AR20796"/>
    <x v="3"/>
    <x v="73"/>
    <d v="2024-11-29T00:00:00"/>
    <n v="631.80999999999995"/>
    <s v="CAD"/>
    <s v="Partial"/>
    <m/>
    <s v="Net 45"/>
    <s v="Unpaid"/>
  </r>
  <r>
    <s v="AR20797"/>
    <x v="3"/>
    <x v="380"/>
    <d v="2023-11-23T00:00:00"/>
    <n v="6298.56"/>
    <s v="GBP"/>
    <s v="Open"/>
    <m/>
    <s v="Net 45"/>
    <s v="Unpaid"/>
  </r>
  <r>
    <s v="AR20798"/>
    <x v="2"/>
    <x v="210"/>
    <d v="2024-04-09T00:00:00"/>
    <n v="340.12"/>
    <s v="CAD"/>
    <s v="Partial"/>
    <m/>
    <s v="Net 45"/>
    <s v="Unpaid"/>
  </r>
  <r>
    <s v="AR20799"/>
    <x v="1"/>
    <x v="534"/>
    <d v="2023-04-22T00:00:00"/>
    <n v="3782.01"/>
    <s v="GBP"/>
    <s v="Open"/>
    <m/>
    <s v="Net 45"/>
    <s v="Unpaid"/>
  </r>
  <r>
    <s v="AR20800"/>
    <x v="3"/>
    <x v="535"/>
    <d v="2024-02-23T00:00:00"/>
    <n v="1451.63"/>
    <s v="EUR"/>
    <s v="Received"/>
    <d v="2024-02-23T00:00:00"/>
    <s v="Net 45"/>
    <s v="On Time"/>
  </r>
  <r>
    <s v="AR20801"/>
    <x v="2"/>
    <x v="536"/>
    <d v="2023-05-10T00:00:00"/>
    <n v="1981.05"/>
    <s v="CAD"/>
    <s v="Received"/>
    <d v="2023-05-10T00:00:00"/>
    <s v="Net 45"/>
    <s v="On Time"/>
  </r>
  <r>
    <s v="AR20802"/>
    <x v="2"/>
    <x v="537"/>
    <d v="2023-05-20T00:00:00"/>
    <n v="2705.53"/>
    <s v="CAD"/>
    <s v="Partial"/>
    <m/>
    <s v="Net 45"/>
    <s v="Unpaid"/>
  </r>
  <r>
    <s v="AR20803"/>
    <x v="1"/>
    <x v="268"/>
    <d v="2023-04-08T00:00:00"/>
    <n v="3205.57"/>
    <s v="USD"/>
    <s v="Received"/>
    <d v="2023-04-08T00:00:00"/>
    <s v="Net 45"/>
    <s v="On Time"/>
  </r>
  <r>
    <s v="AR20804"/>
    <x v="2"/>
    <x v="44"/>
    <d v="2025-05-22T00:00:00"/>
    <n v="1545.02"/>
    <s v="USD"/>
    <s v="Partial"/>
    <m/>
    <s v="Net 45"/>
    <s v="Unpaid"/>
  </r>
  <r>
    <s v="AR20805"/>
    <x v="2"/>
    <x v="41"/>
    <d v="2023-11-27T00:00:00"/>
    <n v="2254.5500000000002"/>
    <s v="GBP"/>
    <s v="Open"/>
    <m/>
    <s v="Net 45"/>
    <s v="Unpaid"/>
  </r>
  <r>
    <s v="AR20806"/>
    <x v="0"/>
    <x v="441"/>
    <d v="2023-06-04T00:00:00"/>
    <n v="4375.79"/>
    <s v="USD"/>
    <s v="Received"/>
    <d v="2023-06-04T00:00:00"/>
    <s v="Net 45"/>
    <s v="On Time"/>
  </r>
  <r>
    <s v="AR20807"/>
    <x v="2"/>
    <x v="27"/>
    <d v="2023-12-02T00:00:00"/>
    <n v="4432.12"/>
    <s v="CAD"/>
    <s v="Received"/>
    <d v="2023-12-02T00:00:00"/>
    <s v="Net 45"/>
    <s v="On Time"/>
  </r>
  <r>
    <s v="AR20808"/>
    <x v="2"/>
    <x v="538"/>
    <d v="2023-09-17T00:00:00"/>
    <n v="4568.71"/>
    <s v="EUR"/>
    <s v="Partial"/>
    <m/>
    <s v="Net 45"/>
    <s v="Unpaid"/>
  </r>
  <r>
    <s v="AR20809"/>
    <x v="3"/>
    <x v="539"/>
    <d v="2024-02-07T00:00:00"/>
    <n v="1773.02"/>
    <s v="GBP"/>
    <s v="Received"/>
    <d v="2024-02-07T00:00:00"/>
    <s v="Net 45"/>
    <s v="On Time"/>
  </r>
  <r>
    <s v="AR20810"/>
    <x v="3"/>
    <x v="525"/>
    <d v="2023-02-26T00:00:00"/>
    <n v="4728.13"/>
    <s v="CAD"/>
    <s v="Received"/>
    <d v="2023-02-26T00:00:00"/>
    <s v="Net 45"/>
    <s v="On Time"/>
  </r>
  <r>
    <s v="AR20811"/>
    <x v="2"/>
    <x v="527"/>
    <d v="2023-04-14T00:00:00"/>
    <n v="6487.26"/>
    <s v="CAD"/>
    <s v="Open"/>
    <m/>
    <s v="Net 45"/>
    <s v="Unpaid"/>
  </r>
  <r>
    <s v="AR20812"/>
    <x v="1"/>
    <x v="540"/>
    <d v="2023-12-11T00:00:00"/>
    <n v="4068.12"/>
    <s v="EUR"/>
    <s v="Open"/>
    <m/>
    <s v="Net 45"/>
    <s v="Unpaid"/>
  </r>
  <r>
    <s v="AR20813"/>
    <x v="4"/>
    <x v="11"/>
    <d v="2025-01-19T00:00:00"/>
    <n v="6480.06"/>
    <s v="GBP"/>
    <s v="Partial"/>
    <m/>
    <s v="Net 45"/>
    <s v="Unpaid"/>
  </r>
  <r>
    <s v="AR20814"/>
    <x v="0"/>
    <x v="541"/>
    <d v="2024-09-27T00:00:00"/>
    <n v="3518.68"/>
    <s v="EUR"/>
    <s v="Open"/>
    <m/>
    <s v="Net 45"/>
    <s v="Unpaid"/>
  </r>
  <r>
    <s v="AR20815"/>
    <x v="0"/>
    <x v="443"/>
    <d v="2024-02-27T00:00:00"/>
    <n v="4965.96"/>
    <s v="GBP"/>
    <s v="Open"/>
    <m/>
    <s v="Net 45"/>
    <s v="Unpaid"/>
  </r>
  <r>
    <s v="AR20816"/>
    <x v="1"/>
    <x v="273"/>
    <d v="2024-02-14T00:00:00"/>
    <n v="4868.8900000000003"/>
    <s v="USD"/>
    <s v="Partial"/>
    <m/>
    <s v="Net 45"/>
    <s v="Unpaid"/>
  </r>
  <r>
    <s v="AR20817"/>
    <x v="1"/>
    <x v="340"/>
    <d v="2024-04-25T00:00:00"/>
    <n v="4916.9799999999996"/>
    <s v="USD"/>
    <s v="Received"/>
    <d v="2024-04-25T00:00:00"/>
    <s v="Net 45"/>
    <s v="On Time"/>
  </r>
  <r>
    <s v="AR20818"/>
    <x v="0"/>
    <x v="542"/>
    <d v="2024-08-11T00:00:00"/>
    <n v="3806.24"/>
    <s v="GBP"/>
    <s v="Received"/>
    <d v="2024-08-11T00:00:00"/>
    <s v="Net 45"/>
    <s v="On Time"/>
  </r>
  <r>
    <s v="AR20819"/>
    <x v="2"/>
    <x v="178"/>
    <d v="2025-07-21T00:00:00"/>
    <n v="5185.96"/>
    <s v="USD"/>
    <s v="Open"/>
    <m/>
    <s v="Net 45"/>
    <s v="Unpaid"/>
  </r>
  <r>
    <s v="AR20820"/>
    <x v="1"/>
    <x v="543"/>
    <d v="2024-02-25T00:00:00"/>
    <n v="4303.5600000000004"/>
    <s v="AUD"/>
    <s v="Open"/>
    <m/>
    <s v="Net 45"/>
    <s v="Unpaid"/>
  </r>
  <r>
    <s v="AR20821"/>
    <x v="0"/>
    <x v="47"/>
    <d v="2023-08-15T00:00:00"/>
    <n v="6011.5"/>
    <s v="USD"/>
    <s v="Open"/>
    <m/>
    <s v="Net 45"/>
    <s v="Unpaid"/>
  </r>
  <r>
    <s v="AR20822"/>
    <x v="3"/>
    <x v="544"/>
    <d v="2025-03-01T00:00:00"/>
    <n v="3111.71"/>
    <s v="CAD"/>
    <s v="Open"/>
    <m/>
    <s v="Net 45"/>
    <s v="Unpaid"/>
  </r>
  <r>
    <s v="AR20823"/>
    <x v="4"/>
    <x v="545"/>
    <d v="2025-01-06T00:00:00"/>
    <n v="7891.74"/>
    <s v="GBP"/>
    <s v="Partial"/>
    <m/>
    <s v="Net 45"/>
    <s v="Unpaid"/>
  </r>
  <r>
    <s v="AR20824"/>
    <x v="2"/>
    <x v="95"/>
    <d v="2024-02-08T00:00:00"/>
    <n v="4155.67"/>
    <s v="USD"/>
    <s v="Partial"/>
    <m/>
    <s v="Net 45"/>
    <s v="Unpaid"/>
  </r>
  <r>
    <s v="AR20825"/>
    <x v="3"/>
    <x v="460"/>
    <d v="2024-10-04T00:00:00"/>
    <n v="3416.11"/>
    <s v="CAD"/>
    <s v="Open"/>
    <m/>
    <s v="Net 45"/>
    <s v="Unpaid"/>
  </r>
  <r>
    <s v="AR20826"/>
    <x v="4"/>
    <x v="191"/>
    <d v="2025-06-05T00:00:00"/>
    <n v="3101.41"/>
    <s v="GBP"/>
    <s v="Open"/>
    <m/>
    <s v="Net 45"/>
    <s v="Unpaid"/>
  </r>
  <r>
    <s v="AR20827"/>
    <x v="2"/>
    <x v="546"/>
    <d v="2025-08-04T00:00:00"/>
    <n v="4340.3100000000004"/>
    <s v="USD"/>
    <s v="Partial"/>
    <m/>
    <s v="Net 45"/>
    <s v="Unpaid"/>
  </r>
  <r>
    <s v="AR20828"/>
    <x v="1"/>
    <x v="547"/>
    <d v="2024-10-30T00:00:00"/>
    <n v="3421.13"/>
    <s v="USD"/>
    <s v="Received"/>
    <d v="2024-10-30T00:00:00"/>
    <s v="Net 45"/>
    <s v="On Time"/>
  </r>
  <r>
    <s v="AR20829"/>
    <x v="0"/>
    <x v="418"/>
    <d v="2025-08-12T00:00:00"/>
    <n v="6109.5"/>
    <s v="USD"/>
    <s v="Open"/>
    <m/>
    <s v="Net 45"/>
    <s v="Unpaid"/>
  </r>
  <r>
    <s v="AR20830"/>
    <x v="4"/>
    <x v="8"/>
    <d v="2025-02-19T00:00:00"/>
    <n v="5463.95"/>
    <s v="EUR"/>
    <s v="Partial"/>
    <m/>
    <s v="Net 45"/>
    <s v="Unpaid"/>
  </r>
  <r>
    <s v="AR20831"/>
    <x v="3"/>
    <x v="198"/>
    <d v="2023-10-06T00:00:00"/>
    <n v="6119.76"/>
    <s v="CAD"/>
    <s v="Received"/>
    <d v="2023-10-06T00:00:00"/>
    <s v="Net 45"/>
    <s v="On Time"/>
  </r>
  <r>
    <s v="AR20832"/>
    <x v="4"/>
    <x v="301"/>
    <d v="2024-04-23T00:00:00"/>
    <n v="5529.68"/>
    <s v="EUR"/>
    <s v="Open"/>
    <m/>
    <s v="Net 45"/>
    <s v="Unpaid"/>
  </r>
  <r>
    <s v="AR20833"/>
    <x v="4"/>
    <x v="260"/>
    <d v="2025-02-03T00:00:00"/>
    <n v="5859.96"/>
    <s v="GBP"/>
    <s v="Received"/>
    <d v="2025-02-03T00:00:00"/>
    <s v="Net 45"/>
    <s v="On Time"/>
  </r>
  <r>
    <s v="AR20834"/>
    <x v="0"/>
    <x v="24"/>
    <d v="2023-08-22T00:00:00"/>
    <n v="7051.74"/>
    <s v="GBP"/>
    <s v="Received"/>
    <d v="2023-08-22T00:00:00"/>
    <s v="Net 45"/>
    <s v="On Time"/>
  </r>
  <r>
    <s v="AR20835"/>
    <x v="2"/>
    <x v="548"/>
    <d v="2023-02-23T00:00:00"/>
    <n v="1546.25"/>
    <s v="EUR"/>
    <s v="Open"/>
    <m/>
    <s v="Net 45"/>
    <s v="Unpaid"/>
  </r>
  <r>
    <s v="AR20836"/>
    <x v="3"/>
    <x v="549"/>
    <d v="2025-06-12T00:00:00"/>
    <n v="6604.35"/>
    <s v="USD"/>
    <s v="Partial"/>
    <m/>
    <s v="Net 45"/>
    <s v="Unpaid"/>
  </r>
  <r>
    <s v="AR20837"/>
    <x v="4"/>
    <x v="270"/>
    <d v="2024-03-09T00:00:00"/>
    <n v="2420.27"/>
    <s v="AUD"/>
    <s v="Partial"/>
    <m/>
    <s v="Net 45"/>
    <s v="Unpaid"/>
  </r>
  <r>
    <s v="AR20838"/>
    <x v="2"/>
    <x v="63"/>
    <d v="2024-12-08T00:00:00"/>
    <n v="4890.76"/>
    <s v="USD"/>
    <s v="Partial"/>
    <m/>
    <s v="Net 45"/>
    <s v="Unpaid"/>
  </r>
  <r>
    <s v="AR20839"/>
    <x v="0"/>
    <x v="550"/>
    <d v="2024-03-23T00:00:00"/>
    <n v="5733.98"/>
    <s v="GBP"/>
    <s v="Partial"/>
    <m/>
    <s v="Net 45"/>
    <s v="Unpaid"/>
  </r>
  <r>
    <s v="AR20840"/>
    <x v="4"/>
    <x v="551"/>
    <d v="2025-06-09T00:00:00"/>
    <n v="3537.28"/>
    <s v="USD"/>
    <s v="Received"/>
    <d v="2025-06-09T00:00:00"/>
    <s v="Net 45"/>
    <s v="On Time"/>
  </r>
  <r>
    <s v="AR20841"/>
    <x v="0"/>
    <x v="552"/>
    <d v="2024-06-10T00:00:00"/>
    <n v="2302.83"/>
    <s v="EUR"/>
    <s v="Received"/>
    <d v="2024-06-10T00:00:00"/>
    <s v="Net 45"/>
    <s v="On Time"/>
  </r>
  <r>
    <s v="AR20842"/>
    <x v="1"/>
    <x v="394"/>
    <d v="2025-04-13T00:00:00"/>
    <n v="6136.41"/>
    <s v="CAD"/>
    <s v="Open"/>
    <m/>
    <s v="Net 45"/>
    <s v="Unpaid"/>
  </r>
  <r>
    <s v="AR20843"/>
    <x v="1"/>
    <x v="325"/>
    <d v="2024-03-08T00:00:00"/>
    <n v="679.54"/>
    <s v="USD"/>
    <s v="Open"/>
    <m/>
    <s v="Net 45"/>
    <s v="Unpaid"/>
  </r>
  <r>
    <s v="AR20844"/>
    <x v="2"/>
    <x v="553"/>
    <d v="2023-03-26T00:00:00"/>
    <n v="6397.31"/>
    <s v="EUR"/>
    <s v="Partial"/>
    <m/>
    <s v="Net 45"/>
    <s v="Unpaid"/>
  </r>
  <r>
    <s v="AR20845"/>
    <x v="4"/>
    <x v="554"/>
    <d v="2025-06-10T00:00:00"/>
    <n v="6130.22"/>
    <s v="GBP"/>
    <s v="Received"/>
    <d v="2025-06-10T00:00:00"/>
    <s v="Net 45"/>
    <s v="On Time"/>
  </r>
  <r>
    <s v="AR20846"/>
    <x v="3"/>
    <x v="555"/>
    <d v="2023-02-28T00:00:00"/>
    <n v="7832.04"/>
    <s v="AUD"/>
    <s v="Received"/>
    <d v="2023-02-28T00:00:00"/>
    <s v="Net 45"/>
    <s v="On Time"/>
  </r>
  <r>
    <s v="AR20847"/>
    <x v="1"/>
    <x v="238"/>
    <d v="2024-12-07T00:00:00"/>
    <n v="4671.99"/>
    <s v="CAD"/>
    <s v="Partial"/>
    <m/>
    <s v="Net 45"/>
    <s v="Unpaid"/>
  </r>
  <r>
    <s v="AR20848"/>
    <x v="0"/>
    <x v="438"/>
    <d v="2024-02-28T00:00:00"/>
    <n v="4213.26"/>
    <s v="CAD"/>
    <s v="Partial"/>
    <m/>
    <s v="Net 45"/>
    <s v="Unpaid"/>
  </r>
  <r>
    <s v="AR20849"/>
    <x v="4"/>
    <x v="209"/>
    <d v="2023-06-15T00:00:00"/>
    <n v="7245.84"/>
    <s v="AUD"/>
    <s v="Partial"/>
    <m/>
    <s v="Net 45"/>
    <s v="Unpaid"/>
  </r>
  <r>
    <s v="AR20850"/>
    <x v="0"/>
    <x v="556"/>
    <d v="2023-10-01T00:00:00"/>
    <n v="3490.61"/>
    <s v="EUR"/>
    <s v="Partial"/>
    <m/>
    <s v="Net 45"/>
    <s v="Unpaid"/>
  </r>
  <r>
    <s v="AR20851"/>
    <x v="2"/>
    <x v="557"/>
    <d v="2024-01-10T00:00:00"/>
    <n v="4514.91"/>
    <s v="USD"/>
    <s v="Open"/>
    <m/>
    <s v="Net 45"/>
    <s v="Unpaid"/>
  </r>
  <r>
    <s v="AR20852"/>
    <x v="2"/>
    <x v="558"/>
    <d v="2024-04-03T00:00:00"/>
    <n v="507"/>
    <s v="GBP"/>
    <s v="Received"/>
    <d v="2024-04-03T00:00:00"/>
    <s v="Net 45"/>
    <s v="On Time"/>
  </r>
  <r>
    <s v="AR20853"/>
    <x v="0"/>
    <x v="548"/>
    <d v="2023-02-23T00:00:00"/>
    <n v="860.68"/>
    <s v="CAD"/>
    <s v="Open"/>
    <m/>
    <s v="Net 45"/>
    <s v="Unpaid"/>
  </r>
  <r>
    <s v="AR20854"/>
    <x v="4"/>
    <x v="347"/>
    <d v="2025-07-01T00:00:00"/>
    <n v="3179.28"/>
    <s v="GBP"/>
    <s v="Open"/>
    <m/>
    <s v="Net 45"/>
    <s v="Unpaid"/>
  </r>
  <r>
    <s v="AR20855"/>
    <x v="2"/>
    <x v="113"/>
    <d v="2023-10-30T00:00:00"/>
    <n v="3603.83"/>
    <s v="CAD"/>
    <s v="Received"/>
    <d v="2023-10-30T00:00:00"/>
    <s v="Net 45"/>
    <s v="On Time"/>
  </r>
  <r>
    <s v="AR20856"/>
    <x v="3"/>
    <x v="252"/>
    <d v="2024-01-12T00:00:00"/>
    <n v="267.24"/>
    <s v="AUD"/>
    <s v="Open"/>
    <m/>
    <s v="Net 45"/>
    <s v="Unpaid"/>
  </r>
  <r>
    <s v="AR20857"/>
    <x v="2"/>
    <x v="559"/>
    <d v="2025-07-12T00:00:00"/>
    <n v="6493.35"/>
    <s v="AUD"/>
    <s v="Received"/>
    <d v="2025-07-12T00:00:00"/>
    <s v="Net 45"/>
    <s v="On Time"/>
  </r>
  <r>
    <s v="AR20858"/>
    <x v="4"/>
    <x v="431"/>
    <d v="2023-10-14T00:00:00"/>
    <n v="5155.55"/>
    <s v="CAD"/>
    <s v="Partial"/>
    <m/>
    <s v="Net 45"/>
    <s v="Unpaid"/>
  </r>
  <r>
    <s v="AR20859"/>
    <x v="2"/>
    <x v="560"/>
    <d v="2024-12-29T00:00:00"/>
    <n v="5605.91"/>
    <s v="USD"/>
    <s v="Partial"/>
    <m/>
    <s v="Net 45"/>
    <s v="Unpaid"/>
  </r>
  <r>
    <s v="AR20860"/>
    <x v="0"/>
    <x v="148"/>
    <d v="2025-03-23T00:00:00"/>
    <n v="6041.09"/>
    <s v="EUR"/>
    <s v="Partial"/>
    <m/>
    <s v="Net 45"/>
    <s v="Unpaid"/>
  </r>
  <r>
    <s v="AR20861"/>
    <x v="2"/>
    <x v="561"/>
    <d v="2023-03-12T00:00:00"/>
    <n v="4640.58"/>
    <s v="GBP"/>
    <s v="Open"/>
    <m/>
    <s v="Net 45"/>
    <s v="Unpaid"/>
  </r>
  <r>
    <s v="AR20862"/>
    <x v="4"/>
    <x v="533"/>
    <d v="2023-04-01T00:00:00"/>
    <n v="733.3"/>
    <s v="GBP"/>
    <s v="Partial"/>
    <m/>
    <s v="Net 45"/>
    <s v="Unpaid"/>
  </r>
  <r>
    <s v="AR20863"/>
    <x v="4"/>
    <x v="346"/>
    <d v="2023-07-11T00:00:00"/>
    <n v="5029.3999999999996"/>
    <s v="AUD"/>
    <s v="Received"/>
    <d v="2023-07-11T00:00:00"/>
    <s v="Net 45"/>
    <s v="On Time"/>
  </r>
  <r>
    <s v="AR20864"/>
    <x v="1"/>
    <x v="180"/>
    <d v="2023-02-22T00:00:00"/>
    <n v="5824.57"/>
    <s v="USD"/>
    <s v="Received"/>
    <d v="2023-02-22T00:00:00"/>
    <s v="Net 45"/>
    <s v="On Time"/>
  </r>
  <r>
    <s v="AR20865"/>
    <x v="2"/>
    <x v="316"/>
    <d v="2023-08-31T00:00:00"/>
    <n v="3219.89"/>
    <s v="EUR"/>
    <s v="Open"/>
    <m/>
    <s v="Net 45"/>
    <s v="Unpaid"/>
  </r>
  <r>
    <s v="AR20866"/>
    <x v="4"/>
    <x v="562"/>
    <d v="2024-10-14T00:00:00"/>
    <n v="2856.82"/>
    <s v="USD"/>
    <s v="Open"/>
    <m/>
    <s v="Net 45"/>
    <s v="Unpaid"/>
  </r>
  <r>
    <s v="AR20867"/>
    <x v="1"/>
    <x v="385"/>
    <d v="2024-11-13T00:00:00"/>
    <n v="4095.19"/>
    <s v="AUD"/>
    <s v="Partial"/>
    <m/>
    <s v="Net 45"/>
    <s v="Unpaid"/>
  </r>
  <r>
    <s v="AR20868"/>
    <x v="4"/>
    <x v="336"/>
    <d v="2023-12-09T00:00:00"/>
    <n v="7507.98"/>
    <s v="GBP"/>
    <s v="Open"/>
    <m/>
    <s v="Net 45"/>
    <s v="Unpaid"/>
  </r>
  <r>
    <s v="AR20869"/>
    <x v="3"/>
    <x v="563"/>
    <d v="2025-04-04T00:00:00"/>
    <n v="2271.23"/>
    <s v="CAD"/>
    <s v="Open"/>
    <m/>
    <s v="Net 45"/>
    <s v="Unpaid"/>
  </r>
  <r>
    <s v="AR20870"/>
    <x v="3"/>
    <x v="564"/>
    <d v="2023-07-15T00:00:00"/>
    <n v="4290.32"/>
    <s v="AUD"/>
    <s v="Partial"/>
    <m/>
    <s v="Net 45"/>
    <s v="Unpaid"/>
  </r>
  <r>
    <s v="AR20871"/>
    <x v="3"/>
    <x v="284"/>
    <d v="2023-10-12T00:00:00"/>
    <n v="3562.01"/>
    <s v="GBP"/>
    <s v="Open"/>
    <m/>
    <s v="Net 45"/>
    <s v="Unpaid"/>
  </r>
  <r>
    <s v="AR20872"/>
    <x v="2"/>
    <x v="209"/>
    <d v="2023-06-15T00:00:00"/>
    <n v="2117.4699999999998"/>
    <s v="USD"/>
    <s v="Open"/>
    <m/>
    <s v="Net 45"/>
    <s v="Unpaid"/>
  </r>
  <r>
    <s v="AR20873"/>
    <x v="1"/>
    <x v="234"/>
    <d v="2024-01-19T00:00:00"/>
    <n v="2865.09"/>
    <s v="GBP"/>
    <s v="Received"/>
    <d v="2024-01-19T00:00:00"/>
    <s v="Net 45"/>
    <s v="On Time"/>
  </r>
  <r>
    <s v="AR20874"/>
    <x v="0"/>
    <x v="529"/>
    <d v="2025-01-18T00:00:00"/>
    <n v="3933.4"/>
    <s v="CAD"/>
    <s v="Partial"/>
    <m/>
    <s v="Net 45"/>
    <s v="Unpaid"/>
  </r>
  <r>
    <s v="AR20875"/>
    <x v="1"/>
    <x v="565"/>
    <d v="2023-12-01T00:00:00"/>
    <n v="300.14"/>
    <s v="USD"/>
    <s v="Received"/>
    <d v="2023-12-01T00:00:00"/>
    <s v="Net 45"/>
    <s v="On Time"/>
  </r>
  <r>
    <s v="AR20876"/>
    <x v="1"/>
    <x v="33"/>
    <d v="2024-01-07T00:00:00"/>
    <n v="3365.08"/>
    <s v="USD"/>
    <s v="Open"/>
    <m/>
    <s v="Net 45"/>
    <s v="Unpaid"/>
  </r>
  <r>
    <s v="AR20877"/>
    <x v="4"/>
    <x v="566"/>
    <d v="2024-10-17T00:00:00"/>
    <n v="7336.13"/>
    <s v="GBP"/>
    <s v="Open"/>
    <m/>
    <s v="Net 45"/>
    <s v="Unpaid"/>
  </r>
  <r>
    <s v="AR20878"/>
    <x v="1"/>
    <x v="567"/>
    <d v="2023-05-07T00:00:00"/>
    <n v="5117.88"/>
    <s v="CAD"/>
    <s v="Open"/>
    <m/>
    <s v="Net 45"/>
    <s v="Unpaid"/>
  </r>
  <r>
    <s v="AR20879"/>
    <x v="3"/>
    <x v="463"/>
    <d v="2023-03-17T00:00:00"/>
    <n v="6307.06"/>
    <s v="CAD"/>
    <s v="Partial"/>
    <m/>
    <s v="Net 45"/>
    <s v="Unpaid"/>
  </r>
  <r>
    <s v="AR20880"/>
    <x v="1"/>
    <x v="205"/>
    <d v="2024-02-17T00:00:00"/>
    <n v="7493.25"/>
    <s v="USD"/>
    <s v="Open"/>
    <m/>
    <s v="Net 45"/>
    <s v="Unpaid"/>
  </r>
  <r>
    <s v="AR20881"/>
    <x v="3"/>
    <x v="262"/>
    <d v="2025-07-20T00:00:00"/>
    <n v="1666.55"/>
    <s v="GBP"/>
    <s v="Open"/>
    <m/>
    <s v="Net 45"/>
    <s v="Unpaid"/>
  </r>
  <r>
    <s v="AR20882"/>
    <x v="0"/>
    <x v="568"/>
    <d v="2023-12-21T00:00:00"/>
    <n v="7344.16"/>
    <s v="CAD"/>
    <s v="Received"/>
    <d v="2023-12-21T00:00:00"/>
    <s v="Net 45"/>
    <s v="On Time"/>
  </r>
  <r>
    <s v="AR20883"/>
    <x v="0"/>
    <x v="166"/>
    <d v="2025-03-12T00:00:00"/>
    <n v="231.22"/>
    <s v="EUR"/>
    <s v="Received"/>
    <d v="2025-03-12T00:00:00"/>
    <s v="Net 45"/>
    <s v="On Time"/>
  </r>
  <r>
    <s v="AR20884"/>
    <x v="4"/>
    <x v="321"/>
    <d v="2024-05-26T00:00:00"/>
    <n v="7661.86"/>
    <s v="USD"/>
    <s v="Partial"/>
    <m/>
    <s v="Net 45"/>
    <s v="Unpaid"/>
  </r>
  <r>
    <s v="AR20885"/>
    <x v="3"/>
    <x v="569"/>
    <d v="2024-01-15T00:00:00"/>
    <n v="6954.59"/>
    <s v="EUR"/>
    <s v="Received"/>
    <d v="2024-01-15T00:00:00"/>
    <s v="Net 45"/>
    <s v="On Time"/>
  </r>
  <r>
    <s v="AR20886"/>
    <x v="1"/>
    <x v="90"/>
    <d v="2025-05-09T00:00:00"/>
    <n v="381.98"/>
    <s v="EUR"/>
    <s v="Received"/>
    <d v="2025-05-09T00:00:00"/>
    <s v="Net 45"/>
    <s v="On Time"/>
  </r>
  <r>
    <s v="AR20887"/>
    <x v="3"/>
    <x v="570"/>
    <d v="2023-04-17T00:00:00"/>
    <n v="7168.62"/>
    <s v="USD"/>
    <s v="Open"/>
    <m/>
    <s v="Net 45"/>
    <s v="Unpaid"/>
  </r>
  <r>
    <s v="AR20888"/>
    <x v="2"/>
    <x v="563"/>
    <d v="2025-04-04T00:00:00"/>
    <n v="1538.18"/>
    <s v="GBP"/>
    <s v="Received"/>
    <d v="2025-04-04T00:00:00"/>
    <s v="Net 45"/>
    <s v="On Time"/>
  </r>
  <r>
    <s v="AR20889"/>
    <x v="1"/>
    <x v="491"/>
    <d v="2024-03-12T00:00:00"/>
    <n v="4387.1099999999997"/>
    <s v="GBP"/>
    <s v="Partial"/>
    <m/>
    <s v="Net 45"/>
    <s v="Unpaid"/>
  </r>
  <r>
    <s v="AR20890"/>
    <x v="2"/>
    <x v="527"/>
    <d v="2023-04-14T00:00:00"/>
    <n v="5828.29"/>
    <s v="EUR"/>
    <s v="Open"/>
    <m/>
    <s v="Net 45"/>
    <s v="Unpaid"/>
  </r>
  <r>
    <s v="AR20891"/>
    <x v="0"/>
    <x v="396"/>
    <d v="2023-07-05T00:00:00"/>
    <n v="5386.99"/>
    <s v="CAD"/>
    <s v="Received"/>
    <d v="2023-07-05T00:00:00"/>
    <s v="Net 45"/>
    <s v="On Time"/>
  </r>
  <r>
    <s v="AR20892"/>
    <x v="2"/>
    <x v="373"/>
    <d v="2023-07-02T00:00:00"/>
    <n v="1980.71"/>
    <s v="AUD"/>
    <s v="Open"/>
    <m/>
    <s v="Net 45"/>
    <s v="Unpaid"/>
  </r>
  <r>
    <s v="AR20893"/>
    <x v="2"/>
    <x v="482"/>
    <d v="2025-07-03T00:00:00"/>
    <n v="4129.08"/>
    <s v="EUR"/>
    <s v="Partial"/>
    <m/>
    <s v="Net 45"/>
    <s v="Unpaid"/>
  </r>
  <r>
    <s v="AR20894"/>
    <x v="0"/>
    <x v="204"/>
    <d v="2023-11-30T00:00:00"/>
    <n v="6161.04"/>
    <s v="EUR"/>
    <s v="Received"/>
    <d v="2023-11-30T00:00:00"/>
    <s v="Net 45"/>
    <s v="On Time"/>
  </r>
  <r>
    <s v="AR20895"/>
    <x v="1"/>
    <x v="571"/>
    <d v="2025-03-08T00:00:00"/>
    <n v="2056.42"/>
    <s v="AUD"/>
    <s v="Open"/>
    <m/>
    <s v="Net 45"/>
    <s v="Unpaid"/>
  </r>
  <r>
    <s v="AR20896"/>
    <x v="2"/>
    <x v="420"/>
    <d v="2024-04-11T00:00:00"/>
    <n v="1203.3"/>
    <s v="USD"/>
    <s v="Received"/>
    <d v="2024-04-11T00:00:00"/>
    <s v="Net 45"/>
    <s v="On Time"/>
  </r>
  <r>
    <s v="AR20897"/>
    <x v="4"/>
    <x v="52"/>
    <d v="2023-07-08T00:00:00"/>
    <n v="3143.41"/>
    <s v="USD"/>
    <s v="Received"/>
    <d v="2023-07-08T00:00:00"/>
    <s v="Net 45"/>
    <s v="On Time"/>
  </r>
  <r>
    <s v="AR20898"/>
    <x v="3"/>
    <x v="307"/>
    <d v="2025-01-31T00:00:00"/>
    <n v="3136.3"/>
    <s v="GBP"/>
    <s v="Partial"/>
    <m/>
    <s v="Net 45"/>
    <s v="Unpaid"/>
  </r>
  <r>
    <s v="AR20899"/>
    <x v="1"/>
    <x v="60"/>
    <d v="2025-02-26T00:00:00"/>
    <n v="2993.93"/>
    <s v="EUR"/>
    <s v="Received"/>
    <d v="2025-02-26T00:00:00"/>
    <s v="Net 45"/>
    <s v="On 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78841-8F8F-4986-93A0-C8AB9A2B236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voice AR">
  <location ref="I12:J16" firstHeaderRow="1" firstDataRow="1" firstDataCol="1"/>
  <pivotFields count="13">
    <pivotField showAll="0"/>
    <pivotField showAll="0">
      <items count="6">
        <item x="2"/>
        <item x="4"/>
        <item x="3"/>
        <item x="0"/>
        <item x="1"/>
        <item t="default"/>
      </items>
    </pivotField>
    <pivotField axis="axisRow" numFmtId="164" showAll="0">
      <items count="573">
        <item x="179"/>
        <item x="156"/>
        <item x="462"/>
        <item x="354"/>
        <item x="180"/>
        <item x="548"/>
        <item x="345"/>
        <item x="525"/>
        <item x="555"/>
        <item x="130"/>
        <item x="303"/>
        <item x="485"/>
        <item x="240"/>
        <item x="181"/>
        <item x="100"/>
        <item x="561"/>
        <item x="387"/>
        <item x="370"/>
        <item x="70"/>
        <item x="463"/>
        <item x="367"/>
        <item x="169"/>
        <item x="372"/>
        <item x="467"/>
        <item x="227"/>
        <item x="553"/>
        <item x="428"/>
        <item x="533"/>
        <item x="257"/>
        <item x="294"/>
        <item x="176"/>
        <item x="120"/>
        <item x="265"/>
        <item x="268"/>
        <item x="413"/>
        <item x="199"/>
        <item x="192"/>
        <item x="527"/>
        <item x="25"/>
        <item x="570"/>
        <item x="409"/>
        <item x="534"/>
        <item x="410"/>
        <item x="123"/>
        <item x="503"/>
        <item x="358"/>
        <item x="26"/>
        <item x="50"/>
        <item x="567"/>
        <item x="451"/>
        <item x="531"/>
        <item x="536"/>
        <item x="190"/>
        <item x="202"/>
        <item x="509"/>
        <item x="96"/>
        <item x="75"/>
        <item x="151"/>
        <item x="341"/>
        <item x="537"/>
        <item x="474"/>
        <item x="371"/>
        <item x="379"/>
        <item x="152"/>
        <item x="441"/>
        <item x="186"/>
        <item x="318"/>
        <item x="320"/>
        <item x="233"/>
        <item x="14"/>
        <item x="209"/>
        <item x="146"/>
        <item x="276"/>
        <item x="3"/>
        <item x="309"/>
        <item x="317"/>
        <item x="447"/>
        <item x="266"/>
        <item x="87"/>
        <item x="365"/>
        <item x="373"/>
        <item x="470"/>
        <item x="396"/>
        <item x="172"/>
        <item x="421"/>
        <item x="52"/>
        <item x="221"/>
        <item x="346"/>
        <item x="145"/>
        <item x="5"/>
        <item x="483"/>
        <item x="564"/>
        <item x="57"/>
        <item x="499"/>
        <item x="477"/>
        <item x="167"/>
        <item x="207"/>
        <item x="512"/>
        <item x="280"/>
        <item x="28"/>
        <item x="112"/>
        <item x="142"/>
        <item x="119"/>
        <item x="236"/>
        <item x="295"/>
        <item x="159"/>
        <item x="129"/>
        <item x="436"/>
        <item x="369"/>
        <item x="400"/>
        <item x="59"/>
        <item x="76"/>
        <item x="47"/>
        <item x="43"/>
        <item x="40"/>
        <item x="332"/>
        <item x="478"/>
        <item x="107"/>
        <item x="416"/>
        <item x="24"/>
        <item x="185"/>
        <item x="439"/>
        <item x="22"/>
        <item x="163"/>
        <item x="55"/>
        <item x="316"/>
        <item x="182"/>
        <item x="383"/>
        <item x="473"/>
        <item x="81"/>
        <item x="308"/>
        <item x="122"/>
        <item x="506"/>
        <item x="465"/>
        <item x="538"/>
        <item x="83"/>
        <item x="39"/>
        <item x="408"/>
        <item x="493"/>
        <item x="315"/>
        <item x="138"/>
        <item x="350"/>
        <item x="64"/>
        <item x="556"/>
        <item x="0"/>
        <item x="198"/>
        <item x="532"/>
        <item x="291"/>
        <item x="10"/>
        <item x="284"/>
        <item x="431"/>
        <item x="168"/>
        <item x="188"/>
        <item x="23"/>
        <item x="384"/>
        <item x="58"/>
        <item x="342"/>
        <item x="195"/>
        <item x="155"/>
        <item x="508"/>
        <item x="226"/>
        <item x="398"/>
        <item x="113"/>
        <item x="133"/>
        <item x="412"/>
        <item x="98"/>
        <item x="282"/>
        <item x="71"/>
        <item x="127"/>
        <item x="285"/>
        <item x="194"/>
        <item x="126"/>
        <item x="353"/>
        <item x="67"/>
        <item x="395"/>
        <item x="296"/>
        <item x="380"/>
        <item x="297"/>
        <item x="160"/>
        <item x="41"/>
        <item x="204"/>
        <item x="565"/>
        <item x="27"/>
        <item x="62"/>
        <item x="402"/>
        <item x="6"/>
        <item x="277"/>
        <item x="283"/>
        <item x="336"/>
        <item x="540"/>
        <item x="42"/>
        <item x="125"/>
        <item x="38"/>
        <item x="35"/>
        <item x="267"/>
        <item x="7"/>
        <item x="335"/>
        <item x="177"/>
        <item x="568"/>
        <item x="164"/>
        <item x="449"/>
        <item x="124"/>
        <item x="101"/>
        <item x="187"/>
        <item x="468"/>
        <item x="515"/>
        <item x="218"/>
        <item x="33"/>
        <item x="344"/>
        <item x="557"/>
        <item x="252"/>
        <item x="569"/>
        <item x="304"/>
        <item x="110"/>
        <item x="234"/>
        <item x="256"/>
        <item x="281"/>
        <item x="490"/>
        <item x="149"/>
        <item x="9"/>
        <item x="94"/>
        <item x="200"/>
        <item x="85"/>
        <item x="274"/>
        <item x="31"/>
        <item x="327"/>
        <item x="231"/>
        <item x="539"/>
        <item x="95"/>
        <item x="313"/>
        <item x="355"/>
        <item x="273"/>
        <item x="526"/>
        <item x="205"/>
        <item x="338"/>
        <item x="391"/>
        <item x="246"/>
        <item x="328"/>
        <item x="535"/>
        <item x="312"/>
        <item x="543"/>
        <item x="443"/>
        <item x="438"/>
        <item x="437"/>
        <item x="189"/>
        <item x="214"/>
        <item x="361"/>
        <item x="325"/>
        <item x="270"/>
        <item x="491"/>
        <item x="374"/>
        <item x="17"/>
        <item x="278"/>
        <item x="269"/>
        <item x="476"/>
        <item x="216"/>
        <item x="68"/>
        <item x="299"/>
        <item x="250"/>
        <item x="550"/>
        <item x="109"/>
        <item x="286"/>
        <item x="302"/>
        <item x="254"/>
        <item x="498"/>
        <item x="232"/>
        <item x="434"/>
        <item x="558"/>
        <item x="212"/>
        <item x="215"/>
        <item x="329"/>
        <item x="210"/>
        <item x="420"/>
        <item x="88"/>
        <item x="390"/>
        <item x="404"/>
        <item x="435"/>
        <item x="154"/>
        <item x="288"/>
        <item x="105"/>
        <item x="301"/>
        <item x="340"/>
        <item x="337"/>
        <item x="118"/>
        <item x="292"/>
        <item x="488"/>
        <item x="165"/>
        <item x="97"/>
        <item x="86"/>
        <item x="442"/>
        <item x="245"/>
        <item x="183"/>
        <item x="18"/>
        <item x="321"/>
        <item x="360"/>
        <item x="522"/>
        <item x="330"/>
        <item x="314"/>
        <item x="289"/>
        <item x="364"/>
        <item x="108"/>
        <item x="381"/>
        <item x="72"/>
        <item x="239"/>
        <item x="552"/>
        <item x="132"/>
        <item x="306"/>
        <item x="213"/>
        <item x="19"/>
        <item x="513"/>
        <item x="516"/>
        <item x="30"/>
        <item x="430"/>
        <item x="223"/>
        <item x="349"/>
        <item x="49"/>
        <item x="197"/>
        <item x="427"/>
        <item x="489"/>
        <item x="520"/>
        <item x="219"/>
        <item x="323"/>
        <item x="175"/>
        <item x="259"/>
        <item x="417"/>
        <item x="69"/>
        <item x="171"/>
        <item x="459"/>
        <item x="517"/>
        <item x="378"/>
        <item x="397"/>
        <item x="322"/>
        <item x="422"/>
        <item x="444"/>
        <item x="242"/>
        <item x="82"/>
        <item x="12"/>
        <item x="228"/>
        <item x="542"/>
        <item x="115"/>
        <item x="521"/>
        <item x="196"/>
        <item x="419"/>
        <item x="54"/>
        <item x="21"/>
        <item x="206"/>
        <item x="66"/>
        <item x="84"/>
        <item x="362"/>
        <item x="510"/>
        <item x="147"/>
        <item x="386"/>
        <item x="36"/>
        <item x="401"/>
        <item x="432"/>
        <item x="405"/>
        <item x="319"/>
        <item x="153"/>
        <item x="271"/>
        <item x="461"/>
        <item x="375"/>
        <item x="492"/>
        <item x="161"/>
        <item x="4"/>
        <item x="433"/>
        <item x="496"/>
        <item x="20"/>
        <item x="541"/>
        <item x="80"/>
        <item x="393"/>
        <item x="487"/>
        <item x="460"/>
        <item x="518"/>
        <item x="464"/>
        <item x="562"/>
        <item x="388"/>
        <item x="243"/>
        <item x="566"/>
        <item x="479"/>
        <item x="136"/>
        <item x="446"/>
        <item x="310"/>
        <item x="255"/>
        <item x="103"/>
        <item x="469"/>
        <item x="29"/>
        <item x="497"/>
        <item x="547"/>
        <item x="92"/>
        <item x="102"/>
        <item x="193"/>
        <item x="357"/>
        <item x="77"/>
        <item x="385"/>
        <item x="504"/>
        <item x="359"/>
        <item x="472"/>
        <item x="343"/>
        <item x="457"/>
        <item x="311"/>
        <item x="225"/>
        <item x="445"/>
        <item x="139"/>
        <item x="73"/>
        <item x="93"/>
        <item x="248"/>
        <item x="368"/>
        <item x="135"/>
        <item x="238"/>
        <item x="63"/>
        <item x="106"/>
        <item x="415"/>
        <item x="450"/>
        <item x="331"/>
        <item x="494"/>
        <item x="505"/>
        <item x="528"/>
        <item x="334"/>
        <item x="339"/>
        <item x="45"/>
        <item x="211"/>
        <item x="456"/>
        <item x="486"/>
        <item x="293"/>
        <item x="560"/>
        <item x="261"/>
        <item x="471"/>
        <item x="511"/>
        <item x="241"/>
        <item x="264"/>
        <item x="545"/>
        <item x="484"/>
        <item x="480"/>
        <item x="247"/>
        <item x="143"/>
        <item x="529"/>
        <item x="11"/>
        <item x="230"/>
        <item x="287"/>
        <item x="440"/>
        <item x="237"/>
        <item x="162"/>
        <item x="523"/>
        <item x="37"/>
        <item x="307"/>
        <item x="275"/>
        <item x="260"/>
        <item x="56"/>
        <item x="2"/>
        <item x="377"/>
        <item x="363"/>
        <item x="333"/>
        <item x="8"/>
        <item x="89"/>
        <item x="502"/>
        <item x="524"/>
        <item x="60"/>
        <item x="544"/>
        <item x="51"/>
        <item x="348"/>
        <item x="426"/>
        <item x="117"/>
        <item x="571"/>
        <item x="229"/>
        <item x="173"/>
        <item x="166"/>
        <item x="140"/>
        <item x="249"/>
        <item x="423"/>
        <item x="305"/>
        <item x="148"/>
        <item x="174"/>
        <item x="244"/>
        <item x="158"/>
        <item x="32"/>
        <item x="208"/>
        <item x="74"/>
        <item x="466"/>
        <item x="563"/>
        <item x="203"/>
        <item x="222"/>
        <item x="389"/>
        <item x="150"/>
        <item x="394"/>
        <item x="403"/>
        <item x="13"/>
        <item x="217"/>
        <item x="366"/>
        <item x="455"/>
        <item x="235"/>
        <item x="170"/>
        <item x="48"/>
        <item x="356"/>
        <item x="272"/>
        <item x="500"/>
        <item x="253"/>
        <item x="65"/>
        <item x="34"/>
        <item x="90"/>
        <item x="530"/>
        <item x="131"/>
        <item x="78"/>
        <item x="475"/>
        <item x="1"/>
        <item x="407"/>
        <item x="141"/>
        <item x="46"/>
        <item x="157"/>
        <item x="495"/>
        <item x="44"/>
        <item x="263"/>
        <item x="53"/>
        <item x="116"/>
        <item x="61"/>
        <item x="452"/>
        <item x="425"/>
        <item x="137"/>
        <item x="324"/>
        <item x="114"/>
        <item x="191"/>
        <item x="406"/>
        <item x="376"/>
        <item x="551"/>
        <item x="554"/>
        <item x="298"/>
        <item x="549"/>
        <item x="15"/>
        <item x="326"/>
        <item x="300"/>
        <item x="258"/>
        <item x="382"/>
        <item x="144"/>
        <item x="184"/>
        <item x="91"/>
        <item x="399"/>
        <item x="507"/>
        <item x="351"/>
        <item x="352"/>
        <item x="16"/>
        <item x="347"/>
        <item x="482"/>
        <item x="201"/>
        <item x="251"/>
        <item x="458"/>
        <item x="429"/>
        <item x="128"/>
        <item x="559"/>
        <item x="424"/>
        <item x="121"/>
        <item x="111"/>
        <item x="411"/>
        <item x="519"/>
        <item x="224"/>
        <item x="392"/>
        <item x="262"/>
        <item x="178"/>
        <item x="220"/>
        <item x="514"/>
        <item x="454"/>
        <item x="501"/>
        <item x="414"/>
        <item x="134"/>
        <item x="79"/>
        <item x="279"/>
        <item x="481"/>
        <item x="99"/>
        <item x="290"/>
        <item x="546"/>
        <item x="448"/>
        <item x="104"/>
        <item x="418"/>
        <item x="453"/>
        <item t="default"/>
      </items>
    </pivotField>
    <pivotField numFmtId="164" showAll="0"/>
    <pivotField dataField="1" numFmtId="2"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sd="0" x="0"/>
        <item sd="0" x="1"/>
        <item sd="0" x="2"/>
        <item sd="0" x="3"/>
        <item sd="0" x="4"/>
        <item t="default" sd="0"/>
      </items>
    </pivotField>
  </pivotFields>
  <rowFields count="4">
    <field x="12"/>
    <field x="11"/>
    <field x="10"/>
    <field x="2"/>
  </rowFields>
  <rowItems count="4">
    <i>
      <x v="1"/>
    </i>
    <i>
      <x v="2"/>
    </i>
    <i>
      <x v="3"/>
    </i>
    <i t="grand">
      <x/>
    </i>
  </rowItems>
  <colItems count="1">
    <i/>
  </colItems>
  <dataFields count="1">
    <dataField name="Sum of Amount" fld="4"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D52082-5C73-464B-B4D2-20E0F34845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voioce date">
  <location ref="A12:B16" firstHeaderRow="1" firstDataRow="1" firstDataCol="1"/>
  <pivotFields count="13">
    <pivotField showAll="0"/>
    <pivotField showAll="0">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dataField="1" numFmtId="2" showAll="0"/>
    <pivotField showAll="0"/>
    <pivotField showAll="0">
      <items count="4">
        <item x="0"/>
        <item x="2"/>
        <item x="1"/>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sd="0" x="1"/>
        <item sd="0" x="2"/>
        <item sd="0" x="3"/>
        <item x="4"/>
        <item t="default"/>
      </items>
    </pivotField>
  </pivotFields>
  <rowFields count="2">
    <field x="12"/>
    <field x="11"/>
  </rowFields>
  <rowItems count="4">
    <i>
      <x v="1"/>
    </i>
    <i>
      <x v="2"/>
    </i>
    <i>
      <x v="3"/>
    </i>
    <i t="grand">
      <x/>
    </i>
  </rowItems>
  <colItems count="1">
    <i/>
  </colItems>
  <dataFields count="1">
    <dataField name="Sum of Amount" fld="4" baseField="0" baseItem="0" numFmtId="2"/>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FCCE7A-C4F3-4D00-B3CA-88220A35CD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tatus">
  <location ref="A20:B24" firstHeaderRow="1" firstDataRow="1" firstDataCol="1"/>
  <pivotFields count="13">
    <pivotField showAll="0"/>
    <pivotField showAll="0">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dataField="1" numFmtId="2" showAll="0"/>
    <pivotField showAll="0"/>
    <pivotField axis="axisRow"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sd="0" x="1"/>
        <item sd="0" x="2"/>
        <item sd="0" x="3"/>
        <item x="4"/>
        <item t="default"/>
      </items>
    </pivotField>
  </pivotFields>
  <rowFields count="1">
    <field x="6"/>
  </rowFields>
  <rowItems count="4">
    <i>
      <x/>
    </i>
    <i>
      <x v="1"/>
    </i>
    <i>
      <x v="2"/>
    </i>
    <i t="grand">
      <x/>
    </i>
  </rowItems>
  <colItems count="1">
    <i/>
  </colItems>
  <dataFields count="1">
    <dataField name="Sum of Amount"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9AE638-9E7B-4D29-98CA-A2F1FC12700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8" firstHeaderRow="1" firstDataRow="1" firstDataCol="1"/>
  <pivotFields count="13">
    <pivotField showAll="0"/>
    <pivotField axis="axisRow" showAll="0">
      <items count="6">
        <item x="2"/>
        <item x="4"/>
        <item x="3"/>
        <item x="0"/>
        <item x="1"/>
        <item t="default"/>
      </items>
    </pivotField>
    <pivotField numFmtId="164" showAll="0">
      <items count="573">
        <item x="179"/>
        <item x="156"/>
        <item x="462"/>
        <item x="354"/>
        <item x="180"/>
        <item x="548"/>
        <item x="345"/>
        <item x="525"/>
        <item x="555"/>
        <item x="130"/>
        <item x="303"/>
        <item x="485"/>
        <item x="240"/>
        <item x="181"/>
        <item x="100"/>
        <item x="561"/>
        <item x="387"/>
        <item x="370"/>
        <item x="70"/>
        <item x="463"/>
        <item x="367"/>
        <item x="169"/>
        <item x="372"/>
        <item x="467"/>
        <item x="227"/>
        <item x="553"/>
        <item x="428"/>
        <item x="533"/>
        <item x="257"/>
        <item x="294"/>
        <item x="176"/>
        <item x="120"/>
        <item x="265"/>
        <item x="268"/>
        <item x="413"/>
        <item x="199"/>
        <item x="192"/>
        <item x="527"/>
        <item x="25"/>
        <item x="570"/>
        <item x="409"/>
        <item x="534"/>
        <item x="410"/>
        <item x="123"/>
        <item x="503"/>
        <item x="358"/>
        <item x="26"/>
        <item x="50"/>
        <item x="567"/>
        <item x="451"/>
        <item x="531"/>
        <item x="536"/>
        <item x="190"/>
        <item x="202"/>
        <item x="509"/>
        <item x="96"/>
        <item x="75"/>
        <item x="151"/>
        <item x="341"/>
        <item x="537"/>
        <item x="474"/>
        <item x="371"/>
        <item x="379"/>
        <item x="152"/>
        <item x="441"/>
        <item x="186"/>
        <item x="318"/>
        <item x="320"/>
        <item x="233"/>
        <item x="14"/>
        <item x="209"/>
        <item x="146"/>
        <item x="276"/>
        <item x="3"/>
        <item x="309"/>
        <item x="317"/>
        <item x="447"/>
        <item x="266"/>
        <item x="87"/>
        <item x="365"/>
        <item x="373"/>
        <item x="470"/>
        <item x="396"/>
        <item x="172"/>
        <item x="421"/>
        <item x="52"/>
        <item x="221"/>
        <item x="346"/>
        <item x="145"/>
        <item x="5"/>
        <item x="483"/>
        <item x="564"/>
        <item x="57"/>
        <item x="499"/>
        <item x="477"/>
        <item x="167"/>
        <item x="207"/>
        <item x="512"/>
        <item x="280"/>
        <item x="28"/>
        <item x="112"/>
        <item x="142"/>
        <item x="119"/>
        <item x="236"/>
        <item x="295"/>
        <item x="159"/>
        <item x="129"/>
        <item x="436"/>
        <item x="369"/>
        <item x="400"/>
        <item x="59"/>
        <item x="76"/>
        <item x="47"/>
        <item x="43"/>
        <item x="40"/>
        <item x="332"/>
        <item x="478"/>
        <item x="107"/>
        <item x="416"/>
        <item x="24"/>
        <item x="185"/>
        <item x="439"/>
        <item x="22"/>
        <item x="163"/>
        <item x="55"/>
        <item x="316"/>
        <item x="182"/>
        <item x="383"/>
        <item x="473"/>
        <item x="81"/>
        <item x="308"/>
        <item x="122"/>
        <item x="506"/>
        <item x="465"/>
        <item x="538"/>
        <item x="83"/>
        <item x="39"/>
        <item x="408"/>
        <item x="493"/>
        <item x="315"/>
        <item x="138"/>
        <item x="350"/>
        <item x="64"/>
        <item x="556"/>
        <item x="0"/>
        <item x="198"/>
        <item x="532"/>
        <item x="291"/>
        <item x="10"/>
        <item x="284"/>
        <item x="431"/>
        <item x="168"/>
        <item x="188"/>
        <item x="23"/>
        <item x="384"/>
        <item x="58"/>
        <item x="342"/>
        <item x="195"/>
        <item x="155"/>
        <item x="508"/>
        <item x="226"/>
        <item x="398"/>
        <item x="113"/>
        <item x="133"/>
        <item x="412"/>
        <item x="98"/>
        <item x="282"/>
        <item x="71"/>
        <item x="127"/>
        <item x="285"/>
        <item x="194"/>
        <item x="126"/>
        <item x="353"/>
        <item x="67"/>
        <item x="395"/>
        <item x="296"/>
        <item x="380"/>
        <item x="297"/>
        <item x="160"/>
        <item x="41"/>
        <item x="204"/>
        <item x="565"/>
        <item x="27"/>
        <item x="62"/>
        <item x="402"/>
        <item x="6"/>
        <item x="277"/>
        <item x="283"/>
        <item x="336"/>
        <item x="540"/>
        <item x="42"/>
        <item x="125"/>
        <item x="38"/>
        <item x="35"/>
        <item x="267"/>
        <item x="7"/>
        <item x="335"/>
        <item x="177"/>
        <item x="568"/>
        <item x="164"/>
        <item x="449"/>
        <item x="124"/>
        <item x="101"/>
        <item x="187"/>
        <item x="468"/>
        <item x="515"/>
        <item x="218"/>
        <item x="33"/>
        <item x="344"/>
        <item x="557"/>
        <item x="252"/>
        <item x="569"/>
        <item x="304"/>
        <item x="110"/>
        <item x="234"/>
        <item x="256"/>
        <item x="281"/>
        <item x="490"/>
        <item x="149"/>
        <item x="9"/>
        <item x="94"/>
        <item x="200"/>
        <item x="85"/>
        <item x="274"/>
        <item x="31"/>
        <item x="327"/>
        <item x="231"/>
        <item x="539"/>
        <item x="95"/>
        <item x="313"/>
        <item x="355"/>
        <item x="273"/>
        <item x="526"/>
        <item x="205"/>
        <item x="338"/>
        <item x="391"/>
        <item x="246"/>
        <item x="328"/>
        <item x="535"/>
        <item x="312"/>
        <item x="543"/>
        <item x="443"/>
        <item x="438"/>
        <item x="437"/>
        <item x="189"/>
        <item x="214"/>
        <item x="361"/>
        <item x="325"/>
        <item x="270"/>
        <item x="491"/>
        <item x="374"/>
        <item x="17"/>
        <item x="278"/>
        <item x="269"/>
        <item x="476"/>
        <item x="216"/>
        <item x="68"/>
        <item x="299"/>
        <item x="250"/>
        <item x="550"/>
        <item x="109"/>
        <item x="286"/>
        <item x="302"/>
        <item x="254"/>
        <item x="498"/>
        <item x="232"/>
        <item x="434"/>
        <item x="558"/>
        <item x="212"/>
        <item x="215"/>
        <item x="329"/>
        <item x="210"/>
        <item x="420"/>
        <item x="88"/>
        <item x="390"/>
        <item x="404"/>
        <item x="435"/>
        <item x="154"/>
        <item x="288"/>
        <item x="105"/>
        <item x="301"/>
        <item x="340"/>
        <item x="337"/>
        <item x="118"/>
        <item x="292"/>
        <item x="488"/>
        <item x="165"/>
        <item x="97"/>
        <item x="86"/>
        <item x="442"/>
        <item x="245"/>
        <item x="183"/>
        <item x="18"/>
        <item x="321"/>
        <item x="360"/>
        <item x="522"/>
        <item x="330"/>
        <item x="314"/>
        <item x="289"/>
        <item x="364"/>
        <item x="108"/>
        <item x="381"/>
        <item x="72"/>
        <item x="239"/>
        <item x="552"/>
        <item x="132"/>
        <item x="306"/>
        <item x="213"/>
        <item x="19"/>
        <item x="513"/>
        <item x="516"/>
        <item x="30"/>
        <item x="430"/>
        <item x="223"/>
        <item x="349"/>
        <item x="49"/>
        <item x="197"/>
        <item x="427"/>
        <item x="489"/>
        <item x="520"/>
        <item x="219"/>
        <item x="323"/>
        <item x="175"/>
        <item x="259"/>
        <item x="417"/>
        <item x="69"/>
        <item x="171"/>
        <item x="459"/>
        <item x="517"/>
        <item x="378"/>
        <item x="397"/>
        <item x="322"/>
        <item x="422"/>
        <item x="444"/>
        <item x="242"/>
        <item x="82"/>
        <item x="12"/>
        <item x="228"/>
        <item x="542"/>
        <item x="115"/>
        <item x="521"/>
        <item x="196"/>
        <item x="419"/>
        <item x="54"/>
        <item x="21"/>
        <item x="206"/>
        <item x="66"/>
        <item x="84"/>
        <item x="362"/>
        <item x="510"/>
        <item x="147"/>
        <item x="386"/>
        <item x="36"/>
        <item x="401"/>
        <item x="432"/>
        <item x="405"/>
        <item x="319"/>
        <item x="153"/>
        <item x="271"/>
        <item x="461"/>
        <item x="375"/>
        <item x="492"/>
        <item x="161"/>
        <item x="4"/>
        <item x="433"/>
        <item x="496"/>
        <item x="20"/>
        <item x="541"/>
        <item x="80"/>
        <item x="393"/>
        <item x="487"/>
        <item x="460"/>
        <item x="518"/>
        <item x="464"/>
        <item x="562"/>
        <item x="388"/>
        <item x="243"/>
        <item x="566"/>
        <item x="479"/>
        <item x="136"/>
        <item x="446"/>
        <item x="310"/>
        <item x="255"/>
        <item x="103"/>
        <item x="469"/>
        <item x="29"/>
        <item x="497"/>
        <item x="547"/>
        <item x="92"/>
        <item x="102"/>
        <item x="193"/>
        <item x="357"/>
        <item x="77"/>
        <item x="385"/>
        <item x="504"/>
        <item x="359"/>
        <item x="472"/>
        <item x="343"/>
        <item x="457"/>
        <item x="311"/>
        <item x="225"/>
        <item x="445"/>
        <item x="139"/>
        <item x="73"/>
        <item x="93"/>
        <item x="248"/>
        <item x="368"/>
        <item x="135"/>
        <item x="238"/>
        <item x="63"/>
        <item x="106"/>
        <item x="415"/>
        <item x="450"/>
        <item x="331"/>
        <item x="494"/>
        <item x="505"/>
        <item x="528"/>
        <item x="334"/>
        <item x="339"/>
        <item x="45"/>
        <item x="211"/>
        <item x="456"/>
        <item x="486"/>
        <item x="293"/>
        <item x="560"/>
        <item x="261"/>
        <item x="471"/>
        <item x="511"/>
        <item x="241"/>
        <item x="264"/>
        <item x="545"/>
        <item x="484"/>
        <item x="480"/>
        <item x="247"/>
        <item x="143"/>
        <item x="529"/>
        <item x="11"/>
        <item x="230"/>
        <item x="287"/>
        <item x="440"/>
        <item x="237"/>
        <item x="162"/>
        <item x="523"/>
        <item x="37"/>
        <item x="307"/>
        <item x="275"/>
        <item x="260"/>
        <item x="56"/>
        <item x="2"/>
        <item x="377"/>
        <item x="363"/>
        <item x="333"/>
        <item x="8"/>
        <item x="89"/>
        <item x="502"/>
        <item x="524"/>
        <item x="60"/>
        <item x="544"/>
        <item x="51"/>
        <item x="348"/>
        <item x="426"/>
        <item x="117"/>
        <item x="571"/>
        <item x="229"/>
        <item x="173"/>
        <item x="166"/>
        <item x="140"/>
        <item x="249"/>
        <item x="423"/>
        <item x="305"/>
        <item x="148"/>
        <item x="174"/>
        <item x="244"/>
        <item x="158"/>
        <item x="32"/>
        <item x="208"/>
        <item x="74"/>
        <item x="466"/>
        <item x="563"/>
        <item x="203"/>
        <item x="222"/>
        <item x="389"/>
        <item x="150"/>
        <item x="394"/>
        <item x="403"/>
        <item x="13"/>
        <item x="217"/>
        <item x="366"/>
        <item x="455"/>
        <item x="235"/>
        <item x="170"/>
        <item x="48"/>
        <item x="356"/>
        <item x="272"/>
        <item x="500"/>
        <item x="253"/>
        <item x="65"/>
        <item x="34"/>
        <item x="90"/>
        <item x="530"/>
        <item x="131"/>
        <item x="78"/>
        <item x="475"/>
        <item x="1"/>
        <item x="407"/>
        <item x="141"/>
        <item x="46"/>
        <item x="157"/>
        <item x="495"/>
        <item x="44"/>
        <item x="263"/>
        <item x="53"/>
        <item x="116"/>
        <item x="61"/>
        <item x="452"/>
        <item x="425"/>
        <item x="137"/>
        <item x="324"/>
        <item x="114"/>
        <item x="191"/>
        <item x="406"/>
        <item x="376"/>
        <item x="551"/>
        <item x="554"/>
        <item x="298"/>
        <item x="549"/>
        <item x="15"/>
        <item x="326"/>
        <item x="300"/>
        <item x="258"/>
        <item x="382"/>
        <item x="144"/>
        <item x="184"/>
        <item x="91"/>
        <item x="399"/>
        <item x="507"/>
        <item x="351"/>
        <item x="352"/>
        <item x="16"/>
        <item x="347"/>
        <item x="482"/>
        <item x="201"/>
        <item x="251"/>
        <item x="458"/>
        <item x="429"/>
        <item x="128"/>
        <item x="559"/>
        <item x="424"/>
        <item x="121"/>
        <item x="111"/>
        <item x="411"/>
        <item x="519"/>
        <item x="224"/>
        <item x="392"/>
        <item x="262"/>
        <item x="178"/>
        <item x="220"/>
        <item x="514"/>
        <item x="454"/>
        <item x="501"/>
        <item x="414"/>
        <item x="134"/>
        <item x="79"/>
        <item x="279"/>
        <item x="481"/>
        <item x="99"/>
        <item x="290"/>
        <item x="546"/>
        <item x="448"/>
        <item x="104"/>
        <item x="418"/>
        <item x="453"/>
        <item t="default"/>
      </items>
    </pivotField>
    <pivotField numFmtId="164" showAll="0"/>
    <pivotField dataField="1" numFmtId="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Amount"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AC05E9-2AE7-4E03-8289-1B1FAC4683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Vendor">
  <location ref="A1:B7" firstHeaderRow="1" firstDataRow="1" firstDataCol="1"/>
  <pivotFields count="13">
    <pivotField showAll="0"/>
    <pivotField axis="axisRow" showAll="0">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dataField="1" numFmtId="2" showAll="0"/>
    <pivotField showAll="0"/>
    <pivotField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Amount" fld="4" baseField="0" baseItem="0" numFmtId="2"/>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54DAA0-F959-48BE-B2EF-4ECDFE939F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tatus">
  <location ref="A27:B30" firstHeaderRow="1" firstDataRow="1" firstDataCol="1"/>
  <pivotFields count="13">
    <pivotField showAll="0"/>
    <pivotField showAll="0">
      <items count="6">
        <item x="2"/>
        <item x="0"/>
        <item x="1"/>
        <item x="3"/>
        <item x="4"/>
        <item t="default"/>
      </items>
    </pivotField>
    <pivotField numFmtId="164" showAll="0">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pivotField>
    <pivotField numFmtId="164" showAll="0"/>
    <pivotField dataField="1" numFmtId="2" showAll="0"/>
    <pivotField showAll="0"/>
    <pivotField showAll="0">
      <items count="4">
        <item x="0"/>
        <item x="2"/>
        <item x="1"/>
        <item t="default"/>
      </items>
    </pivotField>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6">
        <item x="0"/>
        <item sd="0" x="1"/>
        <item sd="0" x="2"/>
        <item sd="0" x="3"/>
        <item x="4"/>
        <item t="default"/>
      </items>
    </pivotField>
  </pivotFields>
  <rowFields count="1">
    <field x="10"/>
  </rowFields>
  <rowItems count="3">
    <i>
      <x/>
    </i>
    <i>
      <x v="1"/>
    </i>
    <i t="grand">
      <x/>
    </i>
  </rowItems>
  <colItems count="1">
    <i/>
  </colItems>
  <dataFields count="1">
    <dataField name="Sum of Amount"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C56295-EE96-44E3-A512-2E4D1F9404D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pt">
  <location ref="D2:F9" firstHeaderRow="0" firstDataRow="1" firstDataCol="1"/>
  <pivotFields count="8">
    <pivotField showAll="0"/>
    <pivotField axis="axisRow" showAll="0">
      <items count="7">
        <item x="0"/>
        <item x="1"/>
        <item x="2"/>
        <item x="4"/>
        <item x="5"/>
        <item x="3"/>
        <item t="default"/>
      </items>
    </pivotField>
    <pivotField showAll="0"/>
    <pivotField dataField="1" numFmtId="2" showAll="0"/>
    <pivotField showAll="0"/>
    <pivotField dataField="1" showAll="0"/>
    <pivotField showAll="0"/>
    <pivotField numFmtId="9" showAll="0"/>
  </pivotFields>
  <rowFields count="1">
    <field x="1"/>
  </rowFields>
  <rowItems count="7">
    <i>
      <x/>
    </i>
    <i>
      <x v="1"/>
    </i>
    <i>
      <x v="2"/>
    </i>
    <i>
      <x v="3"/>
    </i>
    <i>
      <x v="4"/>
    </i>
    <i>
      <x v="5"/>
    </i>
    <i t="grand">
      <x/>
    </i>
  </rowItems>
  <colFields count="1">
    <field x="-2"/>
  </colFields>
  <colItems count="2">
    <i>
      <x/>
    </i>
    <i i="1">
      <x v="1"/>
    </i>
  </colItems>
  <dataFields count="2">
    <dataField name="Sum of BudgetUSD" fld="3" baseField="0" baseItem="0" numFmtId="2"/>
    <dataField name="Sum of ActualUSD" fld="5" baseField="0" baseItem="0"/>
  </dataField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53B2F590-E9B2-48A2-B60F-81C20DFAAC1C}" sourceName="Vendor">
  <pivotTables>
    <pivotTable tabId="1" name="PivotTable1"/>
    <pivotTable tabId="1" name="PivotTable2"/>
    <pivotTable tabId="1" name="PivotTable3"/>
  </pivotTables>
  <data>
    <tabular pivotCacheId="1593334200">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CE2E4BC-DC05-4327-8ECA-39916BC984F5}" sourceName="Status">
  <pivotTables>
    <pivotTable tabId="1" name="PivotTable1"/>
    <pivotTable tabId="1" name="PivotTable2"/>
    <pivotTable tabId="1" name="PivotTable3"/>
    <pivotTable tabId="1" name="PivotTable6"/>
  </pivotTables>
  <data>
    <tabular pivotCacheId="159333420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Date" xr10:uid="{BC8F1996-C1E4-428B-9BBF-8DD57110AFAB}" sourceName="Years (InvoiceDate)">
  <pivotTables>
    <pivotTable tabId="1" name="PivotTable1"/>
    <pivotTable tabId="1" name="PivotTable2"/>
    <pivotTable tabId="1" name="PivotTable3"/>
  </pivotTables>
  <data>
    <tabular pivotCacheId="1593334200">
      <items count="5">
        <i x="1" s="1"/>
        <i x="2" s="1"/>
        <i x="3" s="1"/>
        <i x="0"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5C32EA7E-5765-42EA-BFD3-40F9DB4AA6C6}" sourceName="Dept">
  <pivotTables>
    <pivotTable tabId="1" name="PivotTable5"/>
  </pivotTables>
  <data>
    <tabular pivotCacheId="1110374892">
      <items count="6">
        <i x="0" s="1"/>
        <i x="1" s="1"/>
        <i x="2" s="1"/>
        <i x="4"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1" xr10:uid="{B8854944-3C50-40FC-8E34-BCE1703AA01C}" cache="Slicer_Vendor" caption="Vendor" style="SlicerStyleLight2" rowHeight="234950"/>
  <slicer name="Status 1" xr10:uid="{D1013E57-4FA9-4D51-9F54-1FABA523E149}" cache="Slicer_Status" caption="Status" style="SlicerStyleOther1" rowHeight="234950"/>
  <slicer name="Years (InvoiceDate) 1" xr10:uid="{75BDCE27-1487-4C4C-A810-79CA9BA79327}" cache="Slicer_Years__InvoiceDate" caption="Years (InvoiceDate)" style="SlicerStyleLight4" rowHeight="234950"/>
  <slicer name="Dept 1" xr10:uid="{E40D62F7-0BCF-4FE9-B3BF-DFEC280A819B}" cache="Slicer_Dept" caption="Dept"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446086-5B0C-4D6A-BD45-9502AF2E48B4}" name="Table1" displayName="Table1" ref="A1:K801" totalsRowShown="0" headerRowDxfId="19" headerRowBorderDxfId="18" tableBorderDxfId="17">
  <autoFilter ref="A1:K801" xr:uid="{04446086-5B0C-4D6A-BD45-9502AF2E48B4}"/>
  <tableColumns count="11">
    <tableColumn id="1" xr3:uid="{4C0A0D01-1B21-4A40-820F-A5EFEC5B7C82}" name="APID"/>
    <tableColumn id="2" xr3:uid="{B4FA0267-7A53-4156-BEED-C56B0274FCC9}" name="Vendor"/>
    <tableColumn id="3" xr3:uid="{991975F7-633E-4E5B-979A-2A3BB12D0798}" name="InvoiceDate" dataDxfId="16"/>
    <tableColumn id="4" xr3:uid="{F703BC43-38E7-4BDD-89E7-4672D2BF2C51}" name="DueDate" dataDxfId="15"/>
    <tableColumn id="5" xr3:uid="{BAD31A5B-7FBB-4CEF-BD27-D5E4398684D4}" name="Amount" dataDxfId="14"/>
    <tableColumn id="6" xr3:uid="{14821894-84E7-414D-B2D6-EAEDBC22EE8B}" name="Currency"/>
    <tableColumn id="7" xr3:uid="{0AEBE78F-6643-4624-B4BF-8B3E41B05BC2}" name="Status"/>
    <tableColumn id="8" xr3:uid="{5592B86D-4F74-4600-B7FD-861CE2570BCF}" name="PaidDate"/>
    <tableColumn id="9" xr3:uid="{C188A189-8007-4219-AB52-79C6349208B6}" name="Terms"/>
    <tableColumn id="10" xr3:uid="{0D7D1609-D677-4E72-9D44-0CB5BE6F453C}" name="PaymentDelayDays" dataDxfId="13">
      <calculatedColumnFormula>IF(ISBLANK(Table1[[#This Row],[PaidDate]]),"",Table1[[#This Row],[PaidDate]]-Table1[[#This Row],[DueDate]])</calculatedColumnFormula>
    </tableColumn>
    <tableColumn id="11" xr3:uid="{01004144-66A2-46F4-99D0-CA1D61437558}" name="OverdueFlag" dataDxfId="12">
      <calculatedColumnFormula>IF(AND(Table1[[#This Row],[Status]]&lt;&gt;"Paid",TODAY()&gt;Table1[[#This Row],[DueDate]]),"Overdue","OK")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A57AFE-973A-4569-BA43-FF255A78C2D8}" name="Table2" displayName="Table2" ref="A1:J901" totalsRowShown="0" headerRowDxfId="11" headerRowBorderDxfId="10" tableBorderDxfId="9">
  <autoFilter ref="A1:J901" xr:uid="{B2A57AFE-973A-4569-BA43-FF255A78C2D8}"/>
  <tableColumns count="10">
    <tableColumn id="1" xr3:uid="{4D37F1A2-05EB-4923-AA2F-774F469B6B54}" name="ARID"/>
    <tableColumn id="2" xr3:uid="{281E139C-D70E-4B2A-8458-401BEAEDE399}" name="Customer"/>
    <tableColumn id="3" xr3:uid="{D2FDF2EF-AB7D-40C2-A920-5304CCD613B2}" name="InvoiceDate" dataDxfId="8"/>
    <tableColumn id="4" xr3:uid="{32D7FDCF-A913-402A-8308-29AFCBBAB28B}" name="DueDate" dataDxfId="7"/>
    <tableColumn id="5" xr3:uid="{09DB5FA7-D221-4A8C-8A4B-1F784593BBB7}" name="Amount" dataDxfId="6"/>
    <tableColumn id="6" xr3:uid="{26CBA3C4-ABF2-4F35-885B-ACE69AD8E0FF}" name="Currency"/>
    <tableColumn id="7" xr3:uid="{96E82168-A323-4E4F-901C-CBCD353EDC3B}" name="Status"/>
    <tableColumn id="8" xr3:uid="{958B4A2D-F1A4-4485-8884-81939C5F23CB}" name="ReceivedDate" dataDxfId="5"/>
    <tableColumn id="9" xr3:uid="{3BC7AC9F-1CB2-4A8F-B693-98A7B06F11E4}" name="Terms"/>
    <tableColumn id="10" xr3:uid="{E348965C-7757-4911-B85C-CAE4AC178CA5}" name="Column1" dataDxfId="4">
      <calculatedColumnFormula>IF(ISBLANK(Table2[[#This Row],[ReceivedDate]]),"Unpaid",IF(Table2[[#This Row],[ReceivedDate]]&gt;Table2[[#This Row],[DueDate]],"Late",IF(Table2[[#This Row],[ReceivedDate]]&lt;Table2[[#This Row],[DueDate]],"Early","On Time")))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CD1FC1-8E35-4432-98A0-CA1CE67B8668}" name="Table3" displayName="Table3" ref="A1:H49" totalsRowShown="0" headerRowDxfId="3" headerRowBorderDxfId="2" tableBorderDxfId="1">
  <autoFilter ref="A1:H49" xr:uid="{AECD1FC1-8E35-4432-98A0-CA1CE67B8668}"/>
  <tableColumns count="8">
    <tableColumn id="1" xr3:uid="{CB99F7A3-7693-4DF6-B0CD-EF91E92CD664}" name="FiscalYear"/>
    <tableColumn id="2" xr3:uid="{1B8C28E3-C13E-4875-849A-78CC4E4D1D73}" name="Dept"/>
    <tableColumn id="3" xr3:uid="{3EA725BF-297A-4CA1-850F-60FC7E3867D8}" name="Quarter"/>
    <tableColumn id="4" xr3:uid="{390D5057-4386-47B1-851A-4E614F68B045}" name="BudgetUSD" dataDxfId="0"/>
    <tableColumn id="5" xr3:uid="{B09FF735-D3CD-4ED9-9360-2FAECDC7FB71}" name="ForecastUSD"/>
    <tableColumn id="6" xr3:uid="{4995A4D2-388B-4C74-8CB3-3D740C44742C}" name="ActualUSD"/>
    <tableColumn id="7" xr3:uid="{A93DF165-0A2D-4C18-BD2F-B8F87254676A}" name="VarianceUSD"/>
    <tableColumn id="9" xr3:uid="{D63708C8-53CF-49BF-AE70-7F4D3098A6A7}" name="VariancePercent" dataCellStyle="Percent">
      <calculatedColumnFormula>Table3[[#This Row],[VarianceUSD]]/Table3[[#This Row],[BudgetUSD]]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6BA88-41E9-48A6-9978-BD7C0B16C5D6}">
  <dimension ref="A1:P33"/>
  <sheetViews>
    <sheetView showGridLines="0" tabSelected="1" zoomScale="85" zoomScaleNormal="97" workbookViewId="0">
      <selection activeCell="U23" sqref="U23"/>
    </sheetView>
  </sheetViews>
  <sheetFormatPr defaultRowHeight="14.4" x14ac:dyDescent="0.3"/>
  <cols>
    <col min="1" max="1" width="15.21875" customWidth="1"/>
    <col min="2" max="2" width="10.5546875" customWidth="1"/>
    <col min="3" max="3" width="15.44140625" bestFit="1" customWidth="1"/>
    <col min="4" max="4" width="10.6640625" bestFit="1" customWidth="1"/>
    <col min="5" max="5" width="15.5546875" bestFit="1" customWidth="1"/>
    <col min="6" max="6" width="10.6640625" bestFit="1" customWidth="1"/>
    <col min="7" max="7" width="14.88671875" customWidth="1"/>
  </cols>
  <sheetData>
    <row r="1" spans="1:16" x14ac:dyDescent="0.3">
      <c r="A1" s="10"/>
      <c r="B1" s="10"/>
      <c r="C1" s="10"/>
      <c r="D1" s="10"/>
      <c r="E1" s="10"/>
      <c r="F1" s="10"/>
      <c r="G1" s="10"/>
      <c r="H1" s="10"/>
      <c r="I1" s="10"/>
      <c r="J1" s="10"/>
      <c r="K1" s="10"/>
      <c r="L1" s="10"/>
      <c r="M1" s="10"/>
      <c r="N1" s="10"/>
      <c r="O1" s="10"/>
      <c r="P1" s="10"/>
    </row>
    <row r="2" spans="1:16" x14ac:dyDescent="0.3">
      <c r="A2" s="10"/>
      <c r="B2" s="10"/>
      <c r="C2" s="10"/>
      <c r="D2" s="10"/>
      <c r="E2" s="10"/>
      <c r="F2" s="10"/>
      <c r="G2" s="10"/>
      <c r="H2" s="10"/>
      <c r="I2" s="10"/>
      <c r="J2" s="10"/>
      <c r="K2" s="10"/>
      <c r="L2" s="10"/>
      <c r="M2" s="10"/>
      <c r="N2" s="10"/>
      <c r="O2" s="10"/>
      <c r="P2" s="10"/>
    </row>
    <row r="3" spans="1:16" x14ac:dyDescent="0.3">
      <c r="A3" s="10"/>
      <c r="B3" s="10"/>
      <c r="C3" s="10"/>
      <c r="D3" s="10"/>
      <c r="E3" s="10"/>
      <c r="F3" s="10"/>
      <c r="G3" s="10"/>
      <c r="H3" s="10"/>
      <c r="I3" s="10"/>
      <c r="J3" s="10"/>
      <c r="K3" s="10"/>
      <c r="L3" s="10"/>
      <c r="M3" s="10"/>
      <c r="N3" s="10"/>
      <c r="O3" s="10"/>
      <c r="P3" s="10"/>
    </row>
    <row r="4" spans="1:16" x14ac:dyDescent="0.3">
      <c r="A4" s="10"/>
      <c r="B4" s="10"/>
      <c r="C4" s="10"/>
      <c r="D4" s="10"/>
      <c r="E4" s="10"/>
      <c r="F4" s="10"/>
      <c r="G4" s="10"/>
      <c r="H4" s="10"/>
      <c r="I4" s="10"/>
      <c r="J4" s="10"/>
      <c r="K4" s="10"/>
      <c r="L4" s="10"/>
      <c r="M4" s="10"/>
      <c r="N4" s="10"/>
      <c r="O4" s="10"/>
      <c r="P4" s="10"/>
    </row>
    <row r="5" spans="1:16" x14ac:dyDescent="0.3">
      <c r="A5" s="10"/>
      <c r="B5" s="10"/>
      <c r="C5" s="10"/>
      <c r="D5" s="10"/>
      <c r="E5" s="10"/>
      <c r="F5" s="10"/>
      <c r="G5" s="10"/>
      <c r="H5" s="10"/>
      <c r="I5" s="10"/>
      <c r="J5" s="10"/>
      <c r="K5" s="10"/>
      <c r="L5" s="10"/>
      <c r="M5" s="10"/>
      <c r="N5" s="10"/>
      <c r="O5" s="10"/>
      <c r="P5" s="10"/>
    </row>
    <row r="6" spans="1:16" x14ac:dyDescent="0.3">
      <c r="A6" s="10"/>
      <c r="B6" s="10"/>
      <c r="C6" s="10"/>
      <c r="D6" s="10"/>
      <c r="E6" s="10"/>
      <c r="F6" s="10"/>
      <c r="G6" s="10"/>
      <c r="H6" s="10"/>
      <c r="I6" s="10"/>
      <c r="J6" s="10"/>
      <c r="K6" s="10"/>
      <c r="L6" s="10"/>
      <c r="M6" s="10"/>
      <c r="N6" s="10"/>
      <c r="O6" s="10"/>
      <c r="P6" s="10"/>
    </row>
    <row r="7" spans="1:16" x14ac:dyDescent="0.3">
      <c r="A7" s="10"/>
      <c r="B7" s="10"/>
      <c r="C7" s="10"/>
      <c r="D7" s="10"/>
      <c r="E7" s="10"/>
      <c r="F7" s="10"/>
      <c r="G7" s="10"/>
      <c r="H7" s="10"/>
      <c r="I7" s="10"/>
      <c r="J7" s="10"/>
      <c r="K7" s="10"/>
      <c r="L7" s="10"/>
      <c r="M7" s="10"/>
      <c r="N7" s="10"/>
      <c r="O7" s="10"/>
      <c r="P7" s="10"/>
    </row>
    <row r="8" spans="1:16" x14ac:dyDescent="0.3">
      <c r="A8" s="10"/>
      <c r="B8" s="10"/>
      <c r="C8" s="10"/>
      <c r="D8" s="10"/>
      <c r="E8" s="10"/>
      <c r="F8" s="10"/>
      <c r="G8" s="10"/>
      <c r="H8" s="10"/>
      <c r="I8" s="10"/>
      <c r="J8" s="10"/>
      <c r="K8" s="10"/>
      <c r="L8" s="10"/>
      <c r="M8" s="10"/>
      <c r="N8" s="10"/>
      <c r="O8" s="10"/>
      <c r="P8" s="10"/>
    </row>
    <row r="9" spans="1:16" x14ac:dyDescent="0.3">
      <c r="A9" s="10"/>
      <c r="B9" s="10"/>
      <c r="C9" s="10"/>
      <c r="D9" s="10"/>
      <c r="E9" s="10"/>
      <c r="F9" s="10"/>
      <c r="G9" s="10"/>
      <c r="H9" s="10"/>
      <c r="I9" s="10"/>
      <c r="J9" s="10"/>
      <c r="K9" s="10"/>
      <c r="L9" s="10"/>
      <c r="M9" s="10"/>
      <c r="N9" s="10"/>
      <c r="O9" s="10"/>
      <c r="P9" s="10"/>
    </row>
    <row r="10" spans="1:16" x14ac:dyDescent="0.3">
      <c r="A10" s="10"/>
      <c r="B10" s="10"/>
      <c r="C10" s="10"/>
      <c r="D10" s="10"/>
      <c r="E10" s="10"/>
      <c r="F10" s="10"/>
      <c r="G10" s="10"/>
      <c r="H10" s="10"/>
      <c r="I10" s="10"/>
      <c r="J10" s="10"/>
      <c r="K10" s="10"/>
      <c r="L10" s="10"/>
      <c r="M10" s="10"/>
      <c r="N10" s="10"/>
      <c r="O10" s="10"/>
      <c r="P10" s="10"/>
    </row>
    <row r="11" spans="1:16" x14ac:dyDescent="0.3">
      <c r="A11" s="10"/>
      <c r="B11" s="10"/>
      <c r="C11" s="10"/>
      <c r="D11" s="10"/>
      <c r="E11" s="10"/>
      <c r="F11" s="10"/>
      <c r="G11" s="10"/>
      <c r="H11" s="10"/>
      <c r="I11" s="10"/>
      <c r="J11" s="10"/>
      <c r="K11" s="10"/>
      <c r="L11" s="10"/>
      <c r="M11" s="10"/>
      <c r="N11" s="10"/>
      <c r="O11" s="10"/>
      <c r="P11" s="10"/>
    </row>
    <row r="12" spans="1:16" x14ac:dyDescent="0.3">
      <c r="A12" s="10"/>
      <c r="B12" s="10"/>
      <c r="C12" s="10"/>
      <c r="D12" s="10"/>
      <c r="E12" s="10"/>
      <c r="F12" s="10"/>
      <c r="G12" s="10"/>
      <c r="H12" s="10"/>
      <c r="I12" s="10"/>
      <c r="J12" s="10"/>
      <c r="K12" s="10"/>
      <c r="L12" s="10"/>
      <c r="M12" s="10"/>
      <c r="N12" s="10"/>
      <c r="O12" s="10"/>
      <c r="P12" s="10"/>
    </row>
    <row r="13" spans="1:16" x14ac:dyDescent="0.3">
      <c r="A13" s="10"/>
      <c r="B13" s="10"/>
      <c r="C13" s="10"/>
      <c r="D13" s="10"/>
      <c r="E13" s="10"/>
      <c r="F13" s="10"/>
      <c r="G13" s="10"/>
      <c r="H13" s="10"/>
      <c r="I13" s="10"/>
      <c r="J13" s="10"/>
      <c r="K13" s="10"/>
      <c r="L13" s="10"/>
      <c r="M13" s="10"/>
      <c r="N13" s="10"/>
      <c r="O13" s="10"/>
      <c r="P13" s="10"/>
    </row>
    <row r="14" spans="1:16" x14ac:dyDescent="0.3">
      <c r="A14" s="10"/>
      <c r="B14" s="10"/>
      <c r="C14" s="11"/>
      <c r="D14" s="10"/>
      <c r="E14" s="11"/>
      <c r="F14" s="10"/>
      <c r="G14" s="11"/>
      <c r="H14" s="10"/>
      <c r="I14" s="10"/>
      <c r="J14" s="10"/>
      <c r="K14" s="10"/>
      <c r="L14" s="10"/>
      <c r="M14" s="10"/>
      <c r="N14" s="10"/>
      <c r="O14" s="10"/>
      <c r="P14" s="10"/>
    </row>
    <row r="15" spans="1:16" x14ac:dyDescent="0.3">
      <c r="A15" s="10"/>
      <c r="B15" s="10"/>
      <c r="C15" s="10"/>
      <c r="D15" s="10"/>
      <c r="E15" s="10"/>
      <c r="F15" s="10"/>
      <c r="G15" s="10"/>
      <c r="H15" s="10"/>
      <c r="I15" s="10"/>
      <c r="J15" s="10"/>
      <c r="K15" s="10"/>
      <c r="L15" s="10"/>
      <c r="M15" s="10"/>
      <c r="N15" s="10"/>
      <c r="O15" s="10"/>
      <c r="P15" s="10"/>
    </row>
    <row r="16" spans="1:16" x14ac:dyDescent="0.3">
      <c r="A16" s="10"/>
      <c r="B16" s="10"/>
      <c r="C16" s="10"/>
      <c r="D16" s="10"/>
      <c r="E16" s="10"/>
      <c r="F16" s="10"/>
      <c r="G16" s="10"/>
      <c r="H16" s="10"/>
      <c r="I16" s="10"/>
      <c r="J16" s="10"/>
      <c r="K16" s="10"/>
      <c r="L16" s="10"/>
      <c r="M16" s="10"/>
      <c r="N16" s="10"/>
      <c r="O16" s="10"/>
      <c r="P16" s="10"/>
    </row>
    <row r="17" spans="1:16" x14ac:dyDescent="0.3">
      <c r="A17" s="10"/>
      <c r="B17" s="10"/>
      <c r="C17" s="10"/>
      <c r="D17" s="10"/>
      <c r="E17" s="10"/>
      <c r="F17" s="10"/>
      <c r="G17" s="10"/>
      <c r="H17" s="10"/>
      <c r="I17" s="10"/>
      <c r="J17" s="10"/>
      <c r="K17" s="10"/>
      <c r="L17" s="10"/>
      <c r="M17" s="10"/>
      <c r="N17" s="10"/>
      <c r="O17" s="10"/>
      <c r="P17" s="10"/>
    </row>
    <row r="18" spans="1:16" x14ac:dyDescent="0.3">
      <c r="A18" s="10"/>
      <c r="B18" s="10"/>
      <c r="C18" s="10"/>
      <c r="D18" s="10"/>
      <c r="E18" s="10"/>
      <c r="F18" s="10"/>
      <c r="G18" s="10"/>
      <c r="H18" s="10"/>
      <c r="I18" s="10"/>
      <c r="J18" s="10"/>
      <c r="K18" s="10"/>
      <c r="L18" s="10"/>
      <c r="M18" s="10"/>
      <c r="N18" s="10"/>
      <c r="O18" s="10"/>
      <c r="P18" s="10"/>
    </row>
    <row r="19" spans="1:16" x14ac:dyDescent="0.3">
      <c r="A19" s="10"/>
      <c r="B19" s="10"/>
      <c r="C19" s="10"/>
      <c r="D19" s="10"/>
      <c r="E19" s="10"/>
      <c r="F19" s="10"/>
      <c r="G19" s="10"/>
      <c r="H19" s="10"/>
      <c r="I19" s="10"/>
      <c r="J19" s="10"/>
      <c r="K19" s="10"/>
      <c r="L19" s="10"/>
      <c r="M19" s="10"/>
      <c r="N19" s="10"/>
      <c r="O19" s="10"/>
      <c r="P19" s="10"/>
    </row>
    <row r="20" spans="1:16" x14ac:dyDescent="0.3">
      <c r="A20" s="10"/>
      <c r="B20" s="10"/>
      <c r="C20" s="10"/>
      <c r="D20" s="10"/>
      <c r="E20" s="10"/>
      <c r="F20" s="10"/>
      <c r="G20" s="10"/>
      <c r="H20" s="10"/>
      <c r="I20" s="10"/>
      <c r="J20" s="10"/>
      <c r="K20" s="10"/>
      <c r="L20" s="10"/>
      <c r="M20" s="10"/>
      <c r="N20" s="10"/>
      <c r="O20" s="10"/>
      <c r="P20" s="10"/>
    </row>
    <row r="21" spans="1:16" x14ac:dyDescent="0.3">
      <c r="A21" s="10"/>
      <c r="B21" s="10"/>
      <c r="C21" s="10"/>
      <c r="D21" s="10"/>
      <c r="E21" s="10"/>
      <c r="F21" s="10"/>
      <c r="G21" s="10"/>
      <c r="H21" s="10"/>
      <c r="I21" s="10"/>
      <c r="J21" s="10"/>
      <c r="K21" s="10"/>
      <c r="L21" s="10"/>
      <c r="M21" s="10"/>
      <c r="N21" s="10"/>
      <c r="O21" s="10"/>
      <c r="P21" s="10"/>
    </row>
    <row r="22" spans="1:16" x14ac:dyDescent="0.3">
      <c r="A22" s="10"/>
      <c r="B22" s="10"/>
      <c r="C22" s="10"/>
      <c r="D22" s="10"/>
      <c r="E22" s="10"/>
      <c r="F22" s="10"/>
      <c r="G22" s="10"/>
      <c r="H22" s="10"/>
      <c r="I22" s="10"/>
      <c r="J22" s="10"/>
      <c r="K22" s="10"/>
      <c r="L22" s="10"/>
      <c r="M22" s="10"/>
      <c r="N22" s="10"/>
      <c r="O22" s="10"/>
      <c r="P22" s="10"/>
    </row>
    <row r="23" spans="1:16" x14ac:dyDescent="0.3">
      <c r="A23" s="10"/>
      <c r="B23" s="10"/>
      <c r="C23" s="10"/>
      <c r="D23" s="10"/>
      <c r="E23" s="10"/>
      <c r="F23" s="10"/>
      <c r="G23" s="10"/>
      <c r="H23" s="10"/>
      <c r="I23" s="10"/>
      <c r="J23" s="10"/>
      <c r="K23" s="10"/>
      <c r="L23" s="10"/>
      <c r="M23" s="10"/>
      <c r="N23" s="10"/>
      <c r="O23" s="10"/>
      <c r="P23" s="10"/>
    </row>
    <row r="24" spans="1:16" x14ac:dyDescent="0.3">
      <c r="A24" s="10"/>
      <c r="B24" s="10"/>
      <c r="C24" s="10"/>
      <c r="D24" s="10"/>
      <c r="E24" s="10"/>
      <c r="F24" s="10"/>
      <c r="G24" s="10"/>
      <c r="H24" s="10"/>
      <c r="I24" s="10"/>
      <c r="J24" s="10"/>
      <c r="K24" s="10"/>
      <c r="L24" s="10"/>
      <c r="M24" s="10"/>
      <c r="N24" s="10"/>
      <c r="O24" s="10"/>
      <c r="P24" s="10"/>
    </row>
    <row r="25" spans="1:16" x14ac:dyDescent="0.3">
      <c r="A25" s="10"/>
      <c r="B25" s="10"/>
      <c r="C25" s="10"/>
      <c r="D25" s="10"/>
      <c r="E25" s="10"/>
      <c r="F25" s="10"/>
      <c r="G25" s="10"/>
      <c r="H25" s="10"/>
      <c r="I25" s="10"/>
      <c r="J25" s="10"/>
      <c r="K25" s="10"/>
      <c r="L25" s="10"/>
      <c r="M25" s="10"/>
      <c r="N25" s="10"/>
      <c r="O25" s="10"/>
      <c r="P25" s="10"/>
    </row>
    <row r="26" spans="1:16" x14ac:dyDescent="0.3">
      <c r="A26" s="10"/>
      <c r="B26" s="10"/>
      <c r="C26" s="10"/>
      <c r="D26" s="10"/>
      <c r="E26" s="10"/>
      <c r="F26" s="10"/>
      <c r="G26" s="10"/>
      <c r="H26" s="10"/>
      <c r="I26" s="10"/>
      <c r="J26" s="10"/>
      <c r="K26" s="10"/>
      <c r="L26" s="10"/>
      <c r="M26" s="10"/>
      <c r="N26" s="10"/>
      <c r="O26" s="10"/>
      <c r="P26" s="10"/>
    </row>
    <row r="27" spans="1:16" x14ac:dyDescent="0.3">
      <c r="A27" s="10"/>
      <c r="B27" s="10"/>
      <c r="C27" s="10"/>
      <c r="D27" s="10"/>
      <c r="E27" s="10"/>
      <c r="F27" s="10"/>
      <c r="G27" s="10"/>
      <c r="H27" s="10"/>
      <c r="I27" s="10"/>
      <c r="J27" s="10"/>
      <c r="K27" s="10"/>
      <c r="L27" s="10"/>
      <c r="M27" s="10"/>
      <c r="N27" s="10"/>
      <c r="O27" s="10"/>
      <c r="P27" s="10"/>
    </row>
    <row r="28" spans="1:16" x14ac:dyDescent="0.3">
      <c r="A28" s="10"/>
      <c r="B28" s="10"/>
      <c r="C28" s="10"/>
      <c r="D28" s="10"/>
      <c r="E28" s="10"/>
      <c r="F28" s="10"/>
      <c r="G28" s="10"/>
      <c r="H28" s="10"/>
      <c r="I28" s="10"/>
      <c r="J28" s="10"/>
      <c r="K28" s="10"/>
      <c r="L28" s="10"/>
      <c r="M28" s="10"/>
      <c r="N28" s="10"/>
      <c r="O28" s="10"/>
      <c r="P28" s="10"/>
    </row>
    <row r="29" spans="1:16" x14ac:dyDescent="0.3">
      <c r="A29" s="10"/>
      <c r="B29" s="10"/>
      <c r="C29" s="10"/>
      <c r="D29" s="10"/>
      <c r="E29" s="10"/>
      <c r="F29" s="10"/>
      <c r="G29" s="10"/>
      <c r="H29" s="10"/>
      <c r="I29" s="10"/>
      <c r="J29" s="10"/>
      <c r="K29" s="10"/>
      <c r="L29" s="10"/>
      <c r="M29" s="10"/>
      <c r="N29" s="10"/>
      <c r="O29" s="10"/>
      <c r="P29" s="10"/>
    </row>
    <row r="30" spans="1:16" x14ac:dyDescent="0.3">
      <c r="A30" s="10"/>
      <c r="B30" s="10"/>
      <c r="C30" s="10"/>
      <c r="D30" s="10"/>
      <c r="E30" s="10"/>
      <c r="F30" s="10"/>
      <c r="G30" s="10"/>
      <c r="H30" s="10"/>
      <c r="I30" s="10"/>
      <c r="J30" s="10"/>
      <c r="K30" s="10"/>
      <c r="L30" s="10"/>
      <c r="M30" s="10"/>
      <c r="N30" s="10"/>
      <c r="O30" s="10"/>
      <c r="P30" s="10"/>
    </row>
    <row r="31" spans="1:16" x14ac:dyDescent="0.3">
      <c r="A31" s="10"/>
      <c r="B31" s="10"/>
      <c r="C31" s="10"/>
      <c r="D31" s="10"/>
      <c r="E31" s="10"/>
      <c r="F31" s="10"/>
      <c r="G31" s="10"/>
      <c r="H31" s="10"/>
      <c r="I31" s="10"/>
      <c r="J31" s="10"/>
      <c r="K31" s="10"/>
      <c r="L31" s="10"/>
      <c r="M31" s="10"/>
      <c r="N31" s="10"/>
      <c r="O31" s="10"/>
      <c r="P31" s="10"/>
    </row>
    <row r="32" spans="1:16" x14ac:dyDescent="0.3">
      <c r="A32" s="10"/>
      <c r="B32" s="10"/>
      <c r="C32" s="10"/>
      <c r="D32" s="10"/>
      <c r="E32" s="10"/>
      <c r="F32" s="10"/>
      <c r="G32" s="10"/>
      <c r="H32" s="10"/>
      <c r="I32" s="10"/>
      <c r="J32" s="10"/>
      <c r="K32" s="10"/>
      <c r="L32" s="10"/>
      <c r="M32" s="10"/>
      <c r="N32" s="10"/>
      <c r="O32" s="10"/>
      <c r="P32" s="10"/>
    </row>
    <row r="33" spans="1:16" x14ac:dyDescent="0.3">
      <c r="A33" s="12"/>
      <c r="B33" s="12"/>
      <c r="C33" s="12"/>
      <c r="D33" s="12"/>
      <c r="E33" s="12"/>
      <c r="F33" s="12"/>
      <c r="G33" s="12"/>
      <c r="H33" s="12"/>
      <c r="I33" s="12"/>
      <c r="J33" s="12"/>
      <c r="K33" s="12"/>
      <c r="L33" s="12"/>
      <c r="M33" s="12"/>
      <c r="N33" s="12"/>
      <c r="O33" s="12"/>
      <c r="P33"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C705-7BC6-45EC-B3C9-4B46C973A1FF}">
  <dimension ref="A1:K801"/>
  <sheetViews>
    <sheetView topLeftCell="A2" workbookViewId="0">
      <selection activeCell="A2" sqref="A2"/>
    </sheetView>
  </sheetViews>
  <sheetFormatPr defaultRowHeight="14.4" x14ac:dyDescent="0.3"/>
  <cols>
    <col min="1" max="1" width="17.44140625" customWidth="1"/>
    <col min="2" max="2" width="11.6640625" bestFit="1" customWidth="1"/>
    <col min="3" max="3" width="20" customWidth="1"/>
    <col min="4" max="4" width="15" customWidth="1"/>
    <col min="5" max="5" width="13.109375" style="2" customWidth="1"/>
    <col min="6" max="6" width="10.44140625" customWidth="1"/>
    <col min="7" max="7" width="8.109375" customWidth="1"/>
    <col min="8" max="8" width="17.77734375" customWidth="1"/>
    <col min="9" max="9" width="11.33203125" customWidth="1"/>
    <col min="10" max="10" width="22.33203125" customWidth="1"/>
    <col min="11" max="11" width="16" bestFit="1" customWidth="1"/>
  </cols>
  <sheetData>
    <row r="1" spans="1:11" x14ac:dyDescent="0.3">
      <c r="A1" s="3" t="s">
        <v>936</v>
      </c>
      <c r="B1" s="3" t="s">
        <v>937</v>
      </c>
      <c r="C1" s="3" t="s">
        <v>2</v>
      </c>
      <c r="D1" s="3" t="s">
        <v>3</v>
      </c>
      <c r="E1" s="4" t="s">
        <v>4</v>
      </c>
      <c r="F1" s="3" t="s">
        <v>5</v>
      </c>
      <c r="G1" s="3" t="s">
        <v>6</v>
      </c>
      <c r="H1" s="3" t="s">
        <v>938</v>
      </c>
      <c r="I1" s="3" t="s">
        <v>8</v>
      </c>
      <c r="J1" s="3" t="s">
        <v>1747</v>
      </c>
      <c r="K1" s="3" t="s">
        <v>1748</v>
      </c>
    </row>
    <row r="2" spans="1:11" x14ac:dyDescent="0.3">
      <c r="A2" t="s">
        <v>939</v>
      </c>
      <c r="B2" t="s">
        <v>940</v>
      </c>
      <c r="C2" s="1">
        <v>45642</v>
      </c>
      <c r="D2" s="1">
        <v>45672</v>
      </c>
      <c r="E2" s="2">
        <v>344.25</v>
      </c>
      <c r="F2" t="s">
        <v>16</v>
      </c>
      <c r="G2" t="s">
        <v>17</v>
      </c>
      <c r="I2" t="s">
        <v>941</v>
      </c>
      <c r="J2" t="str">
        <f>IF(ISBLANK(Table1[[#This Row],[PaidDate]]),"Unpaid",IF(Table1[[#This Row],[PaidDate]]&gt;Table1[[#This Row],[DueDate]],"Late",IF(Table1[[#This Row],[PaidDate]]&lt;Table1[[#This Row],[DueDate]],"Early","On Time")))</f>
        <v>Unpaid</v>
      </c>
      <c r="K2" t="str">
        <f ca="1">IF(AND(Table1[[#This Row],[Status]]&lt;&gt;"Paid",TODAY()&gt;Table1[[#This Row],[DueDate]]),"Overdue","OK")</f>
        <v>Overdue</v>
      </c>
    </row>
    <row r="3" spans="1:11" x14ac:dyDescent="0.3">
      <c r="A3" t="s">
        <v>942</v>
      </c>
      <c r="B3" t="s">
        <v>940</v>
      </c>
      <c r="C3" s="1">
        <v>45430</v>
      </c>
      <c r="D3" s="1">
        <v>45460</v>
      </c>
      <c r="E3" s="2">
        <v>3298.38</v>
      </c>
      <c r="F3" t="s">
        <v>26</v>
      </c>
      <c r="G3" t="s">
        <v>12</v>
      </c>
      <c r="I3" t="s">
        <v>941</v>
      </c>
      <c r="J3" t="str">
        <f>IF(ISBLANK(Table1[[#This Row],[PaidDate]]),"Unpaid",IF(Table1[[#This Row],[PaidDate]]&gt;Table1[[#This Row],[DueDate]],"Late",IF(Table1[[#This Row],[PaidDate]]&lt;Table1[[#This Row],[DueDate]],"Early","On Time")))</f>
        <v>Unpaid</v>
      </c>
      <c r="K3" t="str">
        <f ca="1">IF(AND(Table1[[#This Row],[Status]]&lt;&gt;"Paid",TODAY()&gt;Table1[[#This Row],[DueDate]]),"Overdue","OK")</f>
        <v>Overdue</v>
      </c>
    </row>
    <row r="4" spans="1:11" x14ac:dyDescent="0.3">
      <c r="A4" t="s">
        <v>943</v>
      </c>
      <c r="B4" t="s">
        <v>944</v>
      </c>
      <c r="C4" s="1">
        <v>45347</v>
      </c>
      <c r="D4" s="1">
        <v>45377</v>
      </c>
      <c r="E4" s="2">
        <v>1023.43</v>
      </c>
      <c r="F4" t="s">
        <v>19</v>
      </c>
      <c r="G4" t="s">
        <v>17</v>
      </c>
      <c r="I4" t="s">
        <v>941</v>
      </c>
      <c r="J4" t="str">
        <f>IF(ISBLANK(Table1[[#This Row],[PaidDate]]),"Unpaid",IF(Table1[[#This Row],[PaidDate]]&gt;Table1[[#This Row],[DueDate]],"Late",IF(Table1[[#This Row],[PaidDate]]&lt;Table1[[#This Row],[DueDate]],"Early","On Time")))</f>
        <v>Unpaid</v>
      </c>
      <c r="K4" t="str">
        <f ca="1">IF(AND(Table1[[#This Row],[Status]]&lt;&gt;"Paid",TODAY()&gt;Table1[[#This Row],[DueDate]]),"Overdue","OK")</f>
        <v>Overdue</v>
      </c>
    </row>
    <row r="5" spans="1:11" x14ac:dyDescent="0.3">
      <c r="A5" t="s">
        <v>945</v>
      </c>
      <c r="B5" t="s">
        <v>946</v>
      </c>
      <c r="C5" s="1">
        <v>45299</v>
      </c>
      <c r="D5" s="1">
        <v>45329</v>
      </c>
      <c r="E5" s="2">
        <v>4433.05</v>
      </c>
      <c r="F5" t="s">
        <v>11</v>
      </c>
      <c r="G5" t="s">
        <v>12</v>
      </c>
      <c r="I5" t="s">
        <v>941</v>
      </c>
      <c r="J5" t="str">
        <f>IF(ISBLANK(Table1[[#This Row],[PaidDate]]),"Unpaid",IF(Table1[[#This Row],[PaidDate]]&gt;Table1[[#This Row],[DueDate]],"Late",IF(Table1[[#This Row],[PaidDate]]&lt;Table1[[#This Row],[DueDate]],"Early","On Time")))</f>
        <v>Unpaid</v>
      </c>
      <c r="K5" t="str">
        <f ca="1">IF(AND(Table1[[#This Row],[Status]]&lt;&gt;"Paid",TODAY()&gt;Table1[[#This Row],[DueDate]]),"Overdue","OK")</f>
        <v>Overdue</v>
      </c>
    </row>
    <row r="6" spans="1:11" x14ac:dyDescent="0.3">
      <c r="A6" t="s">
        <v>947</v>
      </c>
      <c r="B6" t="s">
        <v>946</v>
      </c>
      <c r="C6" s="1">
        <v>45435</v>
      </c>
      <c r="D6" s="1">
        <v>45465</v>
      </c>
      <c r="E6" s="2">
        <v>4345.1400000000003</v>
      </c>
      <c r="F6" t="s">
        <v>19</v>
      </c>
      <c r="G6" t="s">
        <v>12</v>
      </c>
      <c r="I6" t="s">
        <v>941</v>
      </c>
      <c r="J6" t="str">
        <f>IF(ISBLANK(Table1[[#This Row],[PaidDate]]),"Unpaid",IF(Table1[[#This Row],[PaidDate]]&gt;Table1[[#This Row],[DueDate]],"Late",IF(Table1[[#This Row],[PaidDate]]&lt;Table1[[#This Row],[DueDate]],"Early","On Time")))</f>
        <v>Unpaid</v>
      </c>
      <c r="K6" t="str">
        <f ca="1">IF(AND(Table1[[#This Row],[Status]]&lt;&gt;"Paid",TODAY()&gt;Table1[[#This Row],[DueDate]]),"Overdue","OK")</f>
        <v>Overdue</v>
      </c>
    </row>
    <row r="7" spans="1:11" x14ac:dyDescent="0.3">
      <c r="A7" t="s">
        <v>948</v>
      </c>
      <c r="B7" t="s">
        <v>944</v>
      </c>
      <c r="C7" s="1">
        <v>45482</v>
      </c>
      <c r="D7" s="1">
        <v>45512</v>
      </c>
      <c r="E7" s="2">
        <v>1599.18</v>
      </c>
      <c r="F7" t="s">
        <v>28</v>
      </c>
      <c r="G7" t="s">
        <v>17</v>
      </c>
      <c r="I7" t="s">
        <v>941</v>
      </c>
      <c r="J7" t="str">
        <f>IF(ISBLANK(Table1[[#This Row],[PaidDate]]),"Unpaid",IF(Table1[[#This Row],[PaidDate]]&gt;Table1[[#This Row],[DueDate]],"Late",IF(Table1[[#This Row],[PaidDate]]&lt;Table1[[#This Row],[DueDate]],"Early","On Time")))</f>
        <v>Unpaid</v>
      </c>
      <c r="K7" t="str">
        <f ca="1">IF(AND(Table1[[#This Row],[Status]]&lt;&gt;"Paid",TODAY()&gt;Table1[[#This Row],[DueDate]]),"Overdue","OK")</f>
        <v>Overdue</v>
      </c>
    </row>
    <row r="8" spans="1:11" x14ac:dyDescent="0.3">
      <c r="A8" t="s">
        <v>949</v>
      </c>
      <c r="B8" t="s">
        <v>940</v>
      </c>
      <c r="C8" s="1">
        <v>45646</v>
      </c>
      <c r="D8" s="1">
        <v>45676</v>
      </c>
      <c r="E8" s="2">
        <v>894.13</v>
      </c>
      <c r="F8" t="s">
        <v>11</v>
      </c>
      <c r="G8" t="s">
        <v>17</v>
      </c>
      <c r="I8" t="s">
        <v>941</v>
      </c>
      <c r="J8" t="str">
        <f>IF(ISBLANK(Table1[[#This Row],[PaidDate]]),"Unpaid",IF(Table1[[#This Row],[PaidDate]]&gt;Table1[[#This Row],[DueDate]],"Late",IF(Table1[[#This Row],[PaidDate]]&lt;Table1[[#This Row],[DueDate]],"Early","On Time")))</f>
        <v>Unpaid</v>
      </c>
      <c r="K8" t="str">
        <f ca="1">IF(AND(Table1[[#This Row],[Status]]&lt;&gt;"Paid",TODAY()&gt;Table1[[#This Row],[DueDate]]),"Overdue","OK")</f>
        <v>Overdue</v>
      </c>
    </row>
    <row r="9" spans="1:11" x14ac:dyDescent="0.3">
      <c r="A9" t="s">
        <v>950</v>
      </c>
      <c r="B9" t="s">
        <v>944</v>
      </c>
      <c r="C9" s="1">
        <v>45560</v>
      </c>
      <c r="D9" s="1">
        <v>45590</v>
      </c>
      <c r="E9" s="2">
        <v>1303.06</v>
      </c>
      <c r="F9" t="s">
        <v>19</v>
      </c>
      <c r="G9" t="s">
        <v>951</v>
      </c>
      <c r="H9" s="1">
        <v>45590</v>
      </c>
      <c r="I9" t="s">
        <v>941</v>
      </c>
      <c r="J9" t="str">
        <f>IF(ISBLANK(Table1[[#This Row],[PaidDate]]),"Unpaid",IF(Table1[[#This Row],[PaidDate]]&gt;Table1[[#This Row],[DueDate]],"Late",IF(Table1[[#This Row],[PaidDate]]&lt;Table1[[#This Row],[DueDate]],"Early","On Time")))</f>
        <v>On Time</v>
      </c>
      <c r="K9" t="str">
        <f ca="1">IF(AND(Table1[[#This Row],[Status]]&lt;&gt;"Paid",TODAY()&gt;Table1[[#This Row],[DueDate]]),"Overdue","OK")</f>
        <v>OK</v>
      </c>
    </row>
    <row r="10" spans="1:11" x14ac:dyDescent="0.3">
      <c r="A10" t="s">
        <v>952</v>
      </c>
      <c r="B10" t="s">
        <v>946</v>
      </c>
      <c r="C10" s="1">
        <v>45334</v>
      </c>
      <c r="D10" s="1">
        <v>45364</v>
      </c>
      <c r="E10" s="2">
        <v>3481.8</v>
      </c>
      <c r="F10" t="s">
        <v>26</v>
      </c>
      <c r="G10" t="s">
        <v>951</v>
      </c>
      <c r="H10" s="1">
        <v>45364</v>
      </c>
      <c r="I10" t="s">
        <v>941</v>
      </c>
      <c r="J10" t="str">
        <f>IF(ISBLANK(Table1[[#This Row],[PaidDate]]),"Unpaid",IF(Table1[[#This Row],[PaidDate]]&gt;Table1[[#This Row],[DueDate]],"Late",IF(Table1[[#This Row],[PaidDate]]&lt;Table1[[#This Row],[DueDate]],"Early","On Time")))</f>
        <v>On Time</v>
      </c>
      <c r="K10" t="str">
        <f ca="1">IF(AND(Table1[[#This Row],[Status]]&lt;&gt;"Paid",TODAY()&gt;Table1[[#This Row],[DueDate]]),"Overdue","OK")</f>
        <v>OK</v>
      </c>
    </row>
    <row r="11" spans="1:11" x14ac:dyDescent="0.3">
      <c r="A11" t="s">
        <v>953</v>
      </c>
      <c r="B11" t="s">
        <v>946</v>
      </c>
      <c r="C11" s="1">
        <v>45470</v>
      </c>
      <c r="D11" s="1">
        <v>45500</v>
      </c>
      <c r="E11" s="2">
        <v>217.97</v>
      </c>
      <c r="F11" t="s">
        <v>11</v>
      </c>
      <c r="G11" t="s">
        <v>17</v>
      </c>
      <c r="I11" t="s">
        <v>941</v>
      </c>
      <c r="J11" t="str">
        <f>IF(ISBLANK(Table1[[#This Row],[PaidDate]]),"Unpaid",IF(Table1[[#This Row],[PaidDate]]&gt;Table1[[#This Row],[DueDate]],"Late",IF(Table1[[#This Row],[PaidDate]]&lt;Table1[[#This Row],[DueDate]],"Early","On Time")))</f>
        <v>Unpaid</v>
      </c>
      <c r="K11" t="str">
        <f ca="1">IF(AND(Table1[[#This Row],[Status]]&lt;&gt;"Paid",TODAY()&gt;Table1[[#This Row],[DueDate]]),"Overdue","OK")</f>
        <v>Overdue</v>
      </c>
    </row>
    <row r="12" spans="1:11" x14ac:dyDescent="0.3">
      <c r="A12" t="s">
        <v>954</v>
      </c>
      <c r="B12" t="s">
        <v>940</v>
      </c>
      <c r="C12" s="1">
        <v>45360</v>
      </c>
      <c r="D12" s="1">
        <v>45390</v>
      </c>
      <c r="E12" s="2">
        <v>1809.07</v>
      </c>
      <c r="F12" t="s">
        <v>16</v>
      </c>
      <c r="G12" t="s">
        <v>12</v>
      </c>
      <c r="I12" t="s">
        <v>941</v>
      </c>
      <c r="J12" t="str">
        <f>IF(ISBLANK(Table1[[#This Row],[PaidDate]]),"Unpaid",IF(Table1[[#This Row],[PaidDate]]&gt;Table1[[#This Row],[DueDate]],"Late",IF(Table1[[#This Row],[PaidDate]]&lt;Table1[[#This Row],[DueDate]],"Early","On Time")))</f>
        <v>Unpaid</v>
      </c>
      <c r="K12" t="str">
        <f ca="1">IF(AND(Table1[[#This Row],[Status]]&lt;&gt;"Paid",TODAY()&gt;Table1[[#This Row],[DueDate]]),"Overdue","OK")</f>
        <v>Overdue</v>
      </c>
    </row>
    <row r="13" spans="1:11" x14ac:dyDescent="0.3">
      <c r="A13" t="s">
        <v>955</v>
      </c>
      <c r="B13" t="s">
        <v>940</v>
      </c>
      <c r="C13" s="1">
        <v>45575</v>
      </c>
      <c r="D13" s="1">
        <v>45605</v>
      </c>
      <c r="E13" s="2">
        <v>884.1</v>
      </c>
      <c r="F13" t="s">
        <v>11</v>
      </c>
      <c r="G13" t="s">
        <v>17</v>
      </c>
      <c r="I13" t="s">
        <v>941</v>
      </c>
      <c r="J13" t="str">
        <f>IF(ISBLANK(Table1[[#This Row],[PaidDate]]),"Unpaid",IF(Table1[[#This Row],[PaidDate]]&gt;Table1[[#This Row],[DueDate]],"Late",IF(Table1[[#This Row],[PaidDate]]&lt;Table1[[#This Row],[DueDate]],"Early","On Time")))</f>
        <v>Unpaid</v>
      </c>
      <c r="K13" t="str">
        <f ca="1">IF(AND(Table1[[#This Row],[Status]]&lt;&gt;"Paid",TODAY()&gt;Table1[[#This Row],[DueDate]]),"Overdue","OK")</f>
        <v>Overdue</v>
      </c>
    </row>
    <row r="14" spans="1:11" x14ac:dyDescent="0.3">
      <c r="A14" t="s">
        <v>956</v>
      </c>
      <c r="B14" t="s">
        <v>946</v>
      </c>
      <c r="C14" s="1">
        <v>45065</v>
      </c>
      <c r="D14" s="1">
        <v>45095</v>
      </c>
      <c r="E14" s="2">
        <v>1491.7</v>
      </c>
      <c r="F14" t="s">
        <v>19</v>
      </c>
      <c r="G14" t="s">
        <v>17</v>
      </c>
      <c r="I14" t="s">
        <v>941</v>
      </c>
      <c r="J14" t="str">
        <f>IF(ISBLANK(Table1[[#This Row],[PaidDate]]),"Unpaid",IF(Table1[[#This Row],[PaidDate]]&gt;Table1[[#This Row],[DueDate]],"Late",IF(Table1[[#This Row],[PaidDate]]&lt;Table1[[#This Row],[DueDate]],"Early","On Time")))</f>
        <v>Unpaid</v>
      </c>
      <c r="K14" t="str">
        <f ca="1">IF(AND(Table1[[#This Row],[Status]]&lt;&gt;"Paid",TODAY()&gt;Table1[[#This Row],[DueDate]]),"Overdue","OK")</f>
        <v>Overdue</v>
      </c>
    </row>
    <row r="15" spans="1:11" x14ac:dyDescent="0.3">
      <c r="A15" t="s">
        <v>957</v>
      </c>
      <c r="B15" t="s">
        <v>946</v>
      </c>
      <c r="C15" s="1">
        <v>45249</v>
      </c>
      <c r="D15" s="1">
        <v>45279</v>
      </c>
      <c r="E15" s="2">
        <v>4212.17</v>
      </c>
      <c r="F15" t="s">
        <v>28</v>
      </c>
      <c r="G15" t="s">
        <v>951</v>
      </c>
      <c r="H15" s="1">
        <v>45279</v>
      </c>
      <c r="I15" t="s">
        <v>941</v>
      </c>
      <c r="J15" t="str">
        <f>IF(ISBLANK(Table1[[#This Row],[PaidDate]]),"Unpaid",IF(Table1[[#This Row],[PaidDate]]&gt;Table1[[#This Row],[DueDate]],"Late",IF(Table1[[#This Row],[PaidDate]]&lt;Table1[[#This Row],[DueDate]],"Early","On Time")))</f>
        <v>On Time</v>
      </c>
      <c r="K15" t="str">
        <f ca="1">IF(AND(Table1[[#This Row],[Status]]&lt;&gt;"Paid",TODAY()&gt;Table1[[#This Row],[DueDate]]),"Overdue","OK")</f>
        <v>OK</v>
      </c>
    </row>
    <row r="16" spans="1:11" x14ac:dyDescent="0.3">
      <c r="A16" t="s">
        <v>958</v>
      </c>
      <c r="B16" t="s">
        <v>940</v>
      </c>
      <c r="C16" s="1">
        <v>45417</v>
      </c>
      <c r="D16" s="1">
        <v>45447</v>
      </c>
      <c r="E16" s="2">
        <v>1632.82</v>
      </c>
      <c r="F16" t="s">
        <v>19</v>
      </c>
      <c r="G16" t="s">
        <v>17</v>
      </c>
      <c r="I16" t="s">
        <v>941</v>
      </c>
      <c r="J16" t="str">
        <f>IF(ISBLANK(Table1[[#This Row],[PaidDate]]),"Unpaid",IF(Table1[[#This Row],[PaidDate]]&gt;Table1[[#This Row],[DueDate]],"Late",IF(Table1[[#This Row],[PaidDate]]&lt;Table1[[#This Row],[DueDate]],"Early","On Time")))</f>
        <v>Unpaid</v>
      </c>
      <c r="K16" t="str">
        <f ca="1">IF(AND(Table1[[#This Row],[Status]]&lt;&gt;"Paid",TODAY()&gt;Table1[[#This Row],[DueDate]]),"Overdue","OK")</f>
        <v>Overdue</v>
      </c>
    </row>
    <row r="17" spans="1:11" x14ac:dyDescent="0.3">
      <c r="A17" t="s">
        <v>959</v>
      </c>
      <c r="B17" t="s">
        <v>940</v>
      </c>
      <c r="C17" s="1">
        <v>45081</v>
      </c>
      <c r="D17" s="1">
        <v>45111</v>
      </c>
      <c r="E17" s="2">
        <v>1887.67</v>
      </c>
      <c r="F17" t="s">
        <v>16</v>
      </c>
      <c r="G17" t="s">
        <v>951</v>
      </c>
      <c r="H17" s="1">
        <v>45111</v>
      </c>
      <c r="I17" t="s">
        <v>941</v>
      </c>
      <c r="J17" t="str">
        <f>IF(ISBLANK(Table1[[#This Row],[PaidDate]]),"Unpaid",IF(Table1[[#This Row],[PaidDate]]&gt;Table1[[#This Row],[DueDate]],"Late",IF(Table1[[#This Row],[PaidDate]]&lt;Table1[[#This Row],[DueDate]],"Early","On Time")))</f>
        <v>On Time</v>
      </c>
      <c r="K17" t="str">
        <f ca="1">IF(AND(Table1[[#This Row],[Status]]&lt;&gt;"Paid",TODAY()&gt;Table1[[#This Row],[DueDate]]),"Overdue","OK")</f>
        <v>OK</v>
      </c>
    </row>
    <row r="18" spans="1:11" x14ac:dyDescent="0.3">
      <c r="A18" t="s">
        <v>960</v>
      </c>
      <c r="B18" t="s">
        <v>940</v>
      </c>
      <c r="C18" s="1">
        <v>45270</v>
      </c>
      <c r="D18" s="1">
        <v>45300</v>
      </c>
      <c r="E18" s="2">
        <v>1721.41</v>
      </c>
      <c r="F18" t="s">
        <v>19</v>
      </c>
      <c r="G18" t="s">
        <v>17</v>
      </c>
      <c r="I18" t="s">
        <v>941</v>
      </c>
      <c r="J18" t="str">
        <f>IF(ISBLANK(Table1[[#This Row],[PaidDate]]),"Unpaid",IF(Table1[[#This Row],[PaidDate]]&gt;Table1[[#This Row],[DueDate]],"Late",IF(Table1[[#This Row],[PaidDate]]&lt;Table1[[#This Row],[DueDate]],"Early","On Time")))</f>
        <v>Unpaid</v>
      </c>
      <c r="K18" t="str">
        <f ca="1">IF(AND(Table1[[#This Row],[Status]]&lt;&gt;"Paid",TODAY()&gt;Table1[[#This Row],[DueDate]]),"Overdue","OK")</f>
        <v>Overdue</v>
      </c>
    </row>
    <row r="19" spans="1:11" x14ac:dyDescent="0.3">
      <c r="A19" t="s">
        <v>961</v>
      </c>
      <c r="B19" t="s">
        <v>962</v>
      </c>
      <c r="C19" s="1">
        <v>45656</v>
      </c>
      <c r="D19" s="1">
        <v>45686</v>
      </c>
      <c r="E19" s="2">
        <v>2941.63</v>
      </c>
      <c r="F19" t="s">
        <v>11</v>
      </c>
      <c r="G19" t="s">
        <v>17</v>
      </c>
      <c r="I19" t="s">
        <v>941</v>
      </c>
      <c r="J19" t="str">
        <f>IF(ISBLANK(Table1[[#This Row],[PaidDate]]),"Unpaid",IF(Table1[[#This Row],[PaidDate]]&gt;Table1[[#This Row],[DueDate]],"Late",IF(Table1[[#This Row],[PaidDate]]&lt;Table1[[#This Row],[DueDate]],"Early","On Time")))</f>
        <v>Unpaid</v>
      </c>
      <c r="K19" t="str">
        <f ca="1">IF(AND(Table1[[#This Row],[Status]]&lt;&gt;"Paid",TODAY()&gt;Table1[[#This Row],[DueDate]]),"Overdue","OK")</f>
        <v>Overdue</v>
      </c>
    </row>
    <row r="20" spans="1:11" x14ac:dyDescent="0.3">
      <c r="A20" t="s">
        <v>963</v>
      </c>
      <c r="B20" t="s">
        <v>944</v>
      </c>
      <c r="C20" s="1">
        <v>45470</v>
      </c>
      <c r="D20" s="1">
        <v>45500</v>
      </c>
      <c r="E20" s="2">
        <v>889.44</v>
      </c>
      <c r="F20" t="s">
        <v>11</v>
      </c>
      <c r="G20" t="s">
        <v>951</v>
      </c>
      <c r="H20" s="1">
        <v>45500</v>
      </c>
      <c r="I20" t="s">
        <v>941</v>
      </c>
      <c r="J20" t="str">
        <f>IF(ISBLANK(Table1[[#This Row],[PaidDate]]),"Unpaid",IF(Table1[[#This Row],[PaidDate]]&gt;Table1[[#This Row],[DueDate]],"Late",IF(Table1[[#This Row],[PaidDate]]&lt;Table1[[#This Row],[DueDate]],"Early","On Time")))</f>
        <v>On Time</v>
      </c>
      <c r="K20" t="str">
        <f ca="1">IF(AND(Table1[[#This Row],[Status]]&lt;&gt;"Paid",TODAY()&gt;Table1[[#This Row],[DueDate]]),"Overdue","OK")</f>
        <v>OK</v>
      </c>
    </row>
    <row r="21" spans="1:11" x14ac:dyDescent="0.3">
      <c r="A21" t="s">
        <v>964</v>
      </c>
      <c r="B21" t="s">
        <v>944</v>
      </c>
      <c r="C21" s="1">
        <v>45744</v>
      </c>
      <c r="D21" s="1">
        <v>45774</v>
      </c>
      <c r="E21" s="2">
        <v>1539.53</v>
      </c>
      <c r="F21" t="s">
        <v>28</v>
      </c>
      <c r="G21" t="s">
        <v>12</v>
      </c>
      <c r="I21" t="s">
        <v>941</v>
      </c>
      <c r="J21" t="str">
        <f>IF(ISBLANK(Table1[[#This Row],[PaidDate]]),"Unpaid",IF(Table1[[#This Row],[PaidDate]]&gt;Table1[[#This Row],[DueDate]],"Late",IF(Table1[[#This Row],[PaidDate]]&lt;Table1[[#This Row],[DueDate]],"Early","On Time")))</f>
        <v>Unpaid</v>
      </c>
      <c r="K21" t="str">
        <f ca="1">IF(AND(Table1[[#This Row],[Status]]&lt;&gt;"Paid",TODAY()&gt;Table1[[#This Row],[DueDate]]),"Overdue","OK")</f>
        <v>Overdue</v>
      </c>
    </row>
    <row r="22" spans="1:11" x14ac:dyDescent="0.3">
      <c r="A22" t="s">
        <v>965</v>
      </c>
      <c r="B22" t="s">
        <v>966</v>
      </c>
      <c r="C22" s="1">
        <v>45121</v>
      </c>
      <c r="D22" s="1">
        <v>45151</v>
      </c>
      <c r="E22" s="2">
        <v>996.27</v>
      </c>
      <c r="F22" t="s">
        <v>28</v>
      </c>
      <c r="G22" t="s">
        <v>17</v>
      </c>
      <c r="I22" t="s">
        <v>941</v>
      </c>
      <c r="J22" t="str">
        <f>IF(ISBLANK(Table1[[#This Row],[PaidDate]]),"Unpaid",IF(Table1[[#This Row],[PaidDate]]&gt;Table1[[#This Row],[DueDate]],"Late",IF(Table1[[#This Row],[PaidDate]]&lt;Table1[[#This Row],[DueDate]],"Early","On Time")))</f>
        <v>Unpaid</v>
      </c>
      <c r="K22" t="str">
        <f ca="1">IF(AND(Table1[[#This Row],[Status]]&lt;&gt;"Paid",TODAY()&gt;Table1[[#This Row],[DueDate]]),"Overdue","OK")</f>
        <v>Overdue</v>
      </c>
    </row>
    <row r="23" spans="1:11" x14ac:dyDescent="0.3">
      <c r="A23" t="s">
        <v>967</v>
      </c>
      <c r="B23" t="s">
        <v>966</v>
      </c>
      <c r="C23" s="1">
        <v>45105</v>
      </c>
      <c r="D23" s="1">
        <v>45135</v>
      </c>
      <c r="E23" s="2">
        <v>2450.1</v>
      </c>
      <c r="F23" t="s">
        <v>26</v>
      </c>
      <c r="G23" t="s">
        <v>12</v>
      </c>
      <c r="I23" t="s">
        <v>941</v>
      </c>
      <c r="J23" t="str">
        <f>IF(ISBLANK(Table1[[#This Row],[PaidDate]]),"Unpaid",IF(Table1[[#This Row],[PaidDate]]&gt;Table1[[#This Row],[DueDate]],"Late",IF(Table1[[#This Row],[PaidDate]]&lt;Table1[[#This Row],[DueDate]],"Early","On Time")))</f>
        <v>Unpaid</v>
      </c>
      <c r="K23" t="str">
        <f ca="1">IF(AND(Table1[[#This Row],[Status]]&lt;&gt;"Paid",TODAY()&gt;Table1[[#This Row],[DueDate]]),"Overdue","OK")</f>
        <v>Overdue</v>
      </c>
    </row>
    <row r="24" spans="1:11" x14ac:dyDescent="0.3">
      <c r="A24" t="s">
        <v>968</v>
      </c>
      <c r="B24" t="s">
        <v>962</v>
      </c>
      <c r="C24" s="1">
        <v>45653</v>
      </c>
      <c r="D24" s="1">
        <v>45683</v>
      </c>
      <c r="E24" s="2">
        <v>797.8</v>
      </c>
      <c r="F24" t="s">
        <v>26</v>
      </c>
      <c r="G24" t="s">
        <v>17</v>
      </c>
      <c r="I24" t="s">
        <v>941</v>
      </c>
      <c r="J24" t="str">
        <f>IF(ISBLANK(Table1[[#This Row],[PaidDate]]),"Unpaid",IF(Table1[[#This Row],[PaidDate]]&gt;Table1[[#This Row],[DueDate]],"Late",IF(Table1[[#This Row],[PaidDate]]&lt;Table1[[#This Row],[DueDate]],"Early","On Time")))</f>
        <v>Unpaid</v>
      </c>
      <c r="K24" t="str">
        <f ca="1">IF(AND(Table1[[#This Row],[Status]]&lt;&gt;"Paid",TODAY()&gt;Table1[[#This Row],[DueDate]]),"Overdue","OK")</f>
        <v>Overdue</v>
      </c>
    </row>
    <row r="25" spans="1:11" x14ac:dyDescent="0.3">
      <c r="A25" t="s">
        <v>969</v>
      </c>
      <c r="B25" t="s">
        <v>940</v>
      </c>
      <c r="C25" s="1">
        <v>45062</v>
      </c>
      <c r="D25" s="1">
        <v>45092</v>
      </c>
      <c r="E25" s="2">
        <v>4237.6499999999996</v>
      </c>
      <c r="F25" t="s">
        <v>19</v>
      </c>
      <c r="G25" t="s">
        <v>12</v>
      </c>
      <c r="I25" t="s">
        <v>941</v>
      </c>
      <c r="J25" t="str">
        <f>IF(ISBLANK(Table1[[#This Row],[PaidDate]]),"Unpaid",IF(Table1[[#This Row],[PaidDate]]&gt;Table1[[#This Row],[DueDate]],"Late",IF(Table1[[#This Row],[PaidDate]]&lt;Table1[[#This Row],[DueDate]],"Early","On Time")))</f>
        <v>Unpaid</v>
      </c>
      <c r="K25" t="str">
        <f ca="1">IF(AND(Table1[[#This Row],[Status]]&lt;&gt;"Paid",TODAY()&gt;Table1[[#This Row],[DueDate]]),"Overdue","OK")</f>
        <v>Overdue</v>
      </c>
    </row>
    <row r="26" spans="1:11" x14ac:dyDescent="0.3">
      <c r="A26" t="s">
        <v>970</v>
      </c>
      <c r="B26" t="s">
        <v>962</v>
      </c>
      <c r="C26" s="1">
        <v>45199</v>
      </c>
      <c r="D26" s="1">
        <v>45229</v>
      </c>
      <c r="E26" s="2">
        <v>665.06</v>
      </c>
      <c r="F26" t="s">
        <v>28</v>
      </c>
      <c r="G26" t="s">
        <v>17</v>
      </c>
      <c r="I26" t="s">
        <v>941</v>
      </c>
      <c r="J26" t="str">
        <f>IF(ISBLANK(Table1[[#This Row],[PaidDate]]),"Unpaid",IF(Table1[[#This Row],[PaidDate]]&gt;Table1[[#This Row],[DueDate]],"Late",IF(Table1[[#This Row],[PaidDate]]&lt;Table1[[#This Row],[DueDate]],"Early","On Time")))</f>
        <v>Unpaid</v>
      </c>
      <c r="K26" t="str">
        <f ca="1">IF(AND(Table1[[#This Row],[Status]]&lt;&gt;"Paid",TODAY()&gt;Table1[[#This Row],[DueDate]]),"Overdue","OK")</f>
        <v>Overdue</v>
      </c>
    </row>
    <row r="27" spans="1:11" x14ac:dyDescent="0.3">
      <c r="A27" t="s">
        <v>971</v>
      </c>
      <c r="B27" t="s">
        <v>962</v>
      </c>
      <c r="C27" s="1">
        <v>45640</v>
      </c>
      <c r="D27" s="1">
        <v>45670</v>
      </c>
      <c r="E27" s="2">
        <v>3849.16</v>
      </c>
      <c r="F27" t="s">
        <v>19</v>
      </c>
      <c r="G27" t="s">
        <v>12</v>
      </c>
      <c r="I27" t="s">
        <v>941</v>
      </c>
      <c r="J27" t="str">
        <f>IF(ISBLANK(Table1[[#This Row],[PaidDate]]),"Unpaid",IF(Table1[[#This Row],[PaidDate]]&gt;Table1[[#This Row],[DueDate]],"Late",IF(Table1[[#This Row],[PaidDate]]&lt;Table1[[#This Row],[DueDate]],"Early","On Time")))</f>
        <v>Unpaid</v>
      </c>
      <c r="K27" t="str">
        <f ca="1">IF(AND(Table1[[#This Row],[Status]]&lt;&gt;"Paid",TODAY()&gt;Table1[[#This Row],[DueDate]]),"Overdue","OK")</f>
        <v>Overdue</v>
      </c>
    </row>
    <row r="28" spans="1:11" x14ac:dyDescent="0.3">
      <c r="A28" t="s">
        <v>972</v>
      </c>
      <c r="B28" t="s">
        <v>940</v>
      </c>
      <c r="C28" s="1">
        <v>45124</v>
      </c>
      <c r="D28" s="1">
        <v>45154</v>
      </c>
      <c r="E28" s="2">
        <v>4411.88</v>
      </c>
      <c r="F28" t="s">
        <v>26</v>
      </c>
      <c r="G28" t="s">
        <v>951</v>
      </c>
      <c r="H28" s="1">
        <v>45154</v>
      </c>
      <c r="I28" t="s">
        <v>941</v>
      </c>
      <c r="J28" t="str">
        <f>IF(ISBLANK(Table1[[#This Row],[PaidDate]]),"Unpaid",IF(Table1[[#This Row],[PaidDate]]&gt;Table1[[#This Row],[DueDate]],"Late",IF(Table1[[#This Row],[PaidDate]]&lt;Table1[[#This Row],[DueDate]],"Early","On Time")))</f>
        <v>On Time</v>
      </c>
      <c r="K28" t="str">
        <f ca="1">IF(AND(Table1[[#This Row],[Status]]&lt;&gt;"Paid",TODAY()&gt;Table1[[#This Row],[DueDate]]),"Overdue","OK")</f>
        <v>OK</v>
      </c>
    </row>
    <row r="29" spans="1:11" x14ac:dyDescent="0.3">
      <c r="A29" t="s">
        <v>973</v>
      </c>
      <c r="B29" t="s">
        <v>944</v>
      </c>
      <c r="C29" s="1">
        <v>45376</v>
      </c>
      <c r="D29" s="1">
        <v>45406</v>
      </c>
      <c r="E29" s="2">
        <v>296.64999999999998</v>
      </c>
      <c r="F29" t="s">
        <v>11</v>
      </c>
      <c r="G29" t="s">
        <v>951</v>
      </c>
      <c r="H29" s="1">
        <v>45406</v>
      </c>
      <c r="I29" t="s">
        <v>941</v>
      </c>
      <c r="J29" t="str">
        <f>IF(ISBLANK(Table1[[#This Row],[PaidDate]]),"Unpaid",IF(Table1[[#This Row],[PaidDate]]&gt;Table1[[#This Row],[DueDate]],"Late",IF(Table1[[#This Row],[PaidDate]]&lt;Table1[[#This Row],[DueDate]],"Early","On Time")))</f>
        <v>On Time</v>
      </c>
      <c r="K29" t="str">
        <f ca="1">IF(AND(Table1[[#This Row],[Status]]&lt;&gt;"Paid",TODAY()&gt;Table1[[#This Row],[DueDate]]),"Overdue","OK")</f>
        <v>OK</v>
      </c>
    </row>
    <row r="30" spans="1:11" x14ac:dyDescent="0.3">
      <c r="A30" t="s">
        <v>974</v>
      </c>
      <c r="B30" t="s">
        <v>966</v>
      </c>
      <c r="C30" s="1">
        <v>45593</v>
      </c>
      <c r="D30" s="1">
        <v>45623</v>
      </c>
      <c r="E30" s="2">
        <v>3099.8</v>
      </c>
      <c r="F30" t="s">
        <v>19</v>
      </c>
      <c r="G30" t="s">
        <v>17</v>
      </c>
      <c r="I30" t="s">
        <v>941</v>
      </c>
      <c r="J30" t="str">
        <f>IF(ISBLANK(Table1[[#This Row],[PaidDate]]),"Unpaid",IF(Table1[[#This Row],[PaidDate]]&gt;Table1[[#This Row],[DueDate]],"Late",IF(Table1[[#This Row],[PaidDate]]&lt;Table1[[#This Row],[DueDate]],"Early","On Time")))</f>
        <v>Unpaid</v>
      </c>
      <c r="K30" t="str">
        <f ca="1">IF(AND(Table1[[#This Row],[Status]]&lt;&gt;"Paid",TODAY()&gt;Table1[[#This Row],[DueDate]]),"Overdue","OK")</f>
        <v>Overdue</v>
      </c>
    </row>
    <row r="31" spans="1:11" x14ac:dyDescent="0.3">
      <c r="A31" t="s">
        <v>975</v>
      </c>
      <c r="B31" t="s">
        <v>962</v>
      </c>
      <c r="C31" s="1">
        <v>44991</v>
      </c>
      <c r="D31" s="1">
        <v>45021</v>
      </c>
      <c r="E31" s="2">
        <v>4007.29</v>
      </c>
      <c r="F31" t="s">
        <v>26</v>
      </c>
      <c r="G31" t="s">
        <v>17</v>
      </c>
      <c r="I31" t="s">
        <v>941</v>
      </c>
      <c r="J31" t="str">
        <f>IF(ISBLANK(Table1[[#This Row],[PaidDate]]),"Unpaid",IF(Table1[[#This Row],[PaidDate]]&gt;Table1[[#This Row],[DueDate]],"Late",IF(Table1[[#This Row],[PaidDate]]&lt;Table1[[#This Row],[DueDate]],"Early","On Time")))</f>
        <v>Unpaid</v>
      </c>
      <c r="K31" t="str">
        <f ca="1">IF(AND(Table1[[#This Row],[Status]]&lt;&gt;"Paid",TODAY()&gt;Table1[[#This Row],[DueDate]]),"Overdue","OK")</f>
        <v>Overdue</v>
      </c>
    </row>
    <row r="32" spans="1:11" x14ac:dyDescent="0.3">
      <c r="A32" t="s">
        <v>976</v>
      </c>
      <c r="B32" t="s">
        <v>944</v>
      </c>
      <c r="C32" s="1">
        <v>45335</v>
      </c>
      <c r="D32" s="1">
        <v>45365</v>
      </c>
      <c r="E32" s="2">
        <v>2884.32</v>
      </c>
      <c r="F32" t="s">
        <v>26</v>
      </c>
      <c r="G32" t="s">
        <v>12</v>
      </c>
      <c r="I32" t="s">
        <v>941</v>
      </c>
      <c r="J32" t="str">
        <f>IF(ISBLANK(Table1[[#This Row],[PaidDate]]),"Unpaid",IF(Table1[[#This Row],[PaidDate]]&gt;Table1[[#This Row],[DueDate]],"Late",IF(Table1[[#This Row],[PaidDate]]&lt;Table1[[#This Row],[DueDate]],"Early","On Time")))</f>
        <v>Unpaid</v>
      </c>
      <c r="K32" t="str">
        <f ca="1">IF(AND(Table1[[#This Row],[Status]]&lt;&gt;"Paid",TODAY()&gt;Table1[[#This Row],[DueDate]]),"Overdue","OK")</f>
        <v>Overdue</v>
      </c>
    </row>
    <row r="33" spans="1:11" x14ac:dyDescent="0.3">
      <c r="A33" t="s">
        <v>977</v>
      </c>
      <c r="B33" t="s">
        <v>944</v>
      </c>
      <c r="C33" s="1">
        <v>45000</v>
      </c>
      <c r="D33" s="1">
        <v>45030</v>
      </c>
      <c r="E33" s="2">
        <v>4830.24</v>
      </c>
      <c r="F33" t="s">
        <v>16</v>
      </c>
      <c r="G33" t="s">
        <v>951</v>
      </c>
      <c r="H33" s="1">
        <v>45030</v>
      </c>
      <c r="I33" t="s">
        <v>941</v>
      </c>
      <c r="J33" t="str">
        <f>IF(ISBLANK(Table1[[#This Row],[PaidDate]]),"Unpaid",IF(Table1[[#This Row],[PaidDate]]&gt;Table1[[#This Row],[DueDate]],"Late",IF(Table1[[#This Row],[PaidDate]]&lt;Table1[[#This Row],[DueDate]],"Early","On Time")))</f>
        <v>On Time</v>
      </c>
      <c r="K33" t="str">
        <f ca="1">IF(AND(Table1[[#This Row],[Status]]&lt;&gt;"Paid",TODAY()&gt;Table1[[#This Row],[DueDate]]),"Overdue","OK")</f>
        <v>OK</v>
      </c>
    </row>
    <row r="34" spans="1:11" x14ac:dyDescent="0.3">
      <c r="A34" t="s">
        <v>978</v>
      </c>
      <c r="B34" t="s">
        <v>962</v>
      </c>
      <c r="C34" s="1">
        <v>45210</v>
      </c>
      <c r="D34" s="1">
        <v>45240</v>
      </c>
      <c r="E34" s="2">
        <v>4841.22</v>
      </c>
      <c r="F34" t="s">
        <v>11</v>
      </c>
      <c r="G34" t="s">
        <v>951</v>
      </c>
      <c r="H34" s="1">
        <v>45240</v>
      </c>
      <c r="I34" t="s">
        <v>941</v>
      </c>
      <c r="J34" t="str">
        <f>IF(ISBLANK(Table1[[#This Row],[PaidDate]]),"Unpaid",IF(Table1[[#This Row],[PaidDate]]&gt;Table1[[#This Row],[DueDate]],"Late",IF(Table1[[#This Row],[PaidDate]]&lt;Table1[[#This Row],[DueDate]],"Early","On Time")))</f>
        <v>On Time</v>
      </c>
      <c r="K34" t="str">
        <f ca="1">IF(AND(Table1[[#This Row],[Status]]&lt;&gt;"Paid",TODAY()&gt;Table1[[#This Row],[DueDate]]),"Overdue","OK")</f>
        <v>OK</v>
      </c>
    </row>
    <row r="35" spans="1:11" x14ac:dyDescent="0.3">
      <c r="A35" t="s">
        <v>979</v>
      </c>
      <c r="B35" t="s">
        <v>946</v>
      </c>
      <c r="C35" s="1">
        <v>45598</v>
      </c>
      <c r="D35" s="1">
        <v>45628</v>
      </c>
      <c r="E35" s="2">
        <v>3601.17</v>
      </c>
      <c r="F35" t="s">
        <v>28</v>
      </c>
      <c r="G35" t="s">
        <v>17</v>
      </c>
      <c r="I35" t="s">
        <v>941</v>
      </c>
      <c r="J35" t="str">
        <f>IF(ISBLANK(Table1[[#This Row],[PaidDate]]),"Unpaid",IF(Table1[[#This Row],[PaidDate]]&gt;Table1[[#This Row],[DueDate]],"Late",IF(Table1[[#This Row],[PaidDate]]&lt;Table1[[#This Row],[DueDate]],"Early","On Time")))</f>
        <v>Unpaid</v>
      </c>
      <c r="K35" t="str">
        <f ca="1">IF(AND(Table1[[#This Row],[Status]]&lt;&gt;"Paid",TODAY()&gt;Table1[[#This Row],[DueDate]]),"Overdue","OK")</f>
        <v>Overdue</v>
      </c>
    </row>
    <row r="36" spans="1:11" x14ac:dyDescent="0.3">
      <c r="A36" t="s">
        <v>980</v>
      </c>
      <c r="B36" t="s">
        <v>944</v>
      </c>
      <c r="C36" s="1">
        <v>45668</v>
      </c>
      <c r="D36" s="1">
        <v>45698</v>
      </c>
      <c r="E36" s="2">
        <v>3913.65</v>
      </c>
      <c r="F36" t="s">
        <v>19</v>
      </c>
      <c r="G36" t="s">
        <v>951</v>
      </c>
      <c r="H36" s="1">
        <v>45698</v>
      </c>
      <c r="I36" t="s">
        <v>941</v>
      </c>
      <c r="J36" t="str">
        <f>IF(ISBLANK(Table1[[#This Row],[PaidDate]]),"Unpaid",IF(Table1[[#This Row],[PaidDate]]&gt;Table1[[#This Row],[DueDate]],"Late",IF(Table1[[#This Row],[PaidDate]]&lt;Table1[[#This Row],[DueDate]],"Early","On Time")))</f>
        <v>On Time</v>
      </c>
      <c r="K36" t="str">
        <f ca="1">IF(AND(Table1[[#This Row],[Status]]&lt;&gt;"Paid",TODAY()&gt;Table1[[#This Row],[DueDate]]),"Overdue","OK")</f>
        <v>OK</v>
      </c>
    </row>
    <row r="37" spans="1:11" x14ac:dyDescent="0.3">
      <c r="A37" t="s">
        <v>981</v>
      </c>
      <c r="B37" t="s">
        <v>946</v>
      </c>
      <c r="C37" s="1">
        <v>45025</v>
      </c>
      <c r="D37" s="1">
        <v>45055</v>
      </c>
      <c r="E37" s="2">
        <v>1117.52</v>
      </c>
      <c r="F37" t="s">
        <v>26</v>
      </c>
      <c r="G37" t="s">
        <v>17</v>
      </c>
      <c r="I37" t="s">
        <v>941</v>
      </c>
      <c r="J37" t="str">
        <f>IF(ISBLANK(Table1[[#This Row],[PaidDate]]),"Unpaid",IF(Table1[[#This Row],[PaidDate]]&gt;Table1[[#This Row],[DueDate]],"Late",IF(Table1[[#This Row],[PaidDate]]&lt;Table1[[#This Row],[DueDate]],"Early","On Time")))</f>
        <v>Unpaid</v>
      </c>
      <c r="K37" t="str">
        <f ca="1">IF(AND(Table1[[#This Row],[Status]]&lt;&gt;"Paid",TODAY()&gt;Table1[[#This Row],[DueDate]]),"Overdue","OK")</f>
        <v>Overdue</v>
      </c>
    </row>
    <row r="38" spans="1:11" x14ac:dyDescent="0.3">
      <c r="A38" t="s">
        <v>982</v>
      </c>
      <c r="B38" t="s">
        <v>940</v>
      </c>
      <c r="C38" s="1">
        <v>45128</v>
      </c>
      <c r="D38" s="1">
        <v>45158</v>
      </c>
      <c r="E38" s="2">
        <v>4178.2</v>
      </c>
      <c r="F38" t="s">
        <v>26</v>
      </c>
      <c r="G38" t="s">
        <v>12</v>
      </c>
      <c r="I38" t="s">
        <v>941</v>
      </c>
      <c r="J38" t="str">
        <f>IF(ISBLANK(Table1[[#This Row],[PaidDate]]),"Unpaid",IF(Table1[[#This Row],[PaidDate]]&gt;Table1[[#This Row],[DueDate]],"Late",IF(Table1[[#This Row],[PaidDate]]&lt;Table1[[#This Row],[DueDate]],"Early","On Time")))</f>
        <v>Unpaid</v>
      </c>
      <c r="K38" t="str">
        <f ca="1">IF(AND(Table1[[#This Row],[Status]]&lt;&gt;"Paid",TODAY()&gt;Table1[[#This Row],[DueDate]]),"Overdue","OK")</f>
        <v>Overdue</v>
      </c>
    </row>
    <row r="39" spans="1:11" x14ac:dyDescent="0.3">
      <c r="A39" t="s">
        <v>983</v>
      </c>
      <c r="B39" t="s">
        <v>962</v>
      </c>
      <c r="C39" s="1">
        <v>45504</v>
      </c>
      <c r="D39" s="1">
        <v>45534</v>
      </c>
      <c r="E39" s="2">
        <v>504.02</v>
      </c>
      <c r="F39" t="s">
        <v>11</v>
      </c>
      <c r="G39" t="s">
        <v>12</v>
      </c>
      <c r="I39" t="s">
        <v>941</v>
      </c>
      <c r="J39" t="str">
        <f>IF(ISBLANK(Table1[[#This Row],[PaidDate]]),"Unpaid",IF(Table1[[#This Row],[PaidDate]]&gt;Table1[[#This Row],[DueDate]],"Late",IF(Table1[[#This Row],[PaidDate]]&lt;Table1[[#This Row],[DueDate]],"Early","On Time")))</f>
        <v>Unpaid</v>
      </c>
      <c r="K39" t="str">
        <f ca="1">IF(AND(Table1[[#This Row],[Status]]&lt;&gt;"Paid",TODAY()&gt;Table1[[#This Row],[DueDate]]),"Overdue","OK")</f>
        <v>Overdue</v>
      </c>
    </row>
    <row r="40" spans="1:11" x14ac:dyDescent="0.3">
      <c r="A40" t="s">
        <v>984</v>
      </c>
      <c r="B40" t="s">
        <v>940</v>
      </c>
      <c r="C40" s="1">
        <v>44934</v>
      </c>
      <c r="D40" s="1">
        <v>44964</v>
      </c>
      <c r="E40" s="2">
        <v>3156.05</v>
      </c>
      <c r="F40" t="s">
        <v>19</v>
      </c>
      <c r="G40" t="s">
        <v>17</v>
      </c>
      <c r="I40" t="s">
        <v>941</v>
      </c>
      <c r="J40" t="str">
        <f>IF(ISBLANK(Table1[[#This Row],[PaidDate]]),"Unpaid",IF(Table1[[#This Row],[PaidDate]]&gt;Table1[[#This Row],[DueDate]],"Late",IF(Table1[[#This Row],[PaidDate]]&lt;Table1[[#This Row],[DueDate]],"Early","On Time")))</f>
        <v>Unpaid</v>
      </c>
      <c r="K40" t="str">
        <f ca="1">IF(AND(Table1[[#This Row],[Status]]&lt;&gt;"Paid",TODAY()&gt;Table1[[#This Row],[DueDate]]),"Overdue","OK")</f>
        <v>Overdue</v>
      </c>
    </row>
    <row r="41" spans="1:11" x14ac:dyDescent="0.3">
      <c r="A41" t="s">
        <v>985</v>
      </c>
      <c r="B41" t="s">
        <v>962</v>
      </c>
      <c r="C41" s="1">
        <v>45108</v>
      </c>
      <c r="D41" s="1">
        <v>45138</v>
      </c>
      <c r="E41" s="2">
        <v>3284.77</v>
      </c>
      <c r="F41" t="s">
        <v>16</v>
      </c>
      <c r="G41" t="s">
        <v>12</v>
      </c>
      <c r="I41" t="s">
        <v>941</v>
      </c>
      <c r="J41" t="str">
        <f>IF(ISBLANK(Table1[[#This Row],[PaidDate]]),"Unpaid",IF(Table1[[#This Row],[PaidDate]]&gt;Table1[[#This Row],[DueDate]],"Late",IF(Table1[[#This Row],[PaidDate]]&lt;Table1[[#This Row],[DueDate]],"Early","On Time")))</f>
        <v>Unpaid</v>
      </c>
      <c r="K41" t="str">
        <f ca="1">IF(AND(Table1[[#This Row],[Status]]&lt;&gt;"Paid",TODAY()&gt;Table1[[#This Row],[DueDate]]),"Overdue","OK")</f>
        <v>Overdue</v>
      </c>
    </row>
    <row r="42" spans="1:11" x14ac:dyDescent="0.3">
      <c r="A42" t="s">
        <v>986</v>
      </c>
      <c r="B42" t="s">
        <v>962</v>
      </c>
      <c r="C42" s="1">
        <v>45801</v>
      </c>
      <c r="D42" s="1">
        <v>45831</v>
      </c>
      <c r="E42" s="2">
        <v>4519.76</v>
      </c>
      <c r="F42" t="s">
        <v>11</v>
      </c>
      <c r="G42" t="s">
        <v>17</v>
      </c>
      <c r="I42" t="s">
        <v>941</v>
      </c>
      <c r="J42" t="str">
        <f>IF(ISBLANK(Table1[[#This Row],[PaidDate]]),"Unpaid",IF(Table1[[#This Row],[PaidDate]]&gt;Table1[[#This Row],[DueDate]],"Late",IF(Table1[[#This Row],[PaidDate]]&lt;Table1[[#This Row],[DueDate]],"Early","On Time")))</f>
        <v>Unpaid</v>
      </c>
      <c r="K42" t="str">
        <f ca="1">IF(AND(Table1[[#This Row],[Status]]&lt;&gt;"Paid",TODAY()&gt;Table1[[#This Row],[DueDate]]),"Overdue","OK")</f>
        <v>Overdue</v>
      </c>
    </row>
    <row r="43" spans="1:11" x14ac:dyDescent="0.3">
      <c r="A43" t="s">
        <v>987</v>
      </c>
      <c r="B43" t="s">
        <v>940</v>
      </c>
      <c r="C43" s="1">
        <v>45313</v>
      </c>
      <c r="D43" s="1">
        <v>45343</v>
      </c>
      <c r="E43" s="2">
        <v>4094.28</v>
      </c>
      <c r="F43" t="s">
        <v>16</v>
      </c>
      <c r="G43" t="s">
        <v>12</v>
      </c>
      <c r="I43" t="s">
        <v>941</v>
      </c>
      <c r="J43" t="str">
        <f>IF(ISBLANK(Table1[[#This Row],[PaidDate]]),"Unpaid",IF(Table1[[#This Row],[PaidDate]]&gt;Table1[[#This Row],[DueDate]],"Late",IF(Table1[[#This Row],[PaidDate]]&lt;Table1[[#This Row],[DueDate]],"Early","On Time")))</f>
        <v>Unpaid</v>
      </c>
      <c r="K43" t="str">
        <f ca="1">IF(AND(Table1[[#This Row],[Status]]&lt;&gt;"Paid",TODAY()&gt;Table1[[#This Row],[DueDate]]),"Overdue","OK")</f>
        <v>Overdue</v>
      </c>
    </row>
    <row r="44" spans="1:11" x14ac:dyDescent="0.3">
      <c r="A44" t="s">
        <v>988</v>
      </c>
      <c r="B44" t="s">
        <v>940</v>
      </c>
      <c r="C44" s="1">
        <v>44967</v>
      </c>
      <c r="D44" s="1">
        <v>44997</v>
      </c>
      <c r="E44" s="2">
        <v>3097.79</v>
      </c>
      <c r="F44" t="s">
        <v>16</v>
      </c>
      <c r="G44" t="s">
        <v>951</v>
      </c>
      <c r="H44" s="1">
        <v>44997</v>
      </c>
      <c r="I44" t="s">
        <v>941</v>
      </c>
      <c r="J44" t="str">
        <f>IF(ISBLANK(Table1[[#This Row],[PaidDate]]),"Unpaid",IF(Table1[[#This Row],[PaidDate]]&gt;Table1[[#This Row],[DueDate]],"Late",IF(Table1[[#This Row],[PaidDate]]&lt;Table1[[#This Row],[DueDate]],"Early","On Time")))</f>
        <v>On Time</v>
      </c>
      <c r="K44" t="str">
        <f ca="1">IF(AND(Table1[[#This Row],[Status]]&lt;&gt;"Paid",TODAY()&gt;Table1[[#This Row],[DueDate]]),"Overdue","OK")</f>
        <v>OK</v>
      </c>
    </row>
    <row r="45" spans="1:11" x14ac:dyDescent="0.3">
      <c r="A45" t="s">
        <v>989</v>
      </c>
      <c r="B45" t="s">
        <v>944</v>
      </c>
      <c r="C45" s="1">
        <v>45809</v>
      </c>
      <c r="D45" s="1">
        <v>45839</v>
      </c>
      <c r="E45" s="2">
        <v>1415.24</v>
      </c>
      <c r="F45" t="s">
        <v>28</v>
      </c>
      <c r="G45" t="s">
        <v>12</v>
      </c>
      <c r="I45" t="s">
        <v>941</v>
      </c>
      <c r="J45" t="str">
        <f>IF(ISBLANK(Table1[[#This Row],[PaidDate]]),"Unpaid",IF(Table1[[#This Row],[PaidDate]]&gt;Table1[[#This Row],[DueDate]],"Late",IF(Table1[[#This Row],[PaidDate]]&lt;Table1[[#This Row],[DueDate]],"Early","On Time")))</f>
        <v>Unpaid</v>
      </c>
      <c r="K45" t="str">
        <f ca="1">IF(AND(Table1[[#This Row],[Status]]&lt;&gt;"Paid",TODAY()&gt;Table1[[#This Row],[DueDate]]),"Overdue","OK")</f>
        <v>Overdue</v>
      </c>
    </row>
    <row r="46" spans="1:11" x14ac:dyDescent="0.3">
      <c r="A46" t="s">
        <v>990</v>
      </c>
      <c r="B46" t="s">
        <v>940</v>
      </c>
      <c r="C46" s="1">
        <v>45102</v>
      </c>
      <c r="D46" s="1">
        <v>45132</v>
      </c>
      <c r="E46" s="2">
        <v>3224.33</v>
      </c>
      <c r="F46" t="s">
        <v>19</v>
      </c>
      <c r="G46" t="s">
        <v>12</v>
      </c>
      <c r="I46" t="s">
        <v>941</v>
      </c>
      <c r="J46" t="str">
        <f>IF(ISBLANK(Table1[[#This Row],[PaidDate]]),"Unpaid",IF(Table1[[#This Row],[PaidDate]]&gt;Table1[[#This Row],[DueDate]],"Late",IF(Table1[[#This Row],[PaidDate]]&lt;Table1[[#This Row],[DueDate]],"Early","On Time")))</f>
        <v>Unpaid</v>
      </c>
      <c r="K46" t="str">
        <f ca="1">IF(AND(Table1[[#This Row],[Status]]&lt;&gt;"Paid",TODAY()&gt;Table1[[#This Row],[DueDate]]),"Overdue","OK")</f>
        <v>Overdue</v>
      </c>
    </row>
    <row r="47" spans="1:11" x14ac:dyDescent="0.3">
      <c r="A47" t="s">
        <v>991</v>
      </c>
      <c r="B47" t="s">
        <v>966</v>
      </c>
      <c r="C47" s="1">
        <v>45103</v>
      </c>
      <c r="D47" s="1">
        <v>45133</v>
      </c>
      <c r="E47" s="2">
        <v>1164.49</v>
      </c>
      <c r="F47" t="s">
        <v>11</v>
      </c>
      <c r="G47" t="s">
        <v>12</v>
      </c>
      <c r="I47" t="s">
        <v>941</v>
      </c>
      <c r="J47" t="str">
        <f>IF(ISBLANK(Table1[[#This Row],[PaidDate]]),"Unpaid",IF(Table1[[#This Row],[PaidDate]]&gt;Table1[[#This Row],[DueDate]],"Late",IF(Table1[[#This Row],[PaidDate]]&lt;Table1[[#This Row],[DueDate]],"Early","On Time")))</f>
        <v>Unpaid</v>
      </c>
      <c r="K47" t="str">
        <f ca="1">IF(AND(Table1[[#This Row],[Status]]&lt;&gt;"Paid",TODAY()&gt;Table1[[#This Row],[DueDate]]),"Overdue","OK")</f>
        <v>Overdue</v>
      </c>
    </row>
    <row r="48" spans="1:11" x14ac:dyDescent="0.3">
      <c r="A48" t="s">
        <v>992</v>
      </c>
      <c r="B48" t="s">
        <v>966</v>
      </c>
      <c r="C48" s="1">
        <v>45668</v>
      </c>
      <c r="D48" s="1">
        <v>45698</v>
      </c>
      <c r="E48" s="2">
        <v>2557.61</v>
      </c>
      <c r="F48" t="s">
        <v>11</v>
      </c>
      <c r="G48" t="s">
        <v>951</v>
      </c>
      <c r="H48" s="1">
        <v>45698</v>
      </c>
      <c r="I48" t="s">
        <v>941</v>
      </c>
      <c r="J48" t="str">
        <f>IF(ISBLANK(Table1[[#This Row],[PaidDate]]),"Unpaid",IF(Table1[[#This Row],[PaidDate]]&gt;Table1[[#This Row],[DueDate]],"Late",IF(Table1[[#This Row],[PaidDate]]&lt;Table1[[#This Row],[DueDate]],"Early","On Time")))</f>
        <v>On Time</v>
      </c>
      <c r="K48" t="str">
        <f ca="1">IF(AND(Table1[[#This Row],[Status]]&lt;&gt;"Paid",TODAY()&gt;Table1[[#This Row],[DueDate]]),"Overdue","OK")</f>
        <v>OK</v>
      </c>
    </row>
    <row r="49" spans="1:11" x14ac:dyDescent="0.3">
      <c r="A49" t="s">
        <v>993</v>
      </c>
      <c r="B49" t="s">
        <v>940</v>
      </c>
      <c r="C49" s="1">
        <v>45682</v>
      </c>
      <c r="D49" s="1">
        <v>45712</v>
      </c>
      <c r="E49" s="2">
        <v>393.4</v>
      </c>
      <c r="F49" t="s">
        <v>19</v>
      </c>
      <c r="G49" t="s">
        <v>17</v>
      </c>
      <c r="I49" t="s">
        <v>941</v>
      </c>
      <c r="J49" t="str">
        <f>IF(ISBLANK(Table1[[#This Row],[PaidDate]]),"Unpaid",IF(Table1[[#This Row],[PaidDate]]&gt;Table1[[#This Row],[DueDate]],"Late",IF(Table1[[#This Row],[PaidDate]]&lt;Table1[[#This Row],[DueDate]],"Early","On Time")))</f>
        <v>Unpaid</v>
      </c>
      <c r="K49" t="str">
        <f ca="1">IF(AND(Table1[[#This Row],[Status]]&lt;&gt;"Paid",TODAY()&gt;Table1[[#This Row],[DueDate]]),"Overdue","OK")</f>
        <v>Overdue</v>
      </c>
    </row>
    <row r="50" spans="1:11" x14ac:dyDescent="0.3">
      <c r="A50" t="s">
        <v>994</v>
      </c>
      <c r="B50" t="s">
        <v>962</v>
      </c>
      <c r="C50" s="1">
        <v>45733</v>
      </c>
      <c r="D50" s="1">
        <v>45763</v>
      </c>
      <c r="E50" s="2">
        <v>2307.0500000000002</v>
      </c>
      <c r="F50" t="s">
        <v>26</v>
      </c>
      <c r="G50" t="s">
        <v>951</v>
      </c>
      <c r="H50" s="1">
        <v>45763</v>
      </c>
      <c r="I50" t="s">
        <v>941</v>
      </c>
      <c r="J50" t="str">
        <f>IF(ISBLANK(Table1[[#This Row],[PaidDate]]),"Unpaid",IF(Table1[[#This Row],[PaidDate]]&gt;Table1[[#This Row],[DueDate]],"Late",IF(Table1[[#This Row],[PaidDate]]&lt;Table1[[#This Row],[DueDate]],"Early","On Time")))</f>
        <v>On Time</v>
      </c>
      <c r="K50" t="str">
        <f ca="1">IF(AND(Table1[[#This Row],[Status]]&lt;&gt;"Paid",TODAY()&gt;Table1[[#This Row],[DueDate]]),"Overdue","OK")</f>
        <v>OK</v>
      </c>
    </row>
    <row r="51" spans="1:11" x14ac:dyDescent="0.3">
      <c r="A51" t="s">
        <v>995</v>
      </c>
      <c r="B51" t="s">
        <v>940</v>
      </c>
      <c r="C51" s="1">
        <v>45197</v>
      </c>
      <c r="D51" s="1">
        <v>45227</v>
      </c>
      <c r="E51" s="2">
        <v>728.35</v>
      </c>
      <c r="F51" t="s">
        <v>19</v>
      </c>
      <c r="G51" t="s">
        <v>951</v>
      </c>
      <c r="H51" s="1">
        <v>45227</v>
      </c>
      <c r="I51" t="s">
        <v>941</v>
      </c>
      <c r="J51" t="str">
        <f>IF(ISBLANK(Table1[[#This Row],[PaidDate]]),"Unpaid",IF(Table1[[#This Row],[PaidDate]]&gt;Table1[[#This Row],[DueDate]],"Late",IF(Table1[[#This Row],[PaidDate]]&lt;Table1[[#This Row],[DueDate]],"Early","On Time")))</f>
        <v>On Time</v>
      </c>
      <c r="K51" t="str">
        <f ca="1">IF(AND(Table1[[#This Row],[Status]]&lt;&gt;"Paid",TODAY()&gt;Table1[[#This Row],[DueDate]]),"Overdue","OK")</f>
        <v>OK</v>
      </c>
    </row>
    <row r="52" spans="1:11" x14ac:dyDescent="0.3">
      <c r="A52" t="s">
        <v>996</v>
      </c>
      <c r="B52" t="s">
        <v>944</v>
      </c>
      <c r="C52" s="1">
        <v>45801</v>
      </c>
      <c r="D52" s="1">
        <v>45831</v>
      </c>
      <c r="E52" s="2">
        <v>3580.44</v>
      </c>
      <c r="F52" t="s">
        <v>19</v>
      </c>
      <c r="G52" t="s">
        <v>17</v>
      </c>
      <c r="I52" t="s">
        <v>941</v>
      </c>
      <c r="J52" t="str">
        <f>IF(ISBLANK(Table1[[#This Row],[PaidDate]]),"Unpaid",IF(Table1[[#This Row],[PaidDate]]&gt;Table1[[#This Row],[DueDate]],"Late",IF(Table1[[#This Row],[PaidDate]]&lt;Table1[[#This Row],[DueDate]],"Early","On Time")))</f>
        <v>Unpaid</v>
      </c>
      <c r="K52" t="str">
        <f ca="1">IF(AND(Table1[[#This Row],[Status]]&lt;&gt;"Paid",TODAY()&gt;Table1[[#This Row],[DueDate]]),"Overdue","OK")</f>
        <v>Overdue</v>
      </c>
    </row>
    <row r="53" spans="1:11" x14ac:dyDescent="0.3">
      <c r="A53" t="s">
        <v>997</v>
      </c>
      <c r="B53" t="s">
        <v>940</v>
      </c>
      <c r="C53" s="1">
        <v>45382</v>
      </c>
      <c r="D53" s="1">
        <v>45412</v>
      </c>
      <c r="E53" s="2">
        <v>1527.67</v>
      </c>
      <c r="F53" t="s">
        <v>28</v>
      </c>
      <c r="G53" t="s">
        <v>951</v>
      </c>
      <c r="H53" s="1">
        <v>45412</v>
      </c>
      <c r="I53" t="s">
        <v>941</v>
      </c>
      <c r="J53" t="str">
        <f>IF(ISBLANK(Table1[[#This Row],[PaidDate]]),"Unpaid",IF(Table1[[#This Row],[PaidDate]]&gt;Table1[[#This Row],[DueDate]],"Late",IF(Table1[[#This Row],[PaidDate]]&lt;Table1[[#This Row],[DueDate]],"Early","On Time")))</f>
        <v>On Time</v>
      </c>
      <c r="K53" t="str">
        <f ca="1">IF(AND(Table1[[#This Row],[Status]]&lt;&gt;"Paid",TODAY()&gt;Table1[[#This Row],[DueDate]]),"Overdue","OK")</f>
        <v>OK</v>
      </c>
    </row>
    <row r="54" spans="1:11" x14ac:dyDescent="0.3">
      <c r="A54" t="s">
        <v>998</v>
      </c>
      <c r="B54" t="s">
        <v>940</v>
      </c>
      <c r="C54" s="1">
        <v>45039</v>
      </c>
      <c r="D54" s="1">
        <v>45069</v>
      </c>
      <c r="E54" s="2">
        <v>3014.35</v>
      </c>
      <c r="F54" t="s">
        <v>26</v>
      </c>
      <c r="G54" t="s">
        <v>951</v>
      </c>
      <c r="H54" s="1">
        <v>45069</v>
      </c>
      <c r="I54" t="s">
        <v>941</v>
      </c>
      <c r="J54" t="str">
        <f>IF(ISBLANK(Table1[[#This Row],[PaidDate]]),"Unpaid",IF(Table1[[#This Row],[PaidDate]]&gt;Table1[[#This Row],[DueDate]],"Late",IF(Table1[[#This Row],[PaidDate]]&lt;Table1[[#This Row],[DueDate]],"Early","On Time")))</f>
        <v>On Time</v>
      </c>
      <c r="K54" t="str">
        <f ca="1">IF(AND(Table1[[#This Row],[Status]]&lt;&gt;"Paid",TODAY()&gt;Table1[[#This Row],[DueDate]]),"Overdue","OK")</f>
        <v>OK</v>
      </c>
    </row>
    <row r="55" spans="1:11" x14ac:dyDescent="0.3">
      <c r="A55" t="s">
        <v>999</v>
      </c>
      <c r="B55" t="s">
        <v>946</v>
      </c>
      <c r="C55" s="1">
        <v>45162</v>
      </c>
      <c r="D55" s="1">
        <v>45192</v>
      </c>
      <c r="E55" s="2">
        <v>3099.88</v>
      </c>
      <c r="F55" t="s">
        <v>26</v>
      </c>
      <c r="G55" t="s">
        <v>12</v>
      </c>
      <c r="I55" t="s">
        <v>941</v>
      </c>
      <c r="J55" t="str">
        <f>IF(ISBLANK(Table1[[#This Row],[PaidDate]]),"Unpaid",IF(Table1[[#This Row],[PaidDate]]&gt;Table1[[#This Row],[DueDate]],"Late",IF(Table1[[#This Row],[PaidDate]]&lt;Table1[[#This Row],[DueDate]],"Early","On Time")))</f>
        <v>Unpaid</v>
      </c>
      <c r="K55" t="str">
        <f ca="1">IF(AND(Table1[[#This Row],[Status]]&lt;&gt;"Paid",TODAY()&gt;Table1[[#This Row],[DueDate]]),"Overdue","OK")</f>
        <v>Overdue</v>
      </c>
    </row>
    <row r="56" spans="1:11" x14ac:dyDescent="0.3">
      <c r="A56" t="s">
        <v>1000</v>
      </c>
      <c r="B56" t="s">
        <v>940</v>
      </c>
      <c r="C56" s="1">
        <v>45055</v>
      </c>
      <c r="D56" s="1">
        <v>45085</v>
      </c>
      <c r="E56" s="2">
        <v>1484.54</v>
      </c>
      <c r="F56" t="s">
        <v>28</v>
      </c>
      <c r="G56" t="s">
        <v>12</v>
      </c>
      <c r="I56" t="s">
        <v>941</v>
      </c>
      <c r="J56" t="str">
        <f>IF(ISBLANK(Table1[[#This Row],[PaidDate]]),"Unpaid",IF(Table1[[#This Row],[PaidDate]]&gt;Table1[[#This Row],[DueDate]],"Late",IF(Table1[[#This Row],[PaidDate]]&lt;Table1[[#This Row],[DueDate]],"Early","On Time")))</f>
        <v>Unpaid</v>
      </c>
      <c r="K56" t="str">
        <f ca="1">IF(AND(Table1[[#This Row],[Status]]&lt;&gt;"Paid",TODAY()&gt;Table1[[#This Row],[DueDate]]),"Overdue","OK")</f>
        <v>Overdue</v>
      </c>
    </row>
    <row r="57" spans="1:11" x14ac:dyDescent="0.3">
      <c r="A57" t="s">
        <v>1001</v>
      </c>
      <c r="B57" t="s">
        <v>966</v>
      </c>
      <c r="C57" s="1">
        <v>45279</v>
      </c>
      <c r="D57" s="1">
        <v>45309</v>
      </c>
      <c r="E57" s="2">
        <v>2922.4</v>
      </c>
      <c r="F57" t="s">
        <v>28</v>
      </c>
      <c r="G57" t="s">
        <v>12</v>
      </c>
      <c r="I57" t="s">
        <v>941</v>
      </c>
      <c r="J57" t="str">
        <f>IF(ISBLANK(Table1[[#This Row],[PaidDate]]),"Unpaid",IF(Table1[[#This Row],[PaidDate]]&gt;Table1[[#This Row],[DueDate]],"Late",IF(Table1[[#This Row],[PaidDate]]&lt;Table1[[#This Row],[DueDate]],"Early","On Time")))</f>
        <v>Unpaid</v>
      </c>
      <c r="K57" t="str">
        <f ca="1">IF(AND(Table1[[#This Row],[Status]]&lt;&gt;"Paid",TODAY()&gt;Table1[[#This Row],[DueDate]]),"Overdue","OK")</f>
        <v>Overdue</v>
      </c>
    </row>
    <row r="58" spans="1:11" x14ac:dyDescent="0.3">
      <c r="A58" t="s">
        <v>1002</v>
      </c>
      <c r="B58" t="s">
        <v>962</v>
      </c>
      <c r="C58" s="1">
        <v>45238</v>
      </c>
      <c r="D58" s="1">
        <v>45268</v>
      </c>
      <c r="E58" s="2">
        <v>422.98</v>
      </c>
      <c r="F58" t="s">
        <v>11</v>
      </c>
      <c r="G58" t="s">
        <v>951</v>
      </c>
      <c r="H58" s="1">
        <v>45268</v>
      </c>
      <c r="I58" t="s">
        <v>941</v>
      </c>
      <c r="J58" t="str">
        <f>IF(ISBLANK(Table1[[#This Row],[PaidDate]]),"Unpaid",IF(Table1[[#This Row],[PaidDate]]&gt;Table1[[#This Row],[DueDate]],"Late",IF(Table1[[#This Row],[PaidDate]]&lt;Table1[[#This Row],[DueDate]],"Early","On Time")))</f>
        <v>On Time</v>
      </c>
      <c r="K58" t="str">
        <f ca="1">IF(AND(Table1[[#This Row],[Status]]&lt;&gt;"Paid",TODAY()&gt;Table1[[#This Row],[DueDate]]),"Overdue","OK")</f>
        <v>OK</v>
      </c>
    </row>
    <row r="59" spans="1:11" x14ac:dyDescent="0.3">
      <c r="A59" t="s">
        <v>1003</v>
      </c>
      <c r="B59" t="s">
        <v>940</v>
      </c>
      <c r="C59" s="1">
        <v>44929</v>
      </c>
      <c r="D59" s="1">
        <v>44959</v>
      </c>
      <c r="E59" s="2">
        <v>2784.23</v>
      </c>
      <c r="F59" t="s">
        <v>11</v>
      </c>
      <c r="G59" t="s">
        <v>12</v>
      </c>
      <c r="I59" t="s">
        <v>941</v>
      </c>
      <c r="J59" t="str">
        <f>IF(ISBLANK(Table1[[#This Row],[PaidDate]]),"Unpaid",IF(Table1[[#This Row],[PaidDate]]&gt;Table1[[#This Row],[DueDate]],"Late",IF(Table1[[#This Row],[PaidDate]]&lt;Table1[[#This Row],[DueDate]],"Early","On Time")))</f>
        <v>Unpaid</v>
      </c>
      <c r="K59" t="str">
        <f ca="1">IF(AND(Table1[[#This Row],[Status]]&lt;&gt;"Paid",TODAY()&gt;Table1[[#This Row],[DueDate]]),"Overdue","OK")</f>
        <v>Overdue</v>
      </c>
    </row>
    <row r="60" spans="1:11" x14ac:dyDescent="0.3">
      <c r="A60" t="s">
        <v>1004</v>
      </c>
      <c r="B60" t="s">
        <v>966</v>
      </c>
      <c r="C60" s="1">
        <v>45462</v>
      </c>
      <c r="D60" s="1">
        <v>45492</v>
      </c>
      <c r="E60" s="2">
        <v>2946.12</v>
      </c>
      <c r="F60" t="s">
        <v>26</v>
      </c>
      <c r="G60" t="s">
        <v>17</v>
      </c>
      <c r="I60" t="s">
        <v>941</v>
      </c>
      <c r="J60" t="str">
        <f>IF(ISBLANK(Table1[[#This Row],[PaidDate]]),"Unpaid",IF(Table1[[#This Row],[PaidDate]]&gt;Table1[[#This Row],[DueDate]],"Late",IF(Table1[[#This Row],[PaidDate]]&lt;Table1[[#This Row],[DueDate]],"Early","On Time")))</f>
        <v>Unpaid</v>
      </c>
      <c r="K60" t="str">
        <f ca="1">IF(AND(Table1[[#This Row],[Status]]&lt;&gt;"Paid",TODAY()&gt;Table1[[#This Row],[DueDate]]),"Overdue","OK")</f>
        <v>Overdue</v>
      </c>
    </row>
    <row r="61" spans="1:11" x14ac:dyDescent="0.3">
      <c r="A61" t="s">
        <v>1005</v>
      </c>
      <c r="B61" t="s">
        <v>940</v>
      </c>
      <c r="C61" s="1">
        <v>45725</v>
      </c>
      <c r="D61" s="1">
        <v>45755</v>
      </c>
      <c r="E61" s="2">
        <v>578.58000000000004</v>
      </c>
      <c r="F61" t="s">
        <v>19</v>
      </c>
      <c r="G61" t="s">
        <v>12</v>
      </c>
      <c r="I61" t="s">
        <v>941</v>
      </c>
      <c r="J61" t="str">
        <f>IF(ISBLANK(Table1[[#This Row],[PaidDate]]),"Unpaid",IF(Table1[[#This Row],[PaidDate]]&gt;Table1[[#This Row],[DueDate]],"Late",IF(Table1[[#This Row],[PaidDate]]&lt;Table1[[#This Row],[DueDate]],"Early","On Time")))</f>
        <v>Unpaid</v>
      </c>
      <c r="K61" t="str">
        <f ca="1">IF(AND(Table1[[#This Row],[Status]]&lt;&gt;"Paid",TODAY()&gt;Table1[[#This Row],[DueDate]]),"Overdue","OK")</f>
        <v>Overdue</v>
      </c>
    </row>
    <row r="62" spans="1:11" x14ac:dyDescent="0.3">
      <c r="A62" t="s">
        <v>1006</v>
      </c>
      <c r="B62" t="s">
        <v>940</v>
      </c>
      <c r="C62" s="1">
        <v>45440</v>
      </c>
      <c r="D62" s="1">
        <v>45470</v>
      </c>
      <c r="E62" s="2">
        <v>3849.56</v>
      </c>
      <c r="F62" t="s">
        <v>19</v>
      </c>
      <c r="G62" t="s">
        <v>951</v>
      </c>
      <c r="H62" s="1">
        <v>45470</v>
      </c>
      <c r="I62" t="s">
        <v>941</v>
      </c>
      <c r="J62" t="str">
        <f>IF(ISBLANK(Table1[[#This Row],[PaidDate]]),"Unpaid",IF(Table1[[#This Row],[PaidDate]]&gt;Table1[[#This Row],[DueDate]],"Late",IF(Table1[[#This Row],[PaidDate]]&lt;Table1[[#This Row],[DueDate]],"Early","On Time")))</f>
        <v>On Time</v>
      </c>
      <c r="K62" t="str">
        <f ca="1">IF(AND(Table1[[#This Row],[Status]]&lt;&gt;"Paid",TODAY()&gt;Table1[[#This Row],[DueDate]]),"Overdue","OK")</f>
        <v>OK</v>
      </c>
    </row>
    <row r="63" spans="1:11" x14ac:dyDescent="0.3">
      <c r="A63" t="s">
        <v>1007</v>
      </c>
      <c r="B63" t="s">
        <v>940</v>
      </c>
      <c r="C63" s="1">
        <v>45408</v>
      </c>
      <c r="D63" s="1">
        <v>45438</v>
      </c>
      <c r="E63" s="2">
        <v>2055.5300000000002</v>
      </c>
      <c r="F63" t="s">
        <v>26</v>
      </c>
      <c r="G63" t="s">
        <v>12</v>
      </c>
      <c r="I63" t="s">
        <v>941</v>
      </c>
      <c r="J63" t="str">
        <f>IF(ISBLANK(Table1[[#This Row],[PaidDate]]),"Unpaid",IF(Table1[[#This Row],[PaidDate]]&gt;Table1[[#This Row],[DueDate]],"Late",IF(Table1[[#This Row],[PaidDate]]&lt;Table1[[#This Row],[DueDate]],"Early","On Time")))</f>
        <v>Unpaid</v>
      </c>
      <c r="K63" t="str">
        <f ca="1">IF(AND(Table1[[#This Row],[Status]]&lt;&gt;"Paid",TODAY()&gt;Table1[[#This Row],[DueDate]]),"Overdue","OK")</f>
        <v>Overdue</v>
      </c>
    </row>
    <row r="64" spans="1:11" x14ac:dyDescent="0.3">
      <c r="A64" t="s">
        <v>1008</v>
      </c>
      <c r="B64" t="s">
        <v>946</v>
      </c>
      <c r="C64" s="1">
        <v>44981</v>
      </c>
      <c r="D64" s="1">
        <v>45011</v>
      </c>
      <c r="E64" s="2">
        <v>2185.3200000000002</v>
      </c>
      <c r="F64" t="s">
        <v>28</v>
      </c>
      <c r="G64" t="s">
        <v>951</v>
      </c>
      <c r="H64" s="1">
        <v>45011</v>
      </c>
      <c r="I64" t="s">
        <v>941</v>
      </c>
      <c r="J64" t="str">
        <f>IF(ISBLANK(Table1[[#This Row],[PaidDate]]),"Unpaid",IF(Table1[[#This Row],[PaidDate]]&gt;Table1[[#This Row],[DueDate]],"Late",IF(Table1[[#This Row],[PaidDate]]&lt;Table1[[#This Row],[DueDate]],"Early","On Time")))</f>
        <v>On Time</v>
      </c>
      <c r="K64" t="str">
        <f ca="1">IF(AND(Table1[[#This Row],[Status]]&lt;&gt;"Paid",TODAY()&gt;Table1[[#This Row],[DueDate]]),"Overdue","OK")</f>
        <v>OK</v>
      </c>
    </row>
    <row r="65" spans="1:11" x14ac:dyDescent="0.3">
      <c r="A65" t="s">
        <v>1009</v>
      </c>
      <c r="B65" t="s">
        <v>940</v>
      </c>
      <c r="C65" s="1">
        <v>45703</v>
      </c>
      <c r="D65" s="1">
        <v>45733</v>
      </c>
      <c r="E65" s="2">
        <v>3382.98</v>
      </c>
      <c r="F65" t="s">
        <v>19</v>
      </c>
      <c r="G65" t="s">
        <v>951</v>
      </c>
      <c r="H65" s="1">
        <v>45733</v>
      </c>
      <c r="I65" t="s">
        <v>941</v>
      </c>
      <c r="J65" t="str">
        <f>IF(ISBLANK(Table1[[#This Row],[PaidDate]]),"Unpaid",IF(Table1[[#This Row],[PaidDate]]&gt;Table1[[#This Row],[DueDate]],"Late",IF(Table1[[#This Row],[PaidDate]]&lt;Table1[[#This Row],[DueDate]],"Early","On Time")))</f>
        <v>On Time</v>
      </c>
      <c r="K65" t="str">
        <f ca="1">IF(AND(Table1[[#This Row],[Status]]&lt;&gt;"Paid",TODAY()&gt;Table1[[#This Row],[DueDate]]),"Overdue","OK")</f>
        <v>OK</v>
      </c>
    </row>
    <row r="66" spans="1:11" x14ac:dyDescent="0.3">
      <c r="A66" t="s">
        <v>1010</v>
      </c>
      <c r="B66" t="s">
        <v>944</v>
      </c>
      <c r="C66" s="1">
        <v>45404</v>
      </c>
      <c r="D66" s="1">
        <v>45434</v>
      </c>
      <c r="E66" s="2">
        <v>3571.55</v>
      </c>
      <c r="F66" t="s">
        <v>19</v>
      </c>
      <c r="G66" t="s">
        <v>12</v>
      </c>
      <c r="I66" t="s">
        <v>941</v>
      </c>
      <c r="J66" t="str">
        <f>IF(ISBLANK(Table1[[#This Row],[PaidDate]]),"Unpaid",IF(Table1[[#This Row],[PaidDate]]&gt;Table1[[#This Row],[DueDate]],"Late",IF(Table1[[#This Row],[PaidDate]]&lt;Table1[[#This Row],[DueDate]],"Early","On Time")))</f>
        <v>Unpaid</v>
      </c>
      <c r="K66" t="str">
        <f ca="1">IF(AND(Table1[[#This Row],[Status]]&lt;&gt;"Paid",TODAY()&gt;Table1[[#This Row],[DueDate]]),"Overdue","OK")</f>
        <v>Overdue</v>
      </c>
    </row>
    <row r="67" spans="1:11" x14ac:dyDescent="0.3">
      <c r="A67" t="s">
        <v>1011</v>
      </c>
      <c r="B67" t="s">
        <v>946</v>
      </c>
      <c r="C67" s="1">
        <v>45762</v>
      </c>
      <c r="D67" s="1">
        <v>45792</v>
      </c>
      <c r="E67" s="2">
        <v>2137.4499999999998</v>
      </c>
      <c r="F67" t="s">
        <v>11</v>
      </c>
      <c r="G67" t="s">
        <v>17</v>
      </c>
      <c r="I67" t="s">
        <v>941</v>
      </c>
      <c r="J67" t="str">
        <f>IF(ISBLANK(Table1[[#This Row],[PaidDate]]),"Unpaid",IF(Table1[[#This Row],[PaidDate]]&gt;Table1[[#This Row],[DueDate]],"Late",IF(Table1[[#This Row],[PaidDate]]&lt;Table1[[#This Row],[DueDate]],"Early","On Time")))</f>
        <v>Unpaid</v>
      </c>
      <c r="K67" t="str">
        <f ca="1">IF(AND(Table1[[#This Row],[Status]]&lt;&gt;"Paid",TODAY()&gt;Table1[[#This Row],[DueDate]]),"Overdue","OK")</f>
        <v>Overdue</v>
      </c>
    </row>
    <row r="68" spans="1:11" x14ac:dyDescent="0.3">
      <c r="A68" t="s">
        <v>1012</v>
      </c>
      <c r="B68" t="s">
        <v>966</v>
      </c>
      <c r="C68" s="1">
        <v>45697</v>
      </c>
      <c r="D68" s="1">
        <v>45727</v>
      </c>
      <c r="E68" s="2">
        <v>3793.28</v>
      </c>
      <c r="F68" t="s">
        <v>11</v>
      </c>
      <c r="G68" t="s">
        <v>951</v>
      </c>
      <c r="H68" s="1">
        <v>45727</v>
      </c>
      <c r="I68" t="s">
        <v>941</v>
      </c>
      <c r="J68" t="str">
        <f>IF(ISBLANK(Table1[[#This Row],[PaidDate]]),"Unpaid",IF(Table1[[#This Row],[PaidDate]]&gt;Table1[[#This Row],[DueDate]],"Late",IF(Table1[[#This Row],[PaidDate]]&lt;Table1[[#This Row],[DueDate]],"Early","On Time")))</f>
        <v>On Time</v>
      </c>
      <c r="K68" t="str">
        <f ca="1">IF(AND(Table1[[#This Row],[Status]]&lt;&gt;"Paid",TODAY()&gt;Table1[[#This Row],[DueDate]]),"Overdue","OK")</f>
        <v>OK</v>
      </c>
    </row>
    <row r="69" spans="1:11" x14ac:dyDescent="0.3">
      <c r="A69" t="s">
        <v>1013</v>
      </c>
      <c r="B69" t="s">
        <v>940</v>
      </c>
      <c r="C69" s="1">
        <v>45660</v>
      </c>
      <c r="D69" s="1">
        <v>45690</v>
      </c>
      <c r="E69" s="2">
        <v>2973.27</v>
      </c>
      <c r="F69" t="s">
        <v>26</v>
      </c>
      <c r="G69" t="s">
        <v>951</v>
      </c>
      <c r="H69" s="1">
        <v>45690</v>
      </c>
      <c r="I69" t="s">
        <v>941</v>
      </c>
      <c r="J69" t="str">
        <f>IF(ISBLANK(Table1[[#This Row],[PaidDate]]),"Unpaid",IF(Table1[[#This Row],[PaidDate]]&gt;Table1[[#This Row],[DueDate]],"Late",IF(Table1[[#This Row],[PaidDate]]&lt;Table1[[#This Row],[DueDate]],"Early","On Time")))</f>
        <v>On Time</v>
      </c>
      <c r="K69" t="str">
        <f ca="1">IF(AND(Table1[[#This Row],[Status]]&lt;&gt;"Paid",TODAY()&gt;Table1[[#This Row],[DueDate]]),"Overdue","OK")</f>
        <v>OK</v>
      </c>
    </row>
    <row r="70" spans="1:11" x14ac:dyDescent="0.3">
      <c r="A70" t="s">
        <v>1014</v>
      </c>
      <c r="B70" t="s">
        <v>940</v>
      </c>
      <c r="C70" s="1">
        <v>45497</v>
      </c>
      <c r="D70" s="1">
        <v>45527</v>
      </c>
      <c r="E70" s="2">
        <v>4968.32</v>
      </c>
      <c r="F70" t="s">
        <v>11</v>
      </c>
      <c r="G70" t="s">
        <v>17</v>
      </c>
      <c r="I70" t="s">
        <v>941</v>
      </c>
      <c r="J70" t="str">
        <f>IF(ISBLANK(Table1[[#This Row],[PaidDate]]),"Unpaid",IF(Table1[[#This Row],[PaidDate]]&gt;Table1[[#This Row],[DueDate]],"Late",IF(Table1[[#This Row],[PaidDate]]&lt;Table1[[#This Row],[DueDate]],"Early","On Time")))</f>
        <v>Unpaid</v>
      </c>
      <c r="K70" t="str">
        <f ca="1">IF(AND(Table1[[#This Row],[Status]]&lt;&gt;"Paid",TODAY()&gt;Table1[[#This Row],[DueDate]]),"Overdue","OK")</f>
        <v>Overdue</v>
      </c>
    </row>
    <row r="71" spans="1:11" x14ac:dyDescent="0.3">
      <c r="A71" t="s">
        <v>1015</v>
      </c>
      <c r="B71" t="s">
        <v>940</v>
      </c>
      <c r="C71" s="1">
        <v>44958</v>
      </c>
      <c r="D71" s="1">
        <v>44988</v>
      </c>
      <c r="E71" s="2">
        <v>4336.91</v>
      </c>
      <c r="F71" t="s">
        <v>11</v>
      </c>
      <c r="G71" t="s">
        <v>17</v>
      </c>
      <c r="I71" t="s">
        <v>941</v>
      </c>
      <c r="J71" t="str">
        <f>IF(ISBLANK(Table1[[#This Row],[PaidDate]]),"Unpaid",IF(Table1[[#This Row],[PaidDate]]&gt;Table1[[#This Row],[DueDate]],"Late",IF(Table1[[#This Row],[PaidDate]]&lt;Table1[[#This Row],[DueDate]],"Early","On Time")))</f>
        <v>Unpaid</v>
      </c>
      <c r="K71" t="str">
        <f ca="1">IF(AND(Table1[[#This Row],[Status]]&lt;&gt;"Paid",TODAY()&gt;Table1[[#This Row],[DueDate]]),"Overdue","OK")</f>
        <v>Overdue</v>
      </c>
    </row>
    <row r="72" spans="1:11" x14ac:dyDescent="0.3">
      <c r="A72" t="s">
        <v>1016</v>
      </c>
      <c r="B72" t="s">
        <v>966</v>
      </c>
      <c r="C72" s="1">
        <v>45629</v>
      </c>
      <c r="D72" s="1">
        <v>45659</v>
      </c>
      <c r="E72" s="2">
        <v>2479.9499999999998</v>
      </c>
      <c r="F72" t="s">
        <v>11</v>
      </c>
      <c r="G72" t="s">
        <v>951</v>
      </c>
      <c r="H72" s="1">
        <v>45659</v>
      </c>
      <c r="I72" t="s">
        <v>941</v>
      </c>
      <c r="J72" t="str">
        <f>IF(ISBLANK(Table1[[#This Row],[PaidDate]]),"Unpaid",IF(Table1[[#This Row],[PaidDate]]&gt;Table1[[#This Row],[DueDate]],"Late",IF(Table1[[#This Row],[PaidDate]]&lt;Table1[[#This Row],[DueDate]],"Early","On Time")))</f>
        <v>On Time</v>
      </c>
      <c r="K72" t="str">
        <f ca="1">IF(AND(Table1[[#This Row],[Status]]&lt;&gt;"Paid",TODAY()&gt;Table1[[#This Row],[DueDate]]),"Overdue","OK")</f>
        <v>OK</v>
      </c>
    </row>
    <row r="73" spans="1:11" x14ac:dyDescent="0.3">
      <c r="A73" t="s">
        <v>1017</v>
      </c>
      <c r="B73" t="s">
        <v>966</v>
      </c>
      <c r="C73" s="1">
        <v>45821</v>
      </c>
      <c r="D73" s="1">
        <v>45851</v>
      </c>
      <c r="E73" s="2">
        <v>2498.69</v>
      </c>
      <c r="F73" t="s">
        <v>11</v>
      </c>
      <c r="G73" t="s">
        <v>17</v>
      </c>
      <c r="I73" t="s">
        <v>941</v>
      </c>
      <c r="J73" t="str">
        <f>IF(ISBLANK(Table1[[#This Row],[PaidDate]]),"Unpaid",IF(Table1[[#This Row],[PaidDate]]&gt;Table1[[#This Row],[DueDate]],"Late",IF(Table1[[#This Row],[PaidDate]]&lt;Table1[[#This Row],[DueDate]],"Early","On Time")))</f>
        <v>Unpaid</v>
      </c>
      <c r="K73" t="str">
        <f ca="1">IF(AND(Table1[[#This Row],[Status]]&lt;&gt;"Paid",TODAY()&gt;Table1[[#This Row],[DueDate]]),"Overdue","OK")</f>
        <v>Overdue</v>
      </c>
    </row>
    <row r="74" spans="1:11" x14ac:dyDescent="0.3">
      <c r="A74" t="s">
        <v>1018</v>
      </c>
      <c r="B74" t="s">
        <v>944</v>
      </c>
      <c r="C74" s="1">
        <v>45597</v>
      </c>
      <c r="D74" s="1">
        <v>45627</v>
      </c>
      <c r="E74" s="2">
        <v>2106.66</v>
      </c>
      <c r="F74" t="s">
        <v>26</v>
      </c>
      <c r="G74" t="s">
        <v>951</v>
      </c>
      <c r="H74" s="1">
        <v>45627</v>
      </c>
      <c r="I74" t="s">
        <v>941</v>
      </c>
      <c r="J74" t="str">
        <f>IF(ISBLANK(Table1[[#This Row],[PaidDate]]),"Unpaid",IF(Table1[[#This Row],[PaidDate]]&gt;Table1[[#This Row],[DueDate]],"Late",IF(Table1[[#This Row],[PaidDate]]&lt;Table1[[#This Row],[DueDate]],"Early","On Time")))</f>
        <v>On Time</v>
      </c>
      <c r="K74" t="str">
        <f ca="1">IF(AND(Table1[[#This Row],[Status]]&lt;&gt;"Paid",TODAY()&gt;Table1[[#This Row],[DueDate]]),"Overdue","OK")</f>
        <v>OK</v>
      </c>
    </row>
    <row r="75" spans="1:11" x14ac:dyDescent="0.3">
      <c r="A75" t="s">
        <v>1019</v>
      </c>
      <c r="B75" t="s">
        <v>940</v>
      </c>
      <c r="C75" s="1">
        <v>45092</v>
      </c>
      <c r="D75" s="1">
        <v>45122</v>
      </c>
      <c r="E75" s="2">
        <v>2082.92</v>
      </c>
      <c r="F75" t="s">
        <v>28</v>
      </c>
      <c r="G75" t="s">
        <v>12</v>
      </c>
      <c r="I75" t="s">
        <v>941</v>
      </c>
      <c r="J75" t="str">
        <f>IF(ISBLANK(Table1[[#This Row],[PaidDate]]),"Unpaid",IF(Table1[[#This Row],[PaidDate]]&gt;Table1[[#This Row],[DueDate]],"Late",IF(Table1[[#This Row],[PaidDate]]&lt;Table1[[#This Row],[DueDate]],"Early","On Time")))</f>
        <v>Unpaid</v>
      </c>
      <c r="K75" t="str">
        <f ca="1">IF(AND(Table1[[#This Row],[Status]]&lt;&gt;"Paid",TODAY()&gt;Table1[[#This Row],[DueDate]]),"Overdue","OK")</f>
        <v>Overdue</v>
      </c>
    </row>
    <row r="76" spans="1:11" x14ac:dyDescent="0.3">
      <c r="A76" t="s">
        <v>1020</v>
      </c>
      <c r="B76" t="s">
        <v>946</v>
      </c>
      <c r="C76" s="1">
        <v>45187</v>
      </c>
      <c r="D76" s="1">
        <v>45217</v>
      </c>
      <c r="E76" s="2">
        <v>3536.09</v>
      </c>
      <c r="F76" t="s">
        <v>11</v>
      </c>
      <c r="G76" t="s">
        <v>951</v>
      </c>
      <c r="H76" s="1">
        <v>45217</v>
      </c>
      <c r="I76" t="s">
        <v>941</v>
      </c>
      <c r="J76" t="str">
        <f>IF(ISBLANK(Table1[[#This Row],[PaidDate]]),"Unpaid",IF(Table1[[#This Row],[PaidDate]]&gt;Table1[[#This Row],[DueDate]],"Late",IF(Table1[[#This Row],[PaidDate]]&lt;Table1[[#This Row],[DueDate]],"Early","On Time")))</f>
        <v>On Time</v>
      </c>
      <c r="K76" t="str">
        <f ca="1">IF(AND(Table1[[#This Row],[Status]]&lt;&gt;"Paid",TODAY()&gt;Table1[[#This Row],[DueDate]]),"Overdue","OK")</f>
        <v>OK</v>
      </c>
    </row>
    <row r="77" spans="1:11" x14ac:dyDescent="0.3">
      <c r="A77" t="s">
        <v>1021</v>
      </c>
      <c r="B77" t="s">
        <v>940</v>
      </c>
      <c r="C77" s="1">
        <v>45661</v>
      </c>
      <c r="D77" s="1">
        <v>45691</v>
      </c>
      <c r="E77" s="2">
        <v>3984.82</v>
      </c>
      <c r="F77" t="s">
        <v>26</v>
      </c>
      <c r="G77" t="s">
        <v>17</v>
      </c>
      <c r="I77" t="s">
        <v>941</v>
      </c>
      <c r="J77" t="str">
        <f>IF(ISBLANK(Table1[[#This Row],[PaidDate]]),"Unpaid",IF(Table1[[#This Row],[PaidDate]]&gt;Table1[[#This Row],[DueDate]],"Late",IF(Table1[[#This Row],[PaidDate]]&lt;Table1[[#This Row],[DueDate]],"Early","On Time")))</f>
        <v>Unpaid</v>
      </c>
      <c r="K77" t="str">
        <f ca="1">IF(AND(Table1[[#This Row],[Status]]&lt;&gt;"Paid",TODAY()&gt;Table1[[#This Row],[DueDate]]),"Overdue","OK")</f>
        <v>Overdue</v>
      </c>
    </row>
    <row r="78" spans="1:11" x14ac:dyDescent="0.3">
      <c r="A78" t="s">
        <v>1022</v>
      </c>
      <c r="B78" t="s">
        <v>966</v>
      </c>
      <c r="C78" s="1">
        <v>45068</v>
      </c>
      <c r="D78" s="1">
        <v>45098</v>
      </c>
      <c r="E78" s="2">
        <v>1175.94</v>
      </c>
      <c r="F78" t="s">
        <v>11</v>
      </c>
      <c r="G78" t="s">
        <v>12</v>
      </c>
      <c r="I78" t="s">
        <v>941</v>
      </c>
      <c r="J78" t="str">
        <f>IF(ISBLANK(Table1[[#This Row],[PaidDate]]),"Unpaid",IF(Table1[[#This Row],[PaidDate]]&gt;Table1[[#This Row],[DueDate]],"Late",IF(Table1[[#This Row],[PaidDate]]&lt;Table1[[#This Row],[DueDate]],"Early","On Time")))</f>
        <v>Unpaid</v>
      </c>
      <c r="K78" t="str">
        <f ca="1">IF(AND(Table1[[#This Row],[Status]]&lt;&gt;"Paid",TODAY()&gt;Table1[[#This Row],[DueDate]]),"Overdue","OK")</f>
        <v>Overdue</v>
      </c>
    </row>
    <row r="79" spans="1:11" x14ac:dyDescent="0.3">
      <c r="A79" t="s">
        <v>1023</v>
      </c>
      <c r="B79" t="s">
        <v>962</v>
      </c>
      <c r="C79" s="1">
        <v>45556</v>
      </c>
      <c r="D79" s="1">
        <v>45586</v>
      </c>
      <c r="E79" s="2">
        <v>1596.04</v>
      </c>
      <c r="F79" t="s">
        <v>28</v>
      </c>
      <c r="G79" t="s">
        <v>951</v>
      </c>
      <c r="H79" s="1">
        <v>45586</v>
      </c>
      <c r="I79" t="s">
        <v>941</v>
      </c>
      <c r="J79" t="str">
        <f>IF(ISBLANK(Table1[[#This Row],[PaidDate]]),"Unpaid",IF(Table1[[#This Row],[PaidDate]]&gt;Table1[[#This Row],[DueDate]],"Late",IF(Table1[[#This Row],[PaidDate]]&lt;Table1[[#This Row],[DueDate]],"Early","On Time")))</f>
        <v>On Time</v>
      </c>
      <c r="K79" t="str">
        <f ca="1">IF(AND(Table1[[#This Row],[Status]]&lt;&gt;"Paid",TODAY()&gt;Table1[[#This Row],[DueDate]]),"Overdue","OK")</f>
        <v>OK</v>
      </c>
    </row>
    <row r="80" spans="1:11" x14ac:dyDescent="0.3">
      <c r="A80" t="s">
        <v>1024</v>
      </c>
      <c r="B80" t="s">
        <v>962</v>
      </c>
      <c r="C80" s="1">
        <v>45401</v>
      </c>
      <c r="D80" s="1">
        <v>45431</v>
      </c>
      <c r="E80" s="2">
        <v>1687.52</v>
      </c>
      <c r="F80" t="s">
        <v>11</v>
      </c>
      <c r="G80" t="s">
        <v>951</v>
      </c>
      <c r="H80" s="1">
        <v>45431</v>
      </c>
      <c r="I80" t="s">
        <v>941</v>
      </c>
      <c r="J80" t="str">
        <f>IF(ISBLANK(Table1[[#This Row],[PaidDate]]),"Unpaid",IF(Table1[[#This Row],[PaidDate]]&gt;Table1[[#This Row],[DueDate]],"Late",IF(Table1[[#This Row],[PaidDate]]&lt;Table1[[#This Row],[DueDate]],"Early","On Time")))</f>
        <v>On Time</v>
      </c>
      <c r="K80" t="str">
        <f ca="1">IF(AND(Table1[[#This Row],[Status]]&lt;&gt;"Paid",TODAY()&gt;Table1[[#This Row],[DueDate]]),"Overdue","OK")</f>
        <v>OK</v>
      </c>
    </row>
    <row r="81" spans="1:11" x14ac:dyDescent="0.3">
      <c r="A81" t="s">
        <v>1025</v>
      </c>
      <c r="B81" t="s">
        <v>962</v>
      </c>
      <c r="C81" s="1">
        <v>45161</v>
      </c>
      <c r="D81" s="1">
        <v>45191</v>
      </c>
      <c r="E81" s="2">
        <v>1247.56</v>
      </c>
      <c r="F81" t="s">
        <v>11</v>
      </c>
      <c r="G81" t="s">
        <v>951</v>
      </c>
      <c r="H81" s="1">
        <v>45191</v>
      </c>
      <c r="I81" t="s">
        <v>941</v>
      </c>
      <c r="J81" t="str">
        <f>IF(ISBLANK(Table1[[#This Row],[PaidDate]]),"Unpaid",IF(Table1[[#This Row],[PaidDate]]&gt;Table1[[#This Row],[DueDate]],"Late",IF(Table1[[#This Row],[PaidDate]]&lt;Table1[[#This Row],[DueDate]],"Early","On Time")))</f>
        <v>On Time</v>
      </c>
      <c r="K81" t="str">
        <f ca="1">IF(AND(Table1[[#This Row],[Status]]&lt;&gt;"Paid",TODAY()&gt;Table1[[#This Row],[DueDate]]),"Overdue","OK")</f>
        <v>OK</v>
      </c>
    </row>
    <row r="82" spans="1:11" x14ac:dyDescent="0.3">
      <c r="A82" t="s">
        <v>1026</v>
      </c>
      <c r="B82" t="s">
        <v>946</v>
      </c>
      <c r="C82" s="1">
        <v>45811</v>
      </c>
      <c r="D82" s="1">
        <v>45841</v>
      </c>
      <c r="E82" s="2">
        <v>3330.96</v>
      </c>
      <c r="F82" t="s">
        <v>28</v>
      </c>
      <c r="G82" t="s">
        <v>12</v>
      </c>
      <c r="I82" t="s">
        <v>941</v>
      </c>
      <c r="J82" t="str">
        <f>IF(ISBLANK(Table1[[#This Row],[PaidDate]]),"Unpaid",IF(Table1[[#This Row],[PaidDate]]&gt;Table1[[#This Row],[DueDate]],"Late",IF(Table1[[#This Row],[PaidDate]]&lt;Table1[[#This Row],[DueDate]],"Early","On Time")))</f>
        <v>Unpaid</v>
      </c>
      <c r="K82" t="str">
        <f ca="1">IF(AND(Table1[[#This Row],[Status]]&lt;&gt;"Paid",TODAY()&gt;Table1[[#This Row],[DueDate]]),"Overdue","OK")</f>
        <v>Overdue</v>
      </c>
    </row>
    <row r="83" spans="1:11" x14ac:dyDescent="0.3">
      <c r="A83" t="s">
        <v>1027</v>
      </c>
      <c r="B83" t="s">
        <v>966</v>
      </c>
      <c r="C83" s="1">
        <v>45561</v>
      </c>
      <c r="D83" s="1">
        <v>45591</v>
      </c>
      <c r="E83" s="2">
        <v>1612.59</v>
      </c>
      <c r="F83" t="s">
        <v>16</v>
      </c>
      <c r="G83" t="s">
        <v>17</v>
      </c>
      <c r="I83" t="s">
        <v>941</v>
      </c>
      <c r="J83" t="str">
        <f>IF(ISBLANK(Table1[[#This Row],[PaidDate]]),"Unpaid",IF(Table1[[#This Row],[PaidDate]]&gt;Table1[[#This Row],[DueDate]],"Late",IF(Table1[[#This Row],[PaidDate]]&lt;Table1[[#This Row],[DueDate]],"Early","On Time")))</f>
        <v>Unpaid</v>
      </c>
      <c r="K83" t="str">
        <f ca="1">IF(AND(Table1[[#This Row],[Status]]&lt;&gt;"Paid",TODAY()&gt;Table1[[#This Row],[DueDate]]),"Overdue","OK")</f>
        <v>Overdue</v>
      </c>
    </row>
    <row r="84" spans="1:11" x14ac:dyDescent="0.3">
      <c r="A84" t="s">
        <v>1028</v>
      </c>
      <c r="B84" t="s">
        <v>962</v>
      </c>
      <c r="C84" s="1">
        <v>45458</v>
      </c>
      <c r="D84" s="1">
        <v>45488</v>
      </c>
      <c r="E84" s="2">
        <v>1096.08</v>
      </c>
      <c r="F84" t="s">
        <v>26</v>
      </c>
      <c r="G84" t="s">
        <v>12</v>
      </c>
      <c r="I84" t="s">
        <v>941</v>
      </c>
      <c r="J84" t="str">
        <f>IF(ISBLANK(Table1[[#This Row],[PaidDate]]),"Unpaid",IF(Table1[[#This Row],[PaidDate]]&gt;Table1[[#This Row],[DueDate]],"Late",IF(Table1[[#This Row],[PaidDate]]&lt;Table1[[#This Row],[DueDate]],"Early","On Time")))</f>
        <v>Unpaid</v>
      </c>
      <c r="K84" t="str">
        <f ca="1">IF(AND(Table1[[#This Row],[Status]]&lt;&gt;"Paid",TODAY()&gt;Table1[[#This Row],[DueDate]]),"Overdue","OK")</f>
        <v>Overdue</v>
      </c>
    </row>
    <row r="85" spans="1:11" x14ac:dyDescent="0.3">
      <c r="A85" t="s">
        <v>1029</v>
      </c>
      <c r="B85" t="s">
        <v>946</v>
      </c>
      <c r="C85" s="1">
        <v>45423</v>
      </c>
      <c r="D85" s="1">
        <v>45453</v>
      </c>
      <c r="E85" s="2">
        <v>1927.05</v>
      </c>
      <c r="F85" t="s">
        <v>11</v>
      </c>
      <c r="G85" t="s">
        <v>12</v>
      </c>
      <c r="I85" t="s">
        <v>941</v>
      </c>
      <c r="J85" t="str">
        <f>IF(ISBLANK(Table1[[#This Row],[PaidDate]]),"Unpaid",IF(Table1[[#This Row],[PaidDate]]&gt;Table1[[#This Row],[DueDate]],"Late",IF(Table1[[#This Row],[PaidDate]]&lt;Table1[[#This Row],[DueDate]],"Early","On Time")))</f>
        <v>Unpaid</v>
      </c>
      <c r="K85" t="str">
        <f ca="1">IF(AND(Table1[[#This Row],[Status]]&lt;&gt;"Paid",TODAY()&gt;Table1[[#This Row],[DueDate]]),"Overdue","OK")</f>
        <v>Overdue</v>
      </c>
    </row>
    <row r="86" spans="1:11" x14ac:dyDescent="0.3">
      <c r="A86" t="s">
        <v>1030</v>
      </c>
      <c r="B86" t="s">
        <v>946</v>
      </c>
      <c r="C86" s="1">
        <v>45082</v>
      </c>
      <c r="D86" s="1">
        <v>45112</v>
      </c>
      <c r="E86" s="2">
        <v>1169.93</v>
      </c>
      <c r="F86" t="s">
        <v>11</v>
      </c>
      <c r="G86" t="s">
        <v>17</v>
      </c>
      <c r="I86" t="s">
        <v>941</v>
      </c>
      <c r="J86" t="str">
        <f>IF(ISBLANK(Table1[[#This Row],[PaidDate]]),"Unpaid",IF(Table1[[#This Row],[PaidDate]]&gt;Table1[[#This Row],[DueDate]],"Late",IF(Table1[[#This Row],[PaidDate]]&lt;Table1[[#This Row],[DueDate]],"Early","On Time")))</f>
        <v>Unpaid</v>
      </c>
      <c r="K86" t="str">
        <f ca="1">IF(AND(Table1[[#This Row],[Status]]&lt;&gt;"Paid",TODAY()&gt;Table1[[#This Row],[DueDate]]),"Overdue","OK")</f>
        <v>Overdue</v>
      </c>
    </row>
    <row r="87" spans="1:11" x14ac:dyDescent="0.3">
      <c r="A87" t="s">
        <v>1031</v>
      </c>
      <c r="B87" t="s">
        <v>966</v>
      </c>
      <c r="C87" s="1">
        <v>45820</v>
      </c>
      <c r="D87" s="1">
        <v>45850</v>
      </c>
      <c r="E87" s="2">
        <v>662.31</v>
      </c>
      <c r="F87" t="s">
        <v>19</v>
      </c>
      <c r="G87" t="s">
        <v>17</v>
      </c>
      <c r="I87" t="s">
        <v>941</v>
      </c>
      <c r="J87" t="str">
        <f>IF(ISBLANK(Table1[[#This Row],[PaidDate]]),"Unpaid",IF(Table1[[#This Row],[PaidDate]]&gt;Table1[[#This Row],[DueDate]],"Late",IF(Table1[[#This Row],[PaidDate]]&lt;Table1[[#This Row],[DueDate]],"Early","On Time")))</f>
        <v>Unpaid</v>
      </c>
      <c r="K87" t="str">
        <f ca="1">IF(AND(Table1[[#This Row],[Status]]&lt;&gt;"Paid",TODAY()&gt;Table1[[#This Row],[DueDate]]),"Overdue","OK")</f>
        <v>Overdue</v>
      </c>
    </row>
    <row r="88" spans="1:11" x14ac:dyDescent="0.3">
      <c r="A88" t="s">
        <v>1032</v>
      </c>
      <c r="B88" t="s">
        <v>966</v>
      </c>
      <c r="C88" s="1">
        <v>45111</v>
      </c>
      <c r="D88" s="1">
        <v>45141</v>
      </c>
      <c r="E88" s="2">
        <v>3443.5</v>
      </c>
      <c r="F88" t="s">
        <v>26</v>
      </c>
      <c r="G88" t="s">
        <v>951</v>
      </c>
      <c r="H88" s="1">
        <v>45141</v>
      </c>
      <c r="I88" t="s">
        <v>941</v>
      </c>
      <c r="J88" t="str">
        <f>IF(ISBLANK(Table1[[#This Row],[PaidDate]]),"Unpaid",IF(Table1[[#This Row],[PaidDate]]&gt;Table1[[#This Row],[DueDate]],"Late",IF(Table1[[#This Row],[PaidDate]]&lt;Table1[[#This Row],[DueDate]],"Early","On Time")))</f>
        <v>On Time</v>
      </c>
      <c r="K88" t="str">
        <f ca="1">IF(AND(Table1[[#This Row],[Status]]&lt;&gt;"Paid",TODAY()&gt;Table1[[#This Row],[DueDate]]),"Overdue","OK")</f>
        <v>OK</v>
      </c>
    </row>
    <row r="89" spans="1:11" x14ac:dyDescent="0.3">
      <c r="A89" t="s">
        <v>1033</v>
      </c>
      <c r="B89" t="s">
        <v>966</v>
      </c>
      <c r="C89" s="1">
        <v>45456</v>
      </c>
      <c r="D89" s="1">
        <v>45486</v>
      </c>
      <c r="E89" s="2">
        <v>3290.86</v>
      </c>
      <c r="F89" t="s">
        <v>26</v>
      </c>
      <c r="G89" t="s">
        <v>951</v>
      </c>
      <c r="H89" s="1">
        <v>45486</v>
      </c>
      <c r="I89" t="s">
        <v>941</v>
      </c>
      <c r="J89" t="str">
        <f>IF(ISBLANK(Table1[[#This Row],[PaidDate]]),"Unpaid",IF(Table1[[#This Row],[PaidDate]]&gt;Table1[[#This Row],[DueDate]],"Late",IF(Table1[[#This Row],[PaidDate]]&lt;Table1[[#This Row],[DueDate]],"Early","On Time")))</f>
        <v>On Time</v>
      </c>
      <c r="K89" t="str">
        <f ca="1">IF(AND(Table1[[#This Row],[Status]]&lt;&gt;"Paid",TODAY()&gt;Table1[[#This Row],[DueDate]]),"Overdue","OK")</f>
        <v>OK</v>
      </c>
    </row>
    <row r="90" spans="1:11" x14ac:dyDescent="0.3">
      <c r="A90" t="s">
        <v>1034</v>
      </c>
      <c r="B90" t="s">
        <v>966</v>
      </c>
      <c r="C90" s="1">
        <v>45737</v>
      </c>
      <c r="D90" s="1">
        <v>45767</v>
      </c>
      <c r="E90" s="2">
        <v>1872.61</v>
      </c>
      <c r="F90" t="s">
        <v>16</v>
      </c>
      <c r="G90" t="s">
        <v>17</v>
      </c>
      <c r="I90" t="s">
        <v>941</v>
      </c>
      <c r="J90" t="str">
        <f>IF(ISBLANK(Table1[[#This Row],[PaidDate]]),"Unpaid",IF(Table1[[#This Row],[PaidDate]]&gt;Table1[[#This Row],[DueDate]],"Late",IF(Table1[[#This Row],[PaidDate]]&lt;Table1[[#This Row],[DueDate]],"Early","On Time")))</f>
        <v>Unpaid</v>
      </c>
      <c r="K90" t="str">
        <f ca="1">IF(AND(Table1[[#This Row],[Status]]&lt;&gt;"Paid",TODAY()&gt;Table1[[#This Row],[DueDate]]),"Overdue","OK")</f>
        <v>Overdue</v>
      </c>
    </row>
    <row r="91" spans="1:11" x14ac:dyDescent="0.3">
      <c r="A91" t="s">
        <v>1035</v>
      </c>
      <c r="B91" t="s">
        <v>966</v>
      </c>
      <c r="C91" s="1">
        <v>45520</v>
      </c>
      <c r="D91" s="1">
        <v>45550</v>
      </c>
      <c r="E91" s="2">
        <v>307.49</v>
      </c>
      <c r="F91" t="s">
        <v>19</v>
      </c>
      <c r="G91" t="s">
        <v>17</v>
      </c>
      <c r="I91" t="s">
        <v>941</v>
      </c>
      <c r="J91" t="str">
        <f>IF(ISBLANK(Table1[[#This Row],[PaidDate]]),"Unpaid",IF(Table1[[#This Row],[PaidDate]]&gt;Table1[[#This Row],[DueDate]],"Late",IF(Table1[[#This Row],[PaidDate]]&lt;Table1[[#This Row],[DueDate]],"Early","On Time")))</f>
        <v>Unpaid</v>
      </c>
      <c r="K91" t="str">
        <f ca="1">IF(AND(Table1[[#This Row],[Status]]&lt;&gt;"Paid",TODAY()&gt;Table1[[#This Row],[DueDate]]),"Overdue","OK")</f>
        <v>Overdue</v>
      </c>
    </row>
    <row r="92" spans="1:11" x14ac:dyDescent="0.3">
      <c r="A92" t="s">
        <v>1036</v>
      </c>
      <c r="B92" t="s">
        <v>966</v>
      </c>
      <c r="C92" s="1">
        <v>45403</v>
      </c>
      <c r="D92" s="1">
        <v>45433</v>
      </c>
      <c r="E92" s="2">
        <v>211.08</v>
      </c>
      <c r="F92" t="s">
        <v>28</v>
      </c>
      <c r="G92" t="s">
        <v>12</v>
      </c>
      <c r="I92" t="s">
        <v>941</v>
      </c>
      <c r="J92" t="str">
        <f>IF(ISBLANK(Table1[[#This Row],[PaidDate]]),"Unpaid",IF(Table1[[#This Row],[PaidDate]]&gt;Table1[[#This Row],[DueDate]],"Late",IF(Table1[[#This Row],[PaidDate]]&lt;Table1[[#This Row],[DueDate]],"Early","On Time")))</f>
        <v>Unpaid</v>
      </c>
      <c r="K92" t="str">
        <f ca="1">IF(AND(Table1[[#This Row],[Status]]&lt;&gt;"Paid",TODAY()&gt;Table1[[#This Row],[DueDate]]),"Overdue","OK")</f>
        <v>Overdue</v>
      </c>
    </row>
    <row r="93" spans="1:11" x14ac:dyDescent="0.3">
      <c r="A93" t="s">
        <v>1037</v>
      </c>
      <c r="B93" t="s">
        <v>966</v>
      </c>
      <c r="C93" s="1">
        <v>44966</v>
      </c>
      <c r="D93" s="1">
        <v>44996</v>
      </c>
      <c r="E93" s="2">
        <v>2052.0100000000002</v>
      </c>
      <c r="F93" t="s">
        <v>16</v>
      </c>
      <c r="G93" t="s">
        <v>17</v>
      </c>
      <c r="I93" t="s">
        <v>941</v>
      </c>
      <c r="J93" t="str">
        <f>IF(ISBLANK(Table1[[#This Row],[PaidDate]]),"Unpaid",IF(Table1[[#This Row],[PaidDate]]&gt;Table1[[#This Row],[DueDate]],"Late",IF(Table1[[#This Row],[PaidDate]]&lt;Table1[[#This Row],[DueDate]],"Early","On Time")))</f>
        <v>Unpaid</v>
      </c>
      <c r="K93" t="str">
        <f ca="1">IF(AND(Table1[[#This Row],[Status]]&lt;&gt;"Paid",TODAY()&gt;Table1[[#This Row],[DueDate]]),"Overdue","OK")</f>
        <v>Overdue</v>
      </c>
    </row>
    <row r="94" spans="1:11" x14ac:dyDescent="0.3">
      <c r="A94" t="s">
        <v>1038</v>
      </c>
      <c r="B94" t="s">
        <v>966</v>
      </c>
      <c r="C94" s="1">
        <v>45071</v>
      </c>
      <c r="D94" s="1">
        <v>45101</v>
      </c>
      <c r="E94" s="2">
        <v>4091.87</v>
      </c>
      <c r="F94" t="s">
        <v>28</v>
      </c>
      <c r="G94" t="s">
        <v>17</v>
      </c>
      <c r="I94" t="s">
        <v>941</v>
      </c>
      <c r="J94" t="str">
        <f>IF(ISBLANK(Table1[[#This Row],[PaidDate]]),"Unpaid",IF(Table1[[#This Row],[PaidDate]]&gt;Table1[[#This Row],[DueDate]],"Late",IF(Table1[[#This Row],[PaidDate]]&lt;Table1[[#This Row],[DueDate]],"Early","On Time")))</f>
        <v>Unpaid</v>
      </c>
      <c r="K94" t="str">
        <f ca="1">IF(AND(Table1[[#This Row],[Status]]&lt;&gt;"Paid",TODAY()&gt;Table1[[#This Row],[DueDate]]),"Overdue","OK")</f>
        <v>Overdue</v>
      </c>
    </row>
    <row r="95" spans="1:11" x14ac:dyDescent="0.3">
      <c r="A95" t="s">
        <v>1039</v>
      </c>
      <c r="B95" t="s">
        <v>962</v>
      </c>
      <c r="C95" s="1">
        <v>45227</v>
      </c>
      <c r="D95" s="1">
        <v>45257</v>
      </c>
      <c r="E95" s="2">
        <v>1321.04</v>
      </c>
      <c r="F95" t="s">
        <v>28</v>
      </c>
      <c r="G95" t="s">
        <v>17</v>
      </c>
      <c r="I95" t="s">
        <v>941</v>
      </c>
      <c r="J95" t="str">
        <f>IF(ISBLANK(Table1[[#This Row],[PaidDate]]),"Unpaid",IF(Table1[[#This Row],[PaidDate]]&gt;Table1[[#This Row],[DueDate]],"Late",IF(Table1[[#This Row],[PaidDate]]&lt;Table1[[#This Row],[DueDate]],"Early","On Time")))</f>
        <v>Unpaid</v>
      </c>
      <c r="K95" t="str">
        <f ca="1">IF(AND(Table1[[#This Row],[Status]]&lt;&gt;"Paid",TODAY()&gt;Table1[[#This Row],[DueDate]]),"Overdue","OK")</f>
        <v>Overdue</v>
      </c>
    </row>
    <row r="96" spans="1:11" x14ac:dyDescent="0.3">
      <c r="A96" t="s">
        <v>1040</v>
      </c>
      <c r="B96" t="s">
        <v>940</v>
      </c>
      <c r="C96" s="1">
        <v>45088</v>
      </c>
      <c r="D96" s="1">
        <v>45118</v>
      </c>
      <c r="E96" s="2">
        <v>4205.21</v>
      </c>
      <c r="F96" t="s">
        <v>28</v>
      </c>
      <c r="G96" t="s">
        <v>951</v>
      </c>
      <c r="H96" s="1">
        <v>45118</v>
      </c>
      <c r="I96" t="s">
        <v>941</v>
      </c>
      <c r="J96" t="str">
        <f>IF(ISBLANK(Table1[[#This Row],[PaidDate]]),"Unpaid",IF(Table1[[#This Row],[PaidDate]]&gt;Table1[[#This Row],[DueDate]],"Late",IF(Table1[[#This Row],[PaidDate]]&lt;Table1[[#This Row],[DueDate]],"Early","On Time")))</f>
        <v>On Time</v>
      </c>
      <c r="K96" t="str">
        <f ca="1">IF(AND(Table1[[#This Row],[Status]]&lt;&gt;"Paid",TODAY()&gt;Table1[[#This Row],[DueDate]]),"Overdue","OK")</f>
        <v>OK</v>
      </c>
    </row>
    <row r="97" spans="1:11" x14ac:dyDescent="0.3">
      <c r="A97" t="s">
        <v>1041</v>
      </c>
      <c r="B97" t="s">
        <v>944</v>
      </c>
      <c r="C97" s="1">
        <v>45426</v>
      </c>
      <c r="D97" s="1">
        <v>45456</v>
      </c>
      <c r="E97" s="2">
        <v>4804.12</v>
      </c>
      <c r="F97" t="s">
        <v>26</v>
      </c>
      <c r="G97" t="s">
        <v>17</v>
      </c>
      <c r="I97" t="s">
        <v>941</v>
      </c>
      <c r="J97" t="str">
        <f>IF(ISBLANK(Table1[[#This Row],[PaidDate]]),"Unpaid",IF(Table1[[#This Row],[PaidDate]]&gt;Table1[[#This Row],[DueDate]],"Late",IF(Table1[[#This Row],[PaidDate]]&lt;Table1[[#This Row],[DueDate]],"Early","On Time")))</f>
        <v>Unpaid</v>
      </c>
      <c r="K97" t="str">
        <f ca="1">IF(AND(Table1[[#This Row],[Status]]&lt;&gt;"Paid",TODAY()&gt;Table1[[#This Row],[DueDate]]),"Overdue","OK")</f>
        <v>Overdue</v>
      </c>
    </row>
    <row r="98" spans="1:11" x14ac:dyDescent="0.3">
      <c r="A98" t="s">
        <v>1042</v>
      </c>
      <c r="B98" t="s">
        <v>944</v>
      </c>
      <c r="C98" s="1">
        <v>45442</v>
      </c>
      <c r="D98" s="1">
        <v>45472</v>
      </c>
      <c r="E98" s="2">
        <v>2179.34</v>
      </c>
      <c r="F98" t="s">
        <v>11</v>
      </c>
      <c r="G98" t="s">
        <v>951</v>
      </c>
      <c r="H98" s="1">
        <v>45472</v>
      </c>
      <c r="I98" t="s">
        <v>941</v>
      </c>
      <c r="J98" t="str">
        <f>IF(ISBLANK(Table1[[#This Row],[PaidDate]]),"Unpaid",IF(Table1[[#This Row],[PaidDate]]&gt;Table1[[#This Row],[DueDate]],"Late",IF(Table1[[#This Row],[PaidDate]]&lt;Table1[[#This Row],[DueDate]],"Early","On Time")))</f>
        <v>On Time</v>
      </c>
      <c r="K98" t="str">
        <f ca="1">IF(AND(Table1[[#This Row],[Status]]&lt;&gt;"Paid",TODAY()&gt;Table1[[#This Row],[DueDate]]),"Overdue","OK")</f>
        <v>OK</v>
      </c>
    </row>
    <row r="99" spans="1:11" x14ac:dyDescent="0.3">
      <c r="A99" t="s">
        <v>1043</v>
      </c>
      <c r="B99" t="s">
        <v>946</v>
      </c>
      <c r="C99" s="1">
        <v>45350</v>
      </c>
      <c r="D99" s="1">
        <v>45380</v>
      </c>
      <c r="E99" s="2">
        <v>2918.59</v>
      </c>
      <c r="F99" t="s">
        <v>26</v>
      </c>
      <c r="G99" t="s">
        <v>17</v>
      </c>
      <c r="I99" t="s">
        <v>941</v>
      </c>
      <c r="J99" t="str">
        <f>IF(ISBLANK(Table1[[#This Row],[PaidDate]]),"Unpaid",IF(Table1[[#This Row],[PaidDate]]&gt;Table1[[#This Row],[DueDate]],"Late",IF(Table1[[#This Row],[PaidDate]]&lt;Table1[[#This Row],[DueDate]],"Early","On Time")))</f>
        <v>Unpaid</v>
      </c>
      <c r="K99" t="str">
        <f ca="1">IF(AND(Table1[[#This Row],[Status]]&lt;&gt;"Paid",TODAY()&gt;Table1[[#This Row],[DueDate]]),"Overdue","OK")</f>
        <v>Overdue</v>
      </c>
    </row>
    <row r="100" spans="1:11" x14ac:dyDescent="0.3">
      <c r="A100" t="s">
        <v>1044</v>
      </c>
      <c r="B100" t="s">
        <v>962</v>
      </c>
      <c r="C100" s="1">
        <v>45568</v>
      </c>
      <c r="D100" s="1">
        <v>45598</v>
      </c>
      <c r="E100" s="2">
        <v>4508.92</v>
      </c>
      <c r="F100" t="s">
        <v>26</v>
      </c>
      <c r="G100" t="s">
        <v>951</v>
      </c>
      <c r="H100" s="1">
        <v>45598</v>
      </c>
      <c r="I100" t="s">
        <v>941</v>
      </c>
      <c r="J100" t="str">
        <f>IF(ISBLANK(Table1[[#This Row],[PaidDate]]),"Unpaid",IF(Table1[[#This Row],[PaidDate]]&gt;Table1[[#This Row],[DueDate]],"Late",IF(Table1[[#This Row],[PaidDate]]&lt;Table1[[#This Row],[DueDate]],"Early","On Time")))</f>
        <v>On Time</v>
      </c>
      <c r="K100" t="str">
        <f ca="1">IF(AND(Table1[[#This Row],[Status]]&lt;&gt;"Paid",TODAY()&gt;Table1[[#This Row],[DueDate]]),"Overdue","OK")</f>
        <v>OK</v>
      </c>
    </row>
    <row r="101" spans="1:11" x14ac:dyDescent="0.3">
      <c r="A101" t="s">
        <v>1045</v>
      </c>
      <c r="B101" t="s">
        <v>940</v>
      </c>
      <c r="C101" s="1">
        <v>45134</v>
      </c>
      <c r="D101" s="1">
        <v>45164</v>
      </c>
      <c r="E101" s="2">
        <v>3543.69</v>
      </c>
      <c r="F101" t="s">
        <v>16</v>
      </c>
      <c r="G101" t="s">
        <v>12</v>
      </c>
      <c r="I101" t="s">
        <v>941</v>
      </c>
      <c r="J101" t="str">
        <f>IF(ISBLANK(Table1[[#This Row],[PaidDate]]),"Unpaid",IF(Table1[[#This Row],[PaidDate]]&gt;Table1[[#This Row],[DueDate]],"Late",IF(Table1[[#This Row],[PaidDate]]&lt;Table1[[#This Row],[DueDate]],"Early","On Time")))</f>
        <v>Unpaid</v>
      </c>
      <c r="K101" t="str">
        <f ca="1">IF(AND(Table1[[#This Row],[Status]]&lt;&gt;"Paid",TODAY()&gt;Table1[[#This Row],[DueDate]]),"Overdue","OK")</f>
        <v>Overdue</v>
      </c>
    </row>
    <row r="102" spans="1:11" x14ac:dyDescent="0.3">
      <c r="A102" t="s">
        <v>1046</v>
      </c>
      <c r="B102" t="s">
        <v>962</v>
      </c>
      <c r="C102" s="1">
        <v>45554</v>
      </c>
      <c r="D102" s="1">
        <v>45584</v>
      </c>
      <c r="E102" s="2">
        <v>3606.75</v>
      </c>
      <c r="F102" t="s">
        <v>28</v>
      </c>
      <c r="G102" t="s">
        <v>17</v>
      </c>
      <c r="I102" t="s">
        <v>941</v>
      </c>
      <c r="J102" t="str">
        <f>IF(ISBLANK(Table1[[#This Row],[PaidDate]]),"Unpaid",IF(Table1[[#This Row],[PaidDate]]&gt;Table1[[#This Row],[DueDate]],"Late",IF(Table1[[#This Row],[PaidDate]]&lt;Table1[[#This Row],[DueDate]],"Early","On Time")))</f>
        <v>Unpaid</v>
      </c>
      <c r="K102" t="str">
        <f ca="1">IF(AND(Table1[[#This Row],[Status]]&lt;&gt;"Paid",TODAY()&gt;Table1[[#This Row],[DueDate]]),"Overdue","OK")</f>
        <v>Overdue</v>
      </c>
    </row>
    <row r="103" spans="1:11" x14ac:dyDescent="0.3">
      <c r="A103" t="s">
        <v>1047</v>
      </c>
      <c r="B103" t="s">
        <v>962</v>
      </c>
      <c r="C103" s="1">
        <v>45838</v>
      </c>
      <c r="D103" s="1">
        <v>45868</v>
      </c>
      <c r="E103" s="2">
        <v>3518.19</v>
      </c>
      <c r="F103" t="s">
        <v>11</v>
      </c>
      <c r="G103" t="s">
        <v>12</v>
      </c>
      <c r="I103" t="s">
        <v>941</v>
      </c>
      <c r="J103" t="str">
        <f>IF(ISBLANK(Table1[[#This Row],[PaidDate]]),"Unpaid",IF(Table1[[#This Row],[PaidDate]]&gt;Table1[[#This Row],[DueDate]],"Late",IF(Table1[[#This Row],[PaidDate]]&lt;Table1[[#This Row],[DueDate]],"Early","On Time")))</f>
        <v>Unpaid</v>
      </c>
      <c r="K103" t="str">
        <f ca="1">IF(AND(Table1[[#This Row],[Status]]&lt;&gt;"Paid",TODAY()&gt;Table1[[#This Row],[DueDate]]),"Overdue","OK")</f>
        <v>Overdue</v>
      </c>
    </row>
    <row r="104" spans="1:11" x14ac:dyDescent="0.3">
      <c r="A104" t="s">
        <v>1048</v>
      </c>
      <c r="B104" t="s">
        <v>944</v>
      </c>
      <c r="C104" s="1">
        <v>45653</v>
      </c>
      <c r="D104" s="1">
        <v>45683</v>
      </c>
      <c r="E104" s="2">
        <v>4853.53</v>
      </c>
      <c r="F104" t="s">
        <v>26</v>
      </c>
      <c r="G104" t="s">
        <v>17</v>
      </c>
      <c r="I104" t="s">
        <v>941</v>
      </c>
      <c r="J104" t="str">
        <f>IF(ISBLANK(Table1[[#This Row],[PaidDate]]),"Unpaid",IF(Table1[[#This Row],[PaidDate]]&gt;Table1[[#This Row],[DueDate]],"Late",IF(Table1[[#This Row],[PaidDate]]&lt;Table1[[#This Row],[DueDate]],"Early","On Time")))</f>
        <v>Unpaid</v>
      </c>
      <c r="K104" t="str">
        <f ca="1">IF(AND(Table1[[#This Row],[Status]]&lt;&gt;"Paid",TODAY()&gt;Table1[[#This Row],[DueDate]]),"Overdue","OK")</f>
        <v>Overdue</v>
      </c>
    </row>
    <row r="105" spans="1:11" x14ac:dyDescent="0.3">
      <c r="A105" t="s">
        <v>1049</v>
      </c>
      <c r="B105" t="s">
        <v>940</v>
      </c>
      <c r="C105" s="1">
        <v>45533</v>
      </c>
      <c r="D105" s="1">
        <v>45563</v>
      </c>
      <c r="E105" s="2">
        <v>4099.79</v>
      </c>
      <c r="F105" t="s">
        <v>16</v>
      </c>
      <c r="G105" t="s">
        <v>12</v>
      </c>
      <c r="I105" t="s">
        <v>941</v>
      </c>
      <c r="J105" t="str">
        <f>IF(ISBLANK(Table1[[#This Row],[PaidDate]]),"Unpaid",IF(Table1[[#This Row],[PaidDate]]&gt;Table1[[#This Row],[DueDate]],"Late",IF(Table1[[#This Row],[PaidDate]]&lt;Table1[[#This Row],[DueDate]],"Early","On Time")))</f>
        <v>Unpaid</v>
      </c>
      <c r="K105" t="str">
        <f ca="1">IF(AND(Table1[[#This Row],[Status]]&lt;&gt;"Paid",TODAY()&gt;Table1[[#This Row],[DueDate]]),"Overdue","OK")</f>
        <v>Overdue</v>
      </c>
    </row>
    <row r="106" spans="1:11" x14ac:dyDescent="0.3">
      <c r="A106" t="s">
        <v>1050</v>
      </c>
      <c r="B106" t="s">
        <v>940</v>
      </c>
      <c r="C106" s="1">
        <v>44958</v>
      </c>
      <c r="D106" s="1">
        <v>44988</v>
      </c>
      <c r="E106" s="2">
        <v>3167.66</v>
      </c>
      <c r="F106" t="s">
        <v>26</v>
      </c>
      <c r="G106" t="s">
        <v>951</v>
      </c>
      <c r="H106" s="1">
        <v>44988</v>
      </c>
      <c r="I106" t="s">
        <v>941</v>
      </c>
      <c r="J106" t="str">
        <f>IF(ISBLANK(Table1[[#This Row],[PaidDate]]),"Unpaid",IF(Table1[[#This Row],[PaidDate]]&gt;Table1[[#This Row],[DueDate]],"Late",IF(Table1[[#This Row],[PaidDate]]&lt;Table1[[#This Row],[DueDate]],"Early","On Time")))</f>
        <v>On Time</v>
      </c>
      <c r="K106" t="str">
        <f ca="1">IF(AND(Table1[[#This Row],[Status]]&lt;&gt;"Paid",TODAY()&gt;Table1[[#This Row],[DueDate]]),"Overdue","OK")</f>
        <v>OK</v>
      </c>
    </row>
    <row r="107" spans="1:11" x14ac:dyDescent="0.3">
      <c r="A107" t="s">
        <v>1051</v>
      </c>
      <c r="B107" t="s">
        <v>962</v>
      </c>
      <c r="C107" s="1">
        <v>45024</v>
      </c>
      <c r="D107" s="1">
        <v>45054</v>
      </c>
      <c r="E107" s="2">
        <v>4646.9799999999996</v>
      </c>
      <c r="F107" t="s">
        <v>16</v>
      </c>
      <c r="G107" t="s">
        <v>12</v>
      </c>
      <c r="I107" t="s">
        <v>941</v>
      </c>
      <c r="J107" t="str">
        <f>IF(ISBLANK(Table1[[#This Row],[PaidDate]]),"Unpaid",IF(Table1[[#This Row],[PaidDate]]&gt;Table1[[#This Row],[DueDate]],"Late",IF(Table1[[#This Row],[PaidDate]]&lt;Table1[[#This Row],[DueDate]],"Early","On Time")))</f>
        <v>Unpaid</v>
      </c>
      <c r="K107" t="str">
        <f ca="1">IF(AND(Table1[[#This Row],[Status]]&lt;&gt;"Paid",TODAY()&gt;Table1[[#This Row],[DueDate]]),"Overdue","OK")</f>
        <v>Overdue</v>
      </c>
    </row>
    <row r="108" spans="1:11" x14ac:dyDescent="0.3">
      <c r="A108" t="s">
        <v>1052</v>
      </c>
      <c r="B108" t="s">
        <v>966</v>
      </c>
      <c r="C108" s="1">
        <v>45552</v>
      </c>
      <c r="D108" s="1">
        <v>45582</v>
      </c>
      <c r="E108" s="2">
        <v>4202.6099999999997</v>
      </c>
      <c r="F108" t="s">
        <v>19</v>
      </c>
      <c r="G108" t="s">
        <v>17</v>
      </c>
      <c r="I108" t="s">
        <v>941</v>
      </c>
      <c r="J108" t="str">
        <f>IF(ISBLANK(Table1[[#This Row],[PaidDate]]),"Unpaid",IF(Table1[[#This Row],[PaidDate]]&gt;Table1[[#This Row],[DueDate]],"Late",IF(Table1[[#This Row],[PaidDate]]&lt;Table1[[#This Row],[DueDate]],"Early","On Time")))</f>
        <v>Unpaid</v>
      </c>
      <c r="K108" t="str">
        <f ca="1">IF(AND(Table1[[#This Row],[Status]]&lt;&gt;"Paid",TODAY()&gt;Table1[[#This Row],[DueDate]]),"Overdue","OK")</f>
        <v>Overdue</v>
      </c>
    </row>
    <row r="109" spans="1:11" x14ac:dyDescent="0.3">
      <c r="A109" t="s">
        <v>1053</v>
      </c>
      <c r="B109" t="s">
        <v>966</v>
      </c>
      <c r="C109" s="1">
        <v>45250</v>
      </c>
      <c r="D109" s="1">
        <v>45280</v>
      </c>
      <c r="E109" s="2">
        <v>1491.57</v>
      </c>
      <c r="F109" t="s">
        <v>16</v>
      </c>
      <c r="G109" t="s">
        <v>951</v>
      </c>
      <c r="H109" s="1">
        <v>45280</v>
      </c>
      <c r="I109" t="s">
        <v>941</v>
      </c>
      <c r="J109" t="str">
        <f>IF(ISBLANK(Table1[[#This Row],[PaidDate]]),"Unpaid",IF(Table1[[#This Row],[PaidDate]]&gt;Table1[[#This Row],[DueDate]],"Late",IF(Table1[[#This Row],[PaidDate]]&lt;Table1[[#This Row],[DueDate]],"Early","On Time")))</f>
        <v>On Time</v>
      </c>
      <c r="K109" t="str">
        <f ca="1">IF(AND(Table1[[#This Row],[Status]]&lt;&gt;"Paid",TODAY()&gt;Table1[[#This Row],[DueDate]]),"Overdue","OK")</f>
        <v>OK</v>
      </c>
    </row>
    <row r="110" spans="1:11" x14ac:dyDescent="0.3">
      <c r="A110" t="s">
        <v>1054</v>
      </c>
      <c r="B110" t="s">
        <v>940</v>
      </c>
      <c r="C110" s="1">
        <v>45339</v>
      </c>
      <c r="D110" s="1">
        <v>45369</v>
      </c>
      <c r="E110" s="2">
        <v>2302.71</v>
      </c>
      <c r="F110" t="s">
        <v>11</v>
      </c>
      <c r="G110" t="s">
        <v>951</v>
      </c>
      <c r="H110" s="1">
        <v>45369</v>
      </c>
      <c r="I110" t="s">
        <v>941</v>
      </c>
      <c r="J110" t="str">
        <f>IF(ISBLANK(Table1[[#This Row],[PaidDate]]),"Unpaid",IF(Table1[[#This Row],[PaidDate]]&gt;Table1[[#This Row],[DueDate]],"Late",IF(Table1[[#This Row],[PaidDate]]&lt;Table1[[#This Row],[DueDate]],"Early","On Time")))</f>
        <v>On Time</v>
      </c>
      <c r="K110" t="str">
        <f ca="1">IF(AND(Table1[[#This Row],[Status]]&lt;&gt;"Paid",TODAY()&gt;Table1[[#This Row],[DueDate]]),"Overdue","OK")</f>
        <v>OK</v>
      </c>
    </row>
    <row r="111" spans="1:11" x14ac:dyDescent="0.3">
      <c r="A111" t="s">
        <v>1055</v>
      </c>
      <c r="B111" t="s">
        <v>962</v>
      </c>
      <c r="C111" s="1">
        <v>45787</v>
      </c>
      <c r="D111" s="1">
        <v>45817</v>
      </c>
      <c r="E111" s="2">
        <v>222.31</v>
      </c>
      <c r="F111" t="s">
        <v>16</v>
      </c>
      <c r="G111" t="s">
        <v>12</v>
      </c>
      <c r="I111" t="s">
        <v>941</v>
      </c>
      <c r="J111" t="str">
        <f>IF(ISBLANK(Table1[[#This Row],[PaidDate]]),"Unpaid",IF(Table1[[#This Row],[PaidDate]]&gt;Table1[[#This Row],[DueDate]],"Late",IF(Table1[[#This Row],[PaidDate]]&lt;Table1[[#This Row],[DueDate]],"Early","On Time")))</f>
        <v>Unpaid</v>
      </c>
      <c r="K111" t="str">
        <f ca="1">IF(AND(Table1[[#This Row],[Status]]&lt;&gt;"Paid",TODAY()&gt;Table1[[#This Row],[DueDate]]),"Overdue","OK")</f>
        <v>Overdue</v>
      </c>
    </row>
    <row r="112" spans="1:11" x14ac:dyDescent="0.3">
      <c r="A112" t="s">
        <v>1056</v>
      </c>
      <c r="B112" t="s">
        <v>962</v>
      </c>
      <c r="C112" s="1">
        <v>45621</v>
      </c>
      <c r="D112" s="1">
        <v>45651</v>
      </c>
      <c r="E112" s="2">
        <v>1191.67</v>
      </c>
      <c r="F112" t="s">
        <v>19</v>
      </c>
      <c r="G112" t="s">
        <v>17</v>
      </c>
      <c r="I112" t="s">
        <v>941</v>
      </c>
      <c r="J112" t="str">
        <f>IF(ISBLANK(Table1[[#This Row],[PaidDate]]),"Unpaid",IF(Table1[[#This Row],[PaidDate]]&gt;Table1[[#This Row],[DueDate]],"Late",IF(Table1[[#This Row],[PaidDate]]&lt;Table1[[#This Row],[DueDate]],"Early","On Time")))</f>
        <v>Unpaid</v>
      </c>
      <c r="K112" t="str">
        <f ca="1">IF(AND(Table1[[#This Row],[Status]]&lt;&gt;"Paid",TODAY()&gt;Table1[[#This Row],[DueDate]]),"Overdue","OK")</f>
        <v>Overdue</v>
      </c>
    </row>
    <row r="113" spans="1:11" x14ac:dyDescent="0.3">
      <c r="A113" t="s">
        <v>1057</v>
      </c>
      <c r="B113" t="s">
        <v>962</v>
      </c>
      <c r="C113" s="1">
        <v>45273</v>
      </c>
      <c r="D113" s="1">
        <v>45303</v>
      </c>
      <c r="E113" s="2">
        <v>3805.91</v>
      </c>
      <c r="F113" t="s">
        <v>26</v>
      </c>
      <c r="G113" t="s">
        <v>951</v>
      </c>
      <c r="H113" s="1">
        <v>45303</v>
      </c>
      <c r="I113" t="s">
        <v>941</v>
      </c>
      <c r="J113" t="str">
        <f>IF(ISBLANK(Table1[[#This Row],[PaidDate]]),"Unpaid",IF(Table1[[#This Row],[PaidDate]]&gt;Table1[[#This Row],[DueDate]],"Late",IF(Table1[[#This Row],[PaidDate]]&lt;Table1[[#This Row],[DueDate]],"Early","On Time")))</f>
        <v>On Time</v>
      </c>
      <c r="K113" t="str">
        <f ca="1">IF(AND(Table1[[#This Row],[Status]]&lt;&gt;"Paid",TODAY()&gt;Table1[[#This Row],[DueDate]]),"Overdue","OK")</f>
        <v>OK</v>
      </c>
    </row>
    <row r="114" spans="1:11" x14ac:dyDescent="0.3">
      <c r="A114" t="s">
        <v>1058</v>
      </c>
      <c r="B114" t="s">
        <v>966</v>
      </c>
      <c r="C114" s="1">
        <v>45028</v>
      </c>
      <c r="D114" s="1">
        <v>45058</v>
      </c>
      <c r="E114" s="2">
        <v>945.2</v>
      </c>
      <c r="F114" t="s">
        <v>11</v>
      </c>
      <c r="G114" t="s">
        <v>12</v>
      </c>
      <c r="I114" t="s">
        <v>941</v>
      </c>
      <c r="J114" t="str">
        <f>IF(ISBLANK(Table1[[#This Row],[PaidDate]]),"Unpaid",IF(Table1[[#This Row],[PaidDate]]&gt;Table1[[#This Row],[DueDate]],"Late",IF(Table1[[#This Row],[PaidDate]]&lt;Table1[[#This Row],[DueDate]],"Early","On Time")))</f>
        <v>Unpaid</v>
      </c>
      <c r="K114" t="str">
        <f ca="1">IF(AND(Table1[[#This Row],[Status]]&lt;&gt;"Paid",TODAY()&gt;Table1[[#This Row],[DueDate]]),"Overdue","OK")</f>
        <v>Overdue</v>
      </c>
    </row>
    <row r="115" spans="1:11" x14ac:dyDescent="0.3">
      <c r="A115" t="s">
        <v>1059</v>
      </c>
      <c r="B115" t="s">
        <v>962</v>
      </c>
      <c r="C115" s="1">
        <v>45311</v>
      </c>
      <c r="D115" s="1">
        <v>45341</v>
      </c>
      <c r="E115" s="2">
        <v>2517.4699999999998</v>
      </c>
      <c r="F115" t="s">
        <v>26</v>
      </c>
      <c r="G115" t="s">
        <v>12</v>
      </c>
      <c r="I115" t="s">
        <v>941</v>
      </c>
      <c r="J115" t="str">
        <f>IF(ISBLANK(Table1[[#This Row],[PaidDate]]),"Unpaid",IF(Table1[[#This Row],[PaidDate]]&gt;Table1[[#This Row],[DueDate]],"Late",IF(Table1[[#This Row],[PaidDate]]&lt;Table1[[#This Row],[DueDate]],"Early","On Time")))</f>
        <v>Unpaid</v>
      </c>
      <c r="K115" t="str">
        <f ca="1">IF(AND(Table1[[#This Row],[Status]]&lt;&gt;"Paid",TODAY()&gt;Table1[[#This Row],[DueDate]]),"Overdue","OK")</f>
        <v>Overdue</v>
      </c>
    </row>
    <row r="116" spans="1:11" x14ac:dyDescent="0.3">
      <c r="A116" t="s">
        <v>1060</v>
      </c>
      <c r="B116" t="s">
        <v>966</v>
      </c>
      <c r="C116" s="1">
        <v>45625</v>
      </c>
      <c r="D116" s="1">
        <v>45655</v>
      </c>
      <c r="E116" s="2">
        <v>4131.71</v>
      </c>
      <c r="F116" t="s">
        <v>11</v>
      </c>
      <c r="G116" t="s">
        <v>12</v>
      </c>
      <c r="I116" t="s">
        <v>941</v>
      </c>
      <c r="J116" t="str">
        <f>IF(ISBLANK(Table1[[#This Row],[PaidDate]]),"Unpaid",IF(Table1[[#This Row],[PaidDate]]&gt;Table1[[#This Row],[DueDate]],"Late",IF(Table1[[#This Row],[PaidDate]]&lt;Table1[[#This Row],[DueDate]],"Early","On Time")))</f>
        <v>Unpaid</v>
      </c>
      <c r="K116" t="str">
        <f ca="1">IF(AND(Table1[[#This Row],[Status]]&lt;&gt;"Paid",TODAY()&gt;Table1[[#This Row],[DueDate]]),"Overdue","OK")</f>
        <v>Overdue</v>
      </c>
    </row>
    <row r="117" spans="1:11" x14ac:dyDescent="0.3">
      <c r="A117" t="s">
        <v>1061</v>
      </c>
      <c r="B117" t="s">
        <v>966</v>
      </c>
      <c r="C117" s="1">
        <v>45370</v>
      </c>
      <c r="D117" s="1">
        <v>45400</v>
      </c>
      <c r="E117" s="2">
        <v>1116.42</v>
      </c>
      <c r="F117" t="s">
        <v>26</v>
      </c>
      <c r="G117" t="s">
        <v>17</v>
      </c>
      <c r="I117" t="s">
        <v>941</v>
      </c>
      <c r="J117" t="str">
        <f>IF(ISBLANK(Table1[[#This Row],[PaidDate]]),"Unpaid",IF(Table1[[#This Row],[PaidDate]]&gt;Table1[[#This Row],[DueDate]],"Late",IF(Table1[[#This Row],[PaidDate]]&lt;Table1[[#This Row],[DueDate]],"Early","On Time")))</f>
        <v>Unpaid</v>
      </c>
      <c r="K117" t="str">
        <f ca="1">IF(AND(Table1[[#This Row],[Status]]&lt;&gt;"Paid",TODAY()&gt;Table1[[#This Row],[DueDate]]),"Overdue","OK")</f>
        <v>Overdue</v>
      </c>
    </row>
    <row r="118" spans="1:11" x14ac:dyDescent="0.3">
      <c r="A118" t="s">
        <v>1062</v>
      </c>
      <c r="B118" t="s">
        <v>966</v>
      </c>
      <c r="C118" s="1">
        <v>45193</v>
      </c>
      <c r="D118" s="1">
        <v>45223</v>
      </c>
      <c r="E118" s="2">
        <v>4575.2700000000004</v>
      </c>
      <c r="F118" t="s">
        <v>26</v>
      </c>
      <c r="G118" t="s">
        <v>17</v>
      </c>
      <c r="I118" t="s">
        <v>941</v>
      </c>
      <c r="J118" t="str">
        <f>IF(ISBLANK(Table1[[#This Row],[PaidDate]]),"Unpaid",IF(Table1[[#This Row],[PaidDate]]&gt;Table1[[#This Row],[DueDate]],"Late",IF(Table1[[#This Row],[PaidDate]]&lt;Table1[[#This Row],[DueDate]],"Early","On Time")))</f>
        <v>Unpaid</v>
      </c>
      <c r="K118" t="str">
        <f ca="1">IF(AND(Table1[[#This Row],[Status]]&lt;&gt;"Paid",TODAY()&gt;Table1[[#This Row],[DueDate]]),"Overdue","OK")</f>
        <v>Overdue</v>
      </c>
    </row>
    <row r="119" spans="1:11" x14ac:dyDescent="0.3">
      <c r="A119" t="s">
        <v>1063</v>
      </c>
      <c r="B119" t="s">
        <v>966</v>
      </c>
      <c r="C119" s="1">
        <v>44973</v>
      </c>
      <c r="D119" s="1">
        <v>45003</v>
      </c>
      <c r="E119" s="2">
        <v>1514.17</v>
      </c>
      <c r="F119" t="s">
        <v>26</v>
      </c>
      <c r="G119" t="s">
        <v>17</v>
      </c>
      <c r="I119" t="s">
        <v>941</v>
      </c>
      <c r="J119" t="str">
        <f>IF(ISBLANK(Table1[[#This Row],[PaidDate]]),"Unpaid",IF(Table1[[#This Row],[PaidDate]]&gt;Table1[[#This Row],[DueDate]],"Late",IF(Table1[[#This Row],[PaidDate]]&lt;Table1[[#This Row],[DueDate]],"Early","On Time")))</f>
        <v>Unpaid</v>
      </c>
      <c r="K119" t="str">
        <f ca="1">IF(AND(Table1[[#This Row],[Status]]&lt;&gt;"Paid",TODAY()&gt;Table1[[#This Row],[DueDate]]),"Overdue","OK")</f>
        <v>Overdue</v>
      </c>
    </row>
    <row r="120" spans="1:11" x14ac:dyDescent="0.3">
      <c r="A120" t="s">
        <v>1064</v>
      </c>
      <c r="B120" t="s">
        <v>940</v>
      </c>
      <c r="C120" s="1">
        <v>45152</v>
      </c>
      <c r="D120" s="1">
        <v>45182</v>
      </c>
      <c r="E120" s="2">
        <v>4267.03</v>
      </c>
      <c r="F120" t="s">
        <v>26</v>
      </c>
      <c r="G120" t="s">
        <v>17</v>
      </c>
      <c r="I120" t="s">
        <v>941</v>
      </c>
      <c r="J120" t="str">
        <f>IF(ISBLANK(Table1[[#This Row],[PaidDate]]),"Unpaid",IF(Table1[[#This Row],[PaidDate]]&gt;Table1[[#This Row],[DueDate]],"Late",IF(Table1[[#This Row],[PaidDate]]&lt;Table1[[#This Row],[DueDate]],"Early","On Time")))</f>
        <v>Unpaid</v>
      </c>
      <c r="K120" t="str">
        <f ca="1">IF(AND(Table1[[#This Row],[Status]]&lt;&gt;"Paid",TODAY()&gt;Table1[[#This Row],[DueDate]]),"Overdue","OK")</f>
        <v>Overdue</v>
      </c>
    </row>
    <row r="121" spans="1:11" x14ac:dyDescent="0.3">
      <c r="A121" t="s">
        <v>1065</v>
      </c>
      <c r="B121" t="s">
        <v>944</v>
      </c>
      <c r="C121" s="1">
        <v>45685</v>
      </c>
      <c r="D121" s="1">
        <v>45715</v>
      </c>
      <c r="E121" s="2">
        <v>4482.04</v>
      </c>
      <c r="F121" t="s">
        <v>19</v>
      </c>
      <c r="G121" t="s">
        <v>12</v>
      </c>
      <c r="I121" t="s">
        <v>941</v>
      </c>
      <c r="J121" t="str">
        <f>IF(ISBLANK(Table1[[#This Row],[PaidDate]]),"Unpaid",IF(Table1[[#This Row],[PaidDate]]&gt;Table1[[#This Row],[DueDate]],"Late",IF(Table1[[#This Row],[PaidDate]]&lt;Table1[[#This Row],[DueDate]],"Early","On Time")))</f>
        <v>Unpaid</v>
      </c>
      <c r="K121" t="str">
        <f ca="1">IF(AND(Table1[[#This Row],[Status]]&lt;&gt;"Paid",TODAY()&gt;Table1[[#This Row],[DueDate]]),"Overdue","OK")</f>
        <v>Overdue</v>
      </c>
    </row>
    <row r="122" spans="1:11" x14ac:dyDescent="0.3">
      <c r="A122" t="s">
        <v>1066</v>
      </c>
      <c r="B122" t="s">
        <v>966</v>
      </c>
      <c r="C122" s="1">
        <v>45412</v>
      </c>
      <c r="D122" s="1">
        <v>45442</v>
      </c>
      <c r="E122" s="2">
        <v>1407.76</v>
      </c>
      <c r="F122" t="s">
        <v>19</v>
      </c>
      <c r="G122" t="s">
        <v>951</v>
      </c>
      <c r="H122" s="1">
        <v>45442</v>
      </c>
      <c r="I122" t="s">
        <v>941</v>
      </c>
      <c r="J122" t="str">
        <f>IF(ISBLANK(Table1[[#This Row],[PaidDate]]),"Unpaid",IF(Table1[[#This Row],[PaidDate]]&gt;Table1[[#This Row],[DueDate]],"Late",IF(Table1[[#This Row],[PaidDate]]&lt;Table1[[#This Row],[DueDate]],"Early","On Time")))</f>
        <v>On Time</v>
      </c>
      <c r="K122" t="str">
        <f ca="1">IF(AND(Table1[[#This Row],[Status]]&lt;&gt;"Paid",TODAY()&gt;Table1[[#This Row],[DueDate]]),"Overdue","OK")</f>
        <v>OK</v>
      </c>
    </row>
    <row r="123" spans="1:11" x14ac:dyDescent="0.3">
      <c r="A123" t="s">
        <v>1067</v>
      </c>
      <c r="B123" t="s">
        <v>946</v>
      </c>
      <c r="C123" s="1">
        <v>45253</v>
      </c>
      <c r="D123" s="1">
        <v>45283</v>
      </c>
      <c r="E123" s="2">
        <v>2739.91</v>
      </c>
      <c r="F123" t="s">
        <v>16</v>
      </c>
      <c r="G123" t="s">
        <v>17</v>
      </c>
      <c r="I123" t="s">
        <v>941</v>
      </c>
      <c r="J123" t="str">
        <f>IF(ISBLANK(Table1[[#This Row],[PaidDate]]),"Unpaid",IF(Table1[[#This Row],[PaidDate]]&gt;Table1[[#This Row],[DueDate]],"Late",IF(Table1[[#This Row],[PaidDate]]&lt;Table1[[#This Row],[DueDate]],"Early","On Time")))</f>
        <v>Unpaid</v>
      </c>
      <c r="K123" t="str">
        <f ca="1">IF(AND(Table1[[#This Row],[Status]]&lt;&gt;"Paid",TODAY()&gt;Table1[[#This Row],[DueDate]]),"Overdue","OK")</f>
        <v>Overdue</v>
      </c>
    </row>
    <row r="124" spans="1:11" x14ac:dyDescent="0.3">
      <c r="A124" t="s">
        <v>1068</v>
      </c>
      <c r="B124" t="s">
        <v>940</v>
      </c>
      <c r="C124" s="1">
        <v>45729</v>
      </c>
      <c r="D124" s="1">
        <v>45759</v>
      </c>
      <c r="E124" s="2">
        <v>2094.14</v>
      </c>
      <c r="F124" t="s">
        <v>19</v>
      </c>
      <c r="G124" t="s">
        <v>12</v>
      </c>
      <c r="I124" t="s">
        <v>941</v>
      </c>
      <c r="J124" t="str">
        <f>IF(ISBLANK(Table1[[#This Row],[PaidDate]]),"Unpaid",IF(Table1[[#This Row],[PaidDate]]&gt;Table1[[#This Row],[DueDate]],"Late",IF(Table1[[#This Row],[PaidDate]]&lt;Table1[[#This Row],[DueDate]],"Early","On Time")))</f>
        <v>Unpaid</v>
      </c>
      <c r="K124" t="str">
        <f ca="1">IF(AND(Table1[[#This Row],[Status]]&lt;&gt;"Paid",TODAY()&gt;Table1[[#This Row],[DueDate]]),"Overdue","OK")</f>
        <v>Overdue</v>
      </c>
    </row>
    <row r="125" spans="1:11" x14ac:dyDescent="0.3">
      <c r="A125" t="s">
        <v>1069</v>
      </c>
      <c r="B125" t="s">
        <v>966</v>
      </c>
      <c r="C125" s="1">
        <v>45647</v>
      </c>
      <c r="D125" s="1">
        <v>45677</v>
      </c>
      <c r="E125" s="2">
        <v>1636.17</v>
      </c>
      <c r="F125" t="s">
        <v>19</v>
      </c>
      <c r="G125" t="s">
        <v>17</v>
      </c>
      <c r="I125" t="s">
        <v>941</v>
      </c>
      <c r="J125" t="str">
        <f>IF(ISBLANK(Table1[[#This Row],[PaidDate]]),"Unpaid",IF(Table1[[#This Row],[PaidDate]]&gt;Table1[[#This Row],[DueDate]],"Late",IF(Table1[[#This Row],[PaidDate]]&lt;Table1[[#This Row],[DueDate]],"Early","On Time")))</f>
        <v>Unpaid</v>
      </c>
      <c r="K125" t="str">
        <f ca="1">IF(AND(Table1[[#This Row],[Status]]&lt;&gt;"Paid",TODAY()&gt;Table1[[#This Row],[DueDate]]),"Overdue","OK")</f>
        <v>Overdue</v>
      </c>
    </row>
    <row r="126" spans="1:11" x14ac:dyDescent="0.3">
      <c r="A126" t="s">
        <v>1070</v>
      </c>
      <c r="B126" t="s">
        <v>944</v>
      </c>
      <c r="C126" s="1">
        <v>45204</v>
      </c>
      <c r="D126" s="1">
        <v>45234</v>
      </c>
      <c r="E126" s="2">
        <v>1052.47</v>
      </c>
      <c r="F126" t="s">
        <v>28</v>
      </c>
      <c r="G126" t="s">
        <v>12</v>
      </c>
      <c r="I126" t="s">
        <v>941</v>
      </c>
      <c r="J126" t="str">
        <f>IF(ISBLANK(Table1[[#This Row],[PaidDate]]),"Unpaid",IF(Table1[[#This Row],[PaidDate]]&gt;Table1[[#This Row],[DueDate]],"Late",IF(Table1[[#This Row],[PaidDate]]&lt;Table1[[#This Row],[DueDate]],"Early","On Time")))</f>
        <v>Unpaid</v>
      </c>
      <c r="K126" t="str">
        <f ca="1">IF(AND(Table1[[#This Row],[Status]]&lt;&gt;"Paid",TODAY()&gt;Table1[[#This Row],[DueDate]]),"Overdue","OK")</f>
        <v>Overdue</v>
      </c>
    </row>
    <row r="127" spans="1:11" x14ac:dyDescent="0.3">
      <c r="A127" t="s">
        <v>1071</v>
      </c>
      <c r="B127" t="s">
        <v>944</v>
      </c>
      <c r="C127" s="1">
        <v>45186</v>
      </c>
      <c r="D127" s="1">
        <v>45216</v>
      </c>
      <c r="E127" s="2">
        <v>4195.09</v>
      </c>
      <c r="F127" t="s">
        <v>28</v>
      </c>
      <c r="G127" t="s">
        <v>17</v>
      </c>
      <c r="I127" t="s">
        <v>941</v>
      </c>
      <c r="J127" t="str">
        <f>IF(ISBLANK(Table1[[#This Row],[PaidDate]]),"Unpaid",IF(Table1[[#This Row],[PaidDate]]&gt;Table1[[#This Row],[DueDate]],"Late",IF(Table1[[#This Row],[PaidDate]]&lt;Table1[[#This Row],[DueDate]],"Early","On Time")))</f>
        <v>Unpaid</v>
      </c>
      <c r="K127" t="str">
        <f ca="1">IF(AND(Table1[[#This Row],[Status]]&lt;&gt;"Paid",TODAY()&gt;Table1[[#This Row],[DueDate]]),"Overdue","OK")</f>
        <v>Overdue</v>
      </c>
    </row>
    <row r="128" spans="1:11" x14ac:dyDescent="0.3">
      <c r="A128" t="s">
        <v>1072</v>
      </c>
      <c r="B128" t="s">
        <v>946</v>
      </c>
      <c r="C128" s="1">
        <v>44940</v>
      </c>
      <c r="D128" s="1">
        <v>44970</v>
      </c>
      <c r="E128" s="2">
        <v>2545.81</v>
      </c>
      <c r="F128" t="s">
        <v>11</v>
      </c>
      <c r="G128" t="s">
        <v>12</v>
      </c>
      <c r="I128" t="s">
        <v>941</v>
      </c>
      <c r="J128" t="str">
        <f>IF(ISBLANK(Table1[[#This Row],[PaidDate]]),"Unpaid",IF(Table1[[#This Row],[PaidDate]]&gt;Table1[[#This Row],[DueDate]],"Late",IF(Table1[[#This Row],[PaidDate]]&lt;Table1[[#This Row],[DueDate]],"Early","On Time")))</f>
        <v>Unpaid</v>
      </c>
      <c r="K128" t="str">
        <f ca="1">IF(AND(Table1[[#This Row],[Status]]&lt;&gt;"Paid",TODAY()&gt;Table1[[#This Row],[DueDate]]),"Overdue","OK")</f>
        <v>Overdue</v>
      </c>
    </row>
    <row r="129" spans="1:11" x14ac:dyDescent="0.3">
      <c r="A129" t="s">
        <v>1073</v>
      </c>
      <c r="B129" t="s">
        <v>962</v>
      </c>
      <c r="C129" s="1">
        <v>45396</v>
      </c>
      <c r="D129" s="1">
        <v>45426</v>
      </c>
      <c r="E129" s="2">
        <v>993.34</v>
      </c>
      <c r="F129" t="s">
        <v>28</v>
      </c>
      <c r="G129" t="s">
        <v>12</v>
      </c>
      <c r="I129" t="s">
        <v>941</v>
      </c>
      <c r="J129" t="str">
        <f>IF(ISBLANK(Table1[[#This Row],[PaidDate]]),"Unpaid",IF(Table1[[#This Row],[PaidDate]]&gt;Table1[[#This Row],[DueDate]],"Late",IF(Table1[[#This Row],[PaidDate]]&lt;Table1[[#This Row],[DueDate]],"Early","On Time")))</f>
        <v>Unpaid</v>
      </c>
      <c r="K129" t="str">
        <f ca="1">IF(AND(Table1[[#This Row],[Status]]&lt;&gt;"Paid",TODAY()&gt;Table1[[#This Row],[DueDate]]),"Overdue","OK")</f>
        <v>Overdue</v>
      </c>
    </row>
    <row r="130" spans="1:11" x14ac:dyDescent="0.3">
      <c r="A130" t="s">
        <v>1074</v>
      </c>
      <c r="B130" t="s">
        <v>962</v>
      </c>
      <c r="C130" s="1">
        <v>45091</v>
      </c>
      <c r="D130" s="1">
        <v>45121</v>
      </c>
      <c r="E130" s="2">
        <v>834.51</v>
      </c>
      <c r="F130" t="s">
        <v>19</v>
      </c>
      <c r="G130" t="s">
        <v>12</v>
      </c>
      <c r="I130" t="s">
        <v>941</v>
      </c>
      <c r="J130" t="str">
        <f>IF(ISBLANK(Table1[[#This Row],[PaidDate]]),"Unpaid",IF(Table1[[#This Row],[PaidDate]]&gt;Table1[[#This Row],[DueDate]],"Late",IF(Table1[[#This Row],[PaidDate]]&lt;Table1[[#This Row],[DueDate]],"Early","On Time")))</f>
        <v>Unpaid</v>
      </c>
      <c r="K130" t="str">
        <f ca="1">IF(AND(Table1[[#This Row],[Status]]&lt;&gt;"Paid",TODAY()&gt;Table1[[#This Row],[DueDate]]),"Overdue","OK")</f>
        <v>Overdue</v>
      </c>
    </row>
    <row r="131" spans="1:11" x14ac:dyDescent="0.3">
      <c r="A131" t="s">
        <v>1075</v>
      </c>
      <c r="B131" t="s">
        <v>962</v>
      </c>
      <c r="C131" s="1">
        <v>45286</v>
      </c>
      <c r="D131" s="1">
        <v>45316</v>
      </c>
      <c r="E131" s="2">
        <v>2107.58</v>
      </c>
      <c r="F131" t="s">
        <v>11</v>
      </c>
      <c r="G131" t="s">
        <v>12</v>
      </c>
      <c r="I131" t="s">
        <v>941</v>
      </c>
      <c r="J131" t="str">
        <f>IF(ISBLANK(Table1[[#This Row],[PaidDate]]),"Unpaid",IF(Table1[[#This Row],[PaidDate]]&gt;Table1[[#This Row],[DueDate]],"Late",IF(Table1[[#This Row],[PaidDate]]&lt;Table1[[#This Row],[DueDate]],"Early","On Time")))</f>
        <v>Unpaid</v>
      </c>
      <c r="K131" t="str">
        <f ca="1">IF(AND(Table1[[#This Row],[Status]]&lt;&gt;"Paid",TODAY()&gt;Table1[[#This Row],[DueDate]]),"Overdue","OK")</f>
        <v>Overdue</v>
      </c>
    </row>
    <row r="132" spans="1:11" x14ac:dyDescent="0.3">
      <c r="A132" t="s">
        <v>1076</v>
      </c>
      <c r="B132" t="s">
        <v>966</v>
      </c>
      <c r="C132" s="1">
        <v>45782</v>
      </c>
      <c r="D132" s="1">
        <v>45812</v>
      </c>
      <c r="E132" s="2">
        <v>1874.69</v>
      </c>
      <c r="F132" t="s">
        <v>11</v>
      </c>
      <c r="G132" t="s">
        <v>17</v>
      </c>
      <c r="I132" t="s">
        <v>941</v>
      </c>
      <c r="J132" t="str">
        <f>IF(ISBLANK(Table1[[#This Row],[PaidDate]]),"Unpaid",IF(Table1[[#This Row],[PaidDate]]&gt;Table1[[#This Row],[DueDate]],"Late",IF(Table1[[#This Row],[PaidDate]]&lt;Table1[[#This Row],[DueDate]],"Early","On Time")))</f>
        <v>Unpaid</v>
      </c>
      <c r="K132" t="str">
        <f ca="1">IF(AND(Table1[[#This Row],[Status]]&lt;&gt;"Paid",TODAY()&gt;Table1[[#This Row],[DueDate]]),"Overdue","OK")</f>
        <v>Overdue</v>
      </c>
    </row>
    <row r="133" spans="1:11" x14ac:dyDescent="0.3">
      <c r="A133" t="s">
        <v>1077</v>
      </c>
      <c r="B133" t="s">
        <v>962</v>
      </c>
      <c r="C133" s="1">
        <v>45471</v>
      </c>
      <c r="D133" s="1">
        <v>45501</v>
      </c>
      <c r="E133" s="2">
        <v>4388.51</v>
      </c>
      <c r="F133" t="s">
        <v>16</v>
      </c>
      <c r="G133" t="s">
        <v>951</v>
      </c>
      <c r="H133" s="1">
        <v>45501</v>
      </c>
      <c r="I133" t="s">
        <v>941</v>
      </c>
      <c r="J133" t="str">
        <f>IF(ISBLANK(Table1[[#This Row],[PaidDate]]),"Unpaid",IF(Table1[[#This Row],[PaidDate]]&gt;Table1[[#This Row],[DueDate]],"Late",IF(Table1[[#This Row],[PaidDate]]&lt;Table1[[#This Row],[DueDate]],"Early","On Time")))</f>
        <v>On Time</v>
      </c>
      <c r="K133" t="str">
        <f ca="1">IF(AND(Table1[[#This Row],[Status]]&lt;&gt;"Paid",TODAY()&gt;Table1[[#This Row],[DueDate]]),"Overdue","OK")</f>
        <v>OK</v>
      </c>
    </row>
    <row r="134" spans="1:11" x14ac:dyDescent="0.3">
      <c r="A134" t="s">
        <v>1078</v>
      </c>
      <c r="B134" t="s">
        <v>944</v>
      </c>
      <c r="C134" s="1">
        <v>45365</v>
      </c>
      <c r="D134" s="1">
        <v>45395</v>
      </c>
      <c r="E134" s="2">
        <v>125.24</v>
      </c>
      <c r="F134" t="s">
        <v>26</v>
      </c>
      <c r="G134" t="s">
        <v>12</v>
      </c>
      <c r="I134" t="s">
        <v>941</v>
      </c>
      <c r="J134" t="str">
        <f>IF(ISBLANK(Table1[[#This Row],[PaidDate]]),"Unpaid",IF(Table1[[#This Row],[PaidDate]]&gt;Table1[[#This Row],[DueDate]],"Late",IF(Table1[[#This Row],[PaidDate]]&lt;Table1[[#This Row],[DueDate]],"Early","On Time")))</f>
        <v>Unpaid</v>
      </c>
      <c r="K134" t="str">
        <f ca="1">IF(AND(Table1[[#This Row],[Status]]&lt;&gt;"Paid",TODAY()&gt;Table1[[#This Row],[DueDate]]),"Overdue","OK")</f>
        <v>Overdue</v>
      </c>
    </row>
    <row r="135" spans="1:11" x14ac:dyDescent="0.3">
      <c r="A135" t="s">
        <v>1079</v>
      </c>
      <c r="B135" t="s">
        <v>946</v>
      </c>
      <c r="C135" s="1">
        <v>45392</v>
      </c>
      <c r="D135" s="1">
        <v>45422</v>
      </c>
      <c r="E135" s="2">
        <v>1249.8900000000001</v>
      </c>
      <c r="F135" t="s">
        <v>28</v>
      </c>
      <c r="G135" t="s">
        <v>17</v>
      </c>
      <c r="I135" t="s">
        <v>941</v>
      </c>
      <c r="J135" t="str">
        <f>IF(ISBLANK(Table1[[#This Row],[PaidDate]]),"Unpaid",IF(Table1[[#This Row],[PaidDate]]&gt;Table1[[#This Row],[DueDate]],"Late",IF(Table1[[#This Row],[PaidDate]]&lt;Table1[[#This Row],[DueDate]],"Early","On Time")))</f>
        <v>Unpaid</v>
      </c>
      <c r="K135" t="str">
        <f ca="1">IF(AND(Table1[[#This Row],[Status]]&lt;&gt;"Paid",TODAY()&gt;Table1[[#This Row],[DueDate]]),"Overdue","OK")</f>
        <v>Overdue</v>
      </c>
    </row>
    <row r="136" spans="1:11" x14ac:dyDescent="0.3">
      <c r="A136" t="s">
        <v>1080</v>
      </c>
      <c r="B136" t="s">
        <v>946</v>
      </c>
      <c r="C136" s="1">
        <v>45631</v>
      </c>
      <c r="D136" s="1">
        <v>45661</v>
      </c>
      <c r="E136" s="2">
        <v>4937.78</v>
      </c>
      <c r="F136" t="s">
        <v>16</v>
      </c>
      <c r="G136" t="s">
        <v>17</v>
      </c>
      <c r="I136" t="s">
        <v>941</v>
      </c>
      <c r="J136" t="str">
        <f>IF(ISBLANK(Table1[[#This Row],[PaidDate]]),"Unpaid",IF(Table1[[#This Row],[PaidDate]]&gt;Table1[[#This Row],[DueDate]],"Late",IF(Table1[[#This Row],[PaidDate]]&lt;Table1[[#This Row],[DueDate]],"Early","On Time")))</f>
        <v>Unpaid</v>
      </c>
      <c r="K136" t="str">
        <f ca="1">IF(AND(Table1[[#This Row],[Status]]&lt;&gt;"Paid",TODAY()&gt;Table1[[#This Row],[DueDate]]),"Overdue","OK")</f>
        <v>Overdue</v>
      </c>
    </row>
    <row r="137" spans="1:11" x14ac:dyDescent="0.3">
      <c r="A137" t="s">
        <v>1081</v>
      </c>
      <c r="B137" t="s">
        <v>940</v>
      </c>
      <c r="C137" s="1">
        <v>45381</v>
      </c>
      <c r="D137" s="1">
        <v>45411</v>
      </c>
      <c r="E137" s="2">
        <v>2379.1799999999998</v>
      </c>
      <c r="F137" t="s">
        <v>28</v>
      </c>
      <c r="G137" t="s">
        <v>951</v>
      </c>
      <c r="H137" s="1">
        <v>45411</v>
      </c>
      <c r="I137" t="s">
        <v>941</v>
      </c>
      <c r="J137" t="str">
        <f>IF(ISBLANK(Table1[[#This Row],[PaidDate]]),"Unpaid",IF(Table1[[#This Row],[PaidDate]]&gt;Table1[[#This Row],[DueDate]],"Late",IF(Table1[[#This Row],[PaidDate]]&lt;Table1[[#This Row],[DueDate]],"Early","On Time")))</f>
        <v>On Time</v>
      </c>
      <c r="K137" t="str">
        <f ca="1">IF(AND(Table1[[#This Row],[Status]]&lt;&gt;"Paid",TODAY()&gt;Table1[[#This Row],[DueDate]]),"Overdue","OK")</f>
        <v>OK</v>
      </c>
    </row>
    <row r="138" spans="1:11" x14ac:dyDescent="0.3">
      <c r="A138" t="s">
        <v>1082</v>
      </c>
      <c r="B138" t="s">
        <v>940</v>
      </c>
      <c r="C138" s="1">
        <v>45265</v>
      </c>
      <c r="D138" s="1">
        <v>45295</v>
      </c>
      <c r="E138" s="2">
        <v>4032.55</v>
      </c>
      <c r="F138" t="s">
        <v>26</v>
      </c>
      <c r="G138" t="s">
        <v>951</v>
      </c>
      <c r="H138" s="1">
        <v>45295</v>
      </c>
      <c r="I138" t="s">
        <v>941</v>
      </c>
      <c r="J138" t="str">
        <f>IF(ISBLANK(Table1[[#This Row],[PaidDate]]),"Unpaid",IF(Table1[[#This Row],[PaidDate]]&gt;Table1[[#This Row],[DueDate]],"Late",IF(Table1[[#This Row],[PaidDate]]&lt;Table1[[#This Row],[DueDate]],"Early","On Time")))</f>
        <v>On Time</v>
      </c>
      <c r="K138" t="str">
        <f ca="1">IF(AND(Table1[[#This Row],[Status]]&lt;&gt;"Paid",TODAY()&gt;Table1[[#This Row],[DueDate]]),"Overdue","OK")</f>
        <v>OK</v>
      </c>
    </row>
    <row r="139" spans="1:11" x14ac:dyDescent="0.3">
      <c r="A139" t="s">
        <v>1083</v>
      </c>
      <c r="B139" t="s">
        <v>966</v>
      </c>
      <c r="C139" s="1">
        <v>45494</v>
      </c>
      <c r="D139" s="1">
        <v>45524</v>
      </c>
      <c r="E139" s="2">
        <v>3922.59</v>
      </c>
      <c r="F139" t="s">
        <v>28</v>
      </c>
      <c r="G139" t="s">
        <v>951</v>
      </c>
      <c r="H139" s="1">
        <v>45524</v>
      </c>
      <c r="I139" t="s">
        <v>941</v>
      </c>
      <c r="J139" t="str">
        <f>IF(ISBLANK(Table1[[#This Row],[PaidDate]]),"Unpaid",IF(Table1[[#This Row],[PaidDate]]&gt;Table1[[#This Row],[DueDate]],"Late",IF(Table1[[#This Row],[PaidDate]]&lt;Table1[[#This Row],[DueDate]],"Early","On Time")))</f>
        <v>On Time</v>
      </c>
      <c r="K139" t="str">
        <f ca="1">IF(AND(Table1[[#This Row],[Status]]&lt;&gt;"Paid",TODAY()&gt;Table1[[#This Row],[DueDate]]),"Overdue","OK")</f>
        <v>OK</v>
      </c>
    </row>
    <row r="140" spans="1:11" x14ac:dyDescent="0.3">
      <c r="A140" t="s">
        <v>1084</v>
      </c>
      <c r="B140" t="s">
        <v>966</v>
      </c>
      <c r="C140" s="1">
        <v>45174</v>
      </c>
      <c r="D140" s="1">
        <v>45204</v>
      </c>
      <c r="E140" s="2">
        <v>3377.42</v>
      </c>
      <c r="F140" t="s">
        <v>19</v>
      </c>
      <c r="G140" t="s">
        <v>951</v>
      </c>
      <c r="H140" s="1">
        <v>45204</v>
      </c>
      <c r="I140" t="s">
        <v>941</v>
      </c>
      <c r="J140" t="str">
        <f>IF(ISBLANK(Table1[[#This Row],[PaidDate]]),"Unpaid",IF(Table1[[#This Row],[PaidDate]]&gt;Table1[[#This Row],[DueDate]],"Late",IF(Table1[[#This Row],[PaidDate]]&lt;Table1[[#This Row],[DueDate]],"Early","On Time")))</f>
        <v>On Time</v>
      </c>
      <c r="K140" t="str">
        <f ca="1">IF(AND(Table1[[#This Row],[Status]]&lt;&gt;"Paid",TODAY()&gt;Table1[[#This Row],[DueDate]]),"Overdue","OK")</f>
        <v>OK</v>
      </c>
    </row>
    <row r="141" spans="1:11" x14ac:dyDescent="0.3">
      <c r="A141" t="s">
        <v>1085</v>
      </c>
      <c r="B141" t="s">
        <v>962</v>
      </c>
      <c r="C141" s="1">
        <v>45638</v>
      </c>
      <c r="D141" s="1">
        <v>45668</v>
      </c>
      <c r="E141" s="2">
        <v>3927.21</v>
      </c>
      <c r="F141" t="s">
        <v>16</v>
      </c>
      <c r="G141" t="s">
        <v>12</v>
      </c>
      <c r="I141" t="s">
        <v>941</v>
      </c>
      <c r="J141" t="str">
        <f>IF(ISBLANK(Table1[[#This Row],[PaidDate]]),"Unpaid",IF(Table1[[#This Row],[PaidDate]]&gt;Table1[[#This Row],[DueDate]],"Late",IF(Table1[[#This Row],[PaidDate]]&lt;Table1[[#This Row],[DueDate]],"Early","On Time")))</f>
        <v>Unpaid</v>
      </c>
      <c r="K141" t="str">
        <f ca="1">IF(AND(Table1[[#This Row],[Status]]&lt;&gt;"Paid",TODAY()&gt;Table1[[#This Row],[DueDate]]),"Overdue","OK")</f>
        <v>Overdue</v>
      </c>
    </row>
    <row r="142" spans="1:11" x14ac:dyDescent="0.3">
      <c r="A142" t="s">
        <v>1086</v>
      </c>
      <c r="B142" t="s">
        <v>962</v>
      </c>
      <c r="C142" s="1">
        <v>45400</v>
      </c>
      <c r="D142" s="1">
        <v>45430</v>
      </c>
      <c r="E142" s="2">
        <v>4292.3500000000004</v>
      </c>
      <c r="F142" t="s">
        <v>26</v>
      </c>
      <c r="G142" t="s">
        <v>17</v>
      </c>
      <c r="I142" t="s">
        <v>941</v>
      </c>
      <c r="J142" t="str">
        <f>IF(ISBLANK(Table1[[#This Row],[PaidDate]]),"Unpaid",IF(Table1[[#This Row],[PaidDate]]&gt;Table1[[#This Row],[DueDate]],"Late",IF(Table1[[#This Row],[PaidDate]]&lt;Table1[[#This Row],[DueDate]],"Early","On Time")))</f>
        <v>Unpaid</v>
      </c>
      <c r="K142" t="str">
        <f ca="1">IF(AND(Table1[[#This Row],[Status]]&lt;&gt;"Paid",TODAY()&gt;Table1[[#This Row],[DueDate]]),"Overdue","OK")</f>
        <v>Overdue</v>
      </c>
    </row>
    <row r="143" spans="1:11" x14ac:dyDescent="0.3">
      <c r="A143" t="s">
        <v>1087</v>
      </c>
      <c r="B143" t="s">
        <v>944</v>
      </c>
      <c r="C143" s="1">
        <v>45827</v>
      </c>
      <c r="D143" s="1">
        <v>45857</v>
      </c>
      <c r="E143" s="2">
        <v>3350.66</v>
      </c>
      <c r="F143" t="s">
        <v>11</v>
      </c>
      <c r="G143" t="s">
        <v>12</v>
      </c>
      <c r="I143" t="s">
        <v>941</v>
      </c>
      <c r="J143" t="str">
        <f>IF(ISBLANK(Table1[[#This Row],[PaidDate]]),"Unpaid",IF(Table1[[#This Row],[PaidDate]]&gt;Table1[[#This Row],[DueDate]],"Late",IF(Table1[[#This Row],[PaidDate]]&lt;Table1[[#This Row],[DueDate]],"Early","On Time")))</f>
        <v>Unpaid</v>
      </c>
      <c r="K143" t="str">
        <f ca="1">IF(AND(Table1[[#This Row],[Status]]&lt;&gt;"Paid",TODAY()&gt;Table1[[#This Row],[DueDate]]),"Overdue","OK")</f>
        <v>Overdue</v>
      </c>
    </row>
    <row r="144" spans="1:11" x14ac:dyDescent="0.3">
      <c r="A144" t="s">
        <v>1088</v>
      </c>
      <c r="B144" t="s">
        <v>966</v>
      </c>
      <c r="C144" s="1">
        <v>45074</v>
      </c>
      <c r="D144" s="1">
        <v>45104</v>
      </c>
      <c r="E144" s="2">
        <v>4762.47</v>
      </c>
      <c r="F144" t="s">
        <v>11</v>
      </c>
      <c r="G144" t="s">
        <v>12</v>
      </c>
      <c r="I144" t="s">
        <v>941</v>
      </c>
      <c r="J144" t="str">
        <f>IF(ISBLANK(Table1[[#This Row],[PaidDate]]),"Unpaid",IF(Table1[[#This Row],[PaidDate]]&gt;Table1[[#This Row],[DueDate]],"Late",IF(Table1[[#This Row],[PaidDate]]&lt;Table1[[#This Row],[DueDate]],"Early","On Time")))</f>
        <v>Unpaid</v>
      </c>
      <c r="K144" t="str">
        <f ca="1">IF(AND(Table1[[#This Row],[Status]]&lt;&gt;"Paid",TODAY()&gt;Table1[[#This Row],[DueDate]]),"Overdue","OK")</f>
        <v>Overdue</v>
      </c>
    </row>
    <row r="145" spans="1:11" x14ac:dyDescent="0.3">
      <c r="A145" t="s">
        <v>1089</v>
      </c>
      <c r="B145" t="s">
        <v>966</v>
      </c>
      <c r="C145" s="1">
        <v>45139</v>
      </c>
      <c r="D145" s="1">
        <v>45169</v>
      </c>
      <c r="E145" s="2">
        <v>1589.97</v>
      </c>
      <c r="F145" t="s">
        <v>28</v>
      </c>
      <c r="G145" t="s">
        <v>17</v>
      </c>
      <c r="I145" t="s">
        <v>941</v>
      </c>
      <c r="J145" t="str">
        <f>IF(ISBLANK(Table1[[#This Row],[PaidDate]]),"Unpaid",IF(Table1[[#This Row],[PaidDate]]&gt;Table1[[#This Row],[DueDate]],"Late",IF(Table1[[#This Row],[PaidDate]]&lt;Table1[[#This Row],[DueDate]],"Early","On Time")))</f>
        <v>Unpaid</v>
      </c>
      <c r="K145" t="str">
        <f ca="1">IF(AND(Table1[[#This Row],[Status]]&lt;&gt;"Paid",TODAY()&gt;Table1[[#This Row],[DueDate]]),"Overdue","OK")</f>
        <v>Overdue</v>
      </c>
    </row>
    <row r="146" spans="1:11" x14ac:dyDescent="0.3">
      <c r="A146" t="s">
        <v>1090</v>
      </c>
      <c r="B146" t="s">
        <v>946</v>
      </c>
      <c r="C146" s="1">
        <v>45467</v>
      </c>
      <c r="D146" s="1">
        <v>45497</v>
      </c>
      <c r="E146" s="2">
        <v>2206.4</v>
      </c>
      <c r="F146" t="s">
        <v>19</v>
      </c>
      <c r="G146" t="s">
        <v>12</v>
      </c>
      <c r="I146" t="s">
        <v>941</v>
      </c>
      <c r="J146" t="str">
        <f>IF(ISBLANK(Table1[[#This Row],[PaidDate]]),"Unpaid",IF(Table1[[#This Row],[PaidDate]]&gt;Table1[[#This Row],[DueDate]],"Late",IF(Table1[[#This Row],[PaidDate]]&lt;Table1[[#This Row],[DueDate]],"Early","On Time")))</f>
        <v>Unpaid</v>
      </c>
      <c r="K146" t="str">
        <f ca="1">IF(AND(Table1[[#This Row],[Status]]&lt;&gt;"Paid",TODAY()&gt;Table1[[#This Row],[DueDate]]),"Overdue","OK")</f>
        <v>Overdue</v>
      </c>
    </row>
    <row r="147" spans="1:11" x14ac:dyDescent="0.3">
      <c r="A147" t="s">
        <v>1091</v>
      </c>
      <c r="B147" t="s">
        <v>962</v>
      </c>
      <c r="C147" s="1">
        <v>45258</v>
      </c>
      <c r="D147" s="1">
        <v>45288</v>
      </c>
      <c r="E147" s="2">
        <v>2642.46</v>
      </c>
      <c r="F147" t="s">
        <v>19</v>
      </c>
      <c r="G147" t="s">
        <v>951</v>
      </c>
      <c r="H147" s="1">
        <v>45288</v>
      </c>
      <c r="I147" t="s">
        <v>941</v>
      </c>
      <c r="J147" t="str">
        <f>IF(ISBLANK(Table1[[#This Row],[PaidDate]]),"Unpaid",IF(Table1[[#This Row],[PaidDate]]&gt;Table1[[#This Row],[DueDate]],"Late",IF(Table1[[#This Row],[PaidDate]]&lt;Table1[[#This Row],[DueDate]],"Early","On Time")))</f>
        <v>On Time</v>
      </c>
      <c r="K147" t="str">
        <f ca="1">IF(AND(Table1[[#This Row],[Status]]&lt;&gt;"Paid",TODAY()&gt;Table1[[#This Row],[DueDate]]),"Overdue","OK")</f>
        <v>OK</v>
      </c>
    </row>
    <row r="148" spans="1:11" x14ac:dyDescent="0.3">
      <c r="A148" t="s">
        <v>1092</v>
      </c>
      <c r="B148" t="s">
        <v>966</v>
      </c>
      <c r="C148" s="1">
        <v>45392</v>
      </c>
      <c r="D148" s="1">
        <v>45422</v>
      </c>
      <c r="E148" s="2">
        <v>2413.9</v>
      </c>
      <c r="F148" t="s">
        <v>26</v>
      </c>
      <c r="G148" t="s">
        <v>12</v>
      </c>
      <c r="I148" t="s">
        <v>941</v>
      </c>
      <c r="J148" t="str">
        <f>IF(ISBLANK(Table1[[#This Row],[PaidDate]]),"Unpaid",IF(Table1[[#This Row],[PaidDate]]&gt;Table1[[#This Row],[DueDate]],"Late",IF(Table1[[#This Row],[PaidDate]]&lt;Table1[[#This Row],[DueDate]],"Early","On Time")))</f>
        <v>Unpaid</v>
      </c>
      <c r="K148" t="str">
        <f ca="1">IF(AND(Table1[[#This Row],[Status]]&lt;&gt;"Paid",TODAY()&gt;Table1[[#This Row],[DueDate]]),"Overdue","OK")</f>
        <v>Overdue</v>
      </c>
    </row>
    <row r="149" spans="1:11" x14ac:dyDescent="0.3">
      <c r="A149" t="s">
        <v>1093</v>
      </c>
      <c r="B149" t="s">
        <v>962</v>
      </c>
      <c r="C149" s="1">
        <v>45154</v>
      </c>
      <c r="D149" s="1">
        <v>45184</v>
      </c>
      <c r="E149" s="2">
        <v>2803.47</v>
      </c>
      <c r="F149" t="s">
        <v>11</v>
      </c>
      <c r="G149" t="s">
        <v>12</v>
      </c>
      <c r="I149" t="s">
        <v>941</v>
      </c>
      <c r="J149" t="str">
        <f>IF(ISBLANK(Table1[[#This Row],[PaidDate]]),"Unpaid",IF(Table1[[#This Row],[PaidDate]]&gt;Table1[[#This Row],[DueDate]],"Late",IF(Table1[[#This Row],[PaidDate]]&lt;Table1[[#This Row],[DueDate]],"Early","On Time")))</f>
        <v>Unpaid</v>
      </c>
      <c r="K149" t="str">
        <f ca="1">IF(AND(Table1[[#This Row],[Status]]&lt;&gt;"Paid",TODAY()&gt;Table1[[#This Row],[DueDate]]),"Overdue","OK")</f>
        <v>Overdue</v>
      </c>
    </row>
    <row r="150" spans="1:11" x14ac:dyDescent="0.3">
      <c r="A150" t="s">
        <v>1094</v>
      </c>
      <c r="B150" t="s">
        <v>944</v>
      </c>
      <c r="C150" s="1">
        <v>45199</v>
      </c>
      <c r="D150" s="1">
        <v>45229</v>
      </c>
      <c r="E150" s="2">
        <v>3709.9</v>
      </c>
      <c r="F150" t="s">
        <v>16</v>
      </c>
      <c r="G150" t="s">
        <v>12</v>
      </c>
      <c r="I150" t="s">
        <v>941</v>
      </c>
      <c r="J150" t="str">
        <f>IF(ISBLANK(Table1[[#This Row],[PaidDate]]),"Unpaid",IF(Table1[[#This Row],[PaidDate]]&gt;Table1[[#This Row],[DueDate]],"Late",IF(Table1[[#This Row],[PaidDate]]&lt;Table1[[#This Row],[DueDate]],"Early","On Time")))</f>
        <v>Unpaid</v>
      </c>
      <c r="K150" t="str">
        <f ca="1">IF(AND(Table1[[#This Row],[Status]]&lt;&gt;"Paid",TODAY()&gt;Table1[[#This Row],[DueDate]]),"Overdue","OK")</f>
        <v>Overdue</v>
      </c>
    </row>
    <row r="151" spans="1:11" x14ac:dyDescent="0.3">
      <c r="A151" t="s">
        <v>1095</v>
      </c>
      <c r="B151" t="s">
        <v>946</v>
      </c>
      <c r="C151" s="1">
        <v>45456</v>
      </c>
      <c r="D151" s="1">
        <v>45486</v>
      </c>
      <c r="E151" s="2">
        <v>4721.1499999999996</v>
      </c>
      <c r="F151" t="s">
        <v>28</v>
      </c>
      <c r="G151" t="s">
        <v>951</v>
      </c>
      <c r="H151" s="1">
        <v>45486</v>
      </c>
      <c r="I151" t="s">
        <v>941</v>
      </c>
      <c r="J151" t="str">
        <f>IF(ISBLANK(Table1[[#This Row],[PaidDate]]),"Unpaid",IF(Table1[[#This Row],[PaidDate]]&gt;Table1[[#This Row],[DueDate]],"Late",IF(Table1[[#This Row],[PaidDate]]&lt;Table1[[#This Row],[DueDate]],"Early","On Time")))</f>
        <v>On Time</v>
      </c>
      <c r="K151" t="str">
        <f ca="1">IF(AND(Table1[[#This Row],[Status]]&lt;&gt;"Paid",TODAY()&gt;Table1[[#This Row],[DueDate]]),"Overdue","OK")</f>
        <v>OK</v>
      </c>
    </row>
    <row r="152" spans="1:11" x14ac:dyDescent="0.3">
      <c r="A152" t="s">
        <v>1096</v>
      </c>
      <c r="B152" t="s">
        <v>966</v>
      </c>
      <c r="C152" s="1">
        <v>45144</v>
      </c>
      <c r="D152" s="1">
        <v>45174</v>
      </c>
      <c r="E152" s="2">
        <v>1555.44</v>
      </c>
      <c r="F152" t="s">
        <v>11</v>
      </c>
      <c r="G152" t="s">
        <v>12</v>
      </c>
      <c r="I152" t="s">
        <v>941</v>
      </c>
      <c r="J152" t="str">
        <f>IF(ISBLANK(Table1[[#This Row],[PaidDate]]),"Unpaid",IF(Table1[[#This Row],[PaidDate]]&gt;Table1[[#This Row],[DueDate]],"Late",IF(Table1[[#This Row],[PaidDate]]&lt;Table1[[#This Row],[DueDate]],"Early","On Time")))</f>
        <v>Unpaid</v>
      </c>
      <c r="K152" t="str">
        <f ca="1">IF(AND(Table1[[#This Row],[Status]]&lt;&gt;"Paid",TODAY()&gt;Table1[[#This Row],[DueDate]]),"Overdue","OK")</f>
        <v>Overdue</v>
      </c>
    </row>
    <row r="153" spans="1:11" x14ac:dyDescent="0.3">
      <c r="A153" t="s">
        <v>1097</v>
      </c>
      <c r="B153" t="s">
        <v>946</v>
      </c>
      <c r="C153" s="1">
        <v>45390</v>
      </c>
      <c r="D153" s="1">
        <v>45420</v>
      </c>
      <c r="E153" s="2">
        <v>2731.15</v>
      </c>
      <c r="F153" t="s">
        <v>11</v>
      </c>
      <c r="G153" t="s">
        <v>951</v>
      </c>
      <c r="H153" s="1">
        <v>45420</v>
      </c>
      <c r="I153" t="s">
        <v>941</v>
      </c>
      <c r="J153" t="str">
        <f>IF(ISBLANK(Table1[[#This Row],[PaidDate]]),"Unpaid",IF(Table1[[#This Row],[PaidDate]]&gt;Table1[[#This Row],[DueDate]],"Late",IF(Table1[[#This Row],[PaidDate]]&lt;Table1[[#This Row],[DueDate]],"Early","On Time")))</f>
        <v>On Time</v>
      </c>
      <c r="K153" t="str">
        <f ca="1">IF(AND(Table1[[#This Row],[Status]]&lt;&gt;"Paid",TODAY()&gt;Table1[[#This Row],[DueDate]]),"Overdue","OK")</f>
        <v>OK</v>
      </c>
    </row>
    <row r="154" spans="1:11" x14ac:dyDescent="0.3">
      <c r="A154" t="s">
        <v>1098</v>
      </c>
      <c r="B154" t="s">
        <v>940</v>
      </c>
      <c r="C154" s="1">
        <v>45622</v>
      </c>
      <c r="D154" s="1">
        <v>45652</v>
      </c>
      <c r="E154" s="2">
        <v>3600.41</v>
      </c>
      <c r="F154" t="s">
        <v>26</v>
      </c>
      <c r="G154" t="s">
        <v>12</v>
      </c>
      <c r="I154" t="s">
        <v>941</v>
      </c>
      <c r="J154" t="str">
        <f>IF(ISBLANK(Table1[[#This Row],[PaidDate]]),"Unpaid",IF(Table1[[#This Row],[PaidDate]]&gt;Table1[[#This Row],[DueDate]],"Late",IF(Table1[[#This Row],[PaidDate]]&lt;Table1[[#This Row],[DueDate]],"Early","On Time")))</f>
        <v>Unpaid</v>
      </c>
      <c r="K154" t="str">
        <f ca="1">IF(AND(Table1[[#This Row],[Status]]&lt;&gt;"Paid",TODAY()&gt;Table1[[#This Row],[DueDate]]),"Overdue","OK")</f>
        <v>Overdue</v>
      </c>
    </row>
    <row r="155" spans="1:11" x14ac:dyDescent="0.3">
      <c r="A155" t="s">
        <v>1099</v>
      </c>
      <c r="B155" t="s">
        <v>940</v>
      </c>
      <c r="C155" s="1">
        <v>44990</v>
      </c>
      <c r="D155" s="1">
        <v>45020</v>
      </c>
      <c r="E155" s="2">
        <v>1532.1</v>
      </c>
      <c r="F155" t="s">
        <v>16</v>
      </c>
      <c r="G155" t="s">
        <v>951</v>
      </c>
      <c r="H155" s="1">
        <v>45020</v>
      </c>
      <c r="I155" t="s">
        <v>941</v>
      </c>
      <c r="J155" t="str">
        <f>IF(ISBLANK(Table1[[#This Row],[PaidDate]]),"Unpaid",IF(Table1[[#This Row],[PaidDate]]&gt;Table1[[#This Row],[DueDate]],"Late",IF(Table1[[#This Row],[PaidDate]]&lt;Table1[[#This Row],[DueDate]],"Early","On Time")))</f>
        <v>On Time</v>
      </c>
      <c r="K155" t="str">
        <f ca="1">IF(AND(Table1[[#This Row],[Status]]&lt;&gt;"Paid",TODAY()&gt;Table1[[#This Row],[DueDate]]),"Overdue","OK")</f>
        <v>OK</v>
      </c>
    </row>
    <row r="156" spans="1:11" x14ac:dyDescent="0.3">
      <c r="A156" t="s">
        <v>1100</v>
      </c>
      <c r="B156" t="s">
        <v>944</v>
      </c>
      <c r="C156" s="1">
        <v>45475</v>
      </c>
      <c r="D156" s="1">
        <v>45505</v>
      </c>
      <c r="E156" s="2">
        <v>3671.9</v>
      </c>
      <c r="F156" t="s">
        <v>11</v>
      </c>
      <c r="G156" t="s">
        <v>17</v>
      </c>
      <c r="I156" t="s">
        <v>941</v>
      </c>
      <c r="J156" t="str">
        <f>IF(ISBLANK(Table1[[#This Row],[PaidDate]]),"Unpaid",IF(Table1[[#This Row],[PaidDate]]&gt;Table1[[#This Row],[DueDate]],"Late",IF(Table1[[#This Row],[PaidDate]]&lt;Table1[[#This Row],[DueDate]],"Early","On Time")))</f>
        <v>Unpaid</v>
      </c>
      <c r="K156" t="str">
        <f ca="1">IF(AND(Table1[[#This Row],[Status]]&lt;&gt;"Paid",TODAY()&gt;Table1[[#This Row],[DueDate]]),"Overdue","OK")</f>
        <v>Overdue</v>
      </c>
    </row>
    <row r="157" spans="1:11" x14ac:dyDescent="0.3">
      <c r="A157" t="s">
        <v>1101</v>
      </c>
      <c r="B157" t="s">
        <v>946</v>
      </c>
      <c r="C157" s="1">
        <v>45345</v>
      </c>
      <c r="D157" s="1">
        <v>45375</v>
      </c>
      <c r="E157" s="2">
        <v>249.12</v>
      </c>
      <c r="F157" t="s">
        <v>11</v>
      </c>
      <c r="G157" t="s">
        <v>17</v>
      </c>
      <c r="I157" t="s">
        <v>941</v>
      </c>
      <c r="J157" t="str">
        <f>IF(ISBLANK(Table1[[#This Row],[PaidDate]]),"Unpaid",IF(Table1[[#This Row],[PaidDate]]&gt;Table1[[#This Row],[DueDate]],"Late",IF(Table1[[#This Row],[PaidDate]]&lt;Table1[[#This Row],[DueDate]],"Early","On Time")))</f>
        <v>Unpaid</v>
      </c>
      <c r="K157" t="str">
        <f ca="1">IF(AND(Table1[[#This Row],[Status]]&lt;&gt;"Paid",TODAY()&gt;Table1[[#This Row],[DueDate]]),"Overdue","OK")</f>
        <v>Overdue</v>
      </c>
    </row>
    <row r="158" spans="1:11" x14ac:dyDescent="0.3">
      <c r="A158" t="s">
        <v>1102</v>
      </c>
      <c r="B158" t="s">
        <v>962</v>
      </c>
      <c r="C158" s="1">
        <v>45567</v>
      </c>
      <c r="D158" s="1">
        <v>45597</v>
      </c>
      <c r="E158" s="2">
        <v>1247.49</v>
      </c>
      <c r="F158" t="s">
        <v>16</v>
      </c>
      <c r="G158" t="s">
        <v>12</v>
      </c>
      <c r="I158" t="s">
        <v>941</v>
      </c>
      <c r="J158" t="str">
        <f>IF(ISBLANK(Table1[[#This Row],[PaidDate]]),"Unpaid",IF(Table1[[#This Row],[PaidDate]]&gt;Table1[[#This Row],[DueDate]],"Late",IF(Table1[[#This Row],[PaidDate]]&lt;Table1[[#This Row],[DueDate]],"Early","On Time")))</f>
        <v>Unpaid</v>
      </c>
      <c r="K158" t="str">
        <f ca="1">IF(AND(Table1[[#This Row],[Status]]&lt;&gt;"Paid",TODAY()&gt;Table1[[#This Row],[DueDate]]),"Overdue","OK")</f>
        <v>Overdue</v>
      </c>
    </row>
    <row r="159" spans="1:11" x14ac:dyDescent="0.3">
      <c r="A159" t="s">
        <v>1103</v>
      </c>
      <c r="B159" t="s">
        <v>962</v>
      </c>
      <c r="C159" s="1">
        <v>45081</v>
      </c>
      <c r="D159" s="1">
        <v>45111</v>
      </c>
      <c r="E159" s="2">
        <v>4374.63</v>
      </c>
      <c r="F159" t="s">
        <v>11</v>
      </c>
      <c r="G159" t="s">
        <v>12</v>
      </c>
      <c r="I159" t="s">
        <v>941</v>
      </c>
      <c r="J159" t="str">
        <f>IF(ISBLANK(Table1[[#This Row],[PaidDate]]),"Unpaid",IF(Table1[[#This Row],[PaidDate]]&gt;Table1[[#This Row],[DueDate]],"Late",IF(Table1[[#This Row],[PaidDate]]&lt;Table1[[#This Row],[DueDate]],"Early","On Time")))</f>
        <v>Unpaid</v>
      </c>
      <c r="K159" t="str">
        <f ca="1">IF(AND(Table1[[#This Row],[Status]]&lt;&gt;"Paid",TODAY()&gt;Table1[[#This Row],[DueDate]]),"Overdue","OK")</f>
        <v>Overdue</v>
      </c>
    </row>
    <row r="160" spans="1:11" x14ac:dyDescent="0.3">
      <c r="A160" t="s">
        <v>1104</v>
      </c>
      <c r="B160" t="s">
        <v>962</v>
      </c>
      <c r="C160" s="1">
        <v>45044</v>
      </c>
      <c r="D160" s="1">
        <v>45074</v>
      </c>
      <c r="E160" s="2">
        <v>3691.12</v>
      </c>
      <c r="F160" t="s">
        <v>16</v>
      </c>
      <c r="G160" t="s">
        <v>12</v>
      </c>
      <c r="I160" t="s">
        <v>941</v>
      </c>
      <c r="J160" t="str">
        <f>IF(ISBLANK(Table1[[#This Row],[PaidDate]]),"Unpaid",IF(Table1[[#This Row],[PaidDate]]&gt;Table1[[#This Row],[DueDate]],"Late",IF(Table1[[#This Row],[PaidDate]]&lt;Table1[[#This Row],[DueDate]],"Early","On Time")))</f>
        <v>Unpaid</v>
      </c>
      <c r="K160" t="str">
        <f ca="1">IF(AND(Table1[[#This Row],[Status]]&lt;&gt;"Paid",TODAY()&gt;Table1[[#This Row],[DueDate]]),"Overdue","OK")</f>
        <v>Overdue</v>
      </c>
    </row>
    <row r="161" spans="1:11" x14ac:dyDescent="0.3">
      <c r="A161" t="s">
        <v>1105</v>
      </c>
      <c r="B161" t="s">
        <v>962</v>
      </c>
      <c r="C161" s="1">
        <v>45443</v>
      </c>
      <c r="D161" s="1">
        <v>45473</v>
      </c>
      <c r="E161" s="2">
        <v>4217.3900000000003</v>
      </c>
      <c r="F161" t="s">
        <v>28</v>
      </c>
      <c r="G161" t="s">
        <v>951</v>
      </c>
      <c r="H161" s="1">
        <v>45473</v>
      </c>
      <c r="I161" t="s">
        <v>941</v>
      </c>
      <c r="J161" t="str">
        <f>IF(ISBLANK(Table1[[#This Row],[PaidDate]]),"Unpaid",IF(Table1[[#This Row],[PaidDate]]&gt;Table1[[#This Row],[DueDate]],"Late",IF(Table1[[#This Row],[PaidDate]]&lt;Table1[[#This Row],[DueDate]],"Early","On Time")))</f>
        <v>On Time</v>
      </c>
      <c r="K161" t="str">
        <f ca="1">IF(AND(Table1[[#This Row],[Status]]&lt;&gt;"Paid",TODAY()&gt;Table1[[#This Row],[DueDate]]),"Overdue","OK")</f>
        <v>OK</v>
      </c>
    </row>
    <row r="162" spans="1:11" x14ac:dyDescent="0.3">
      <c r="A162" t="s">
        <v>1106</v>
      </c>
      <c r="B162" t="s">
        <v>944</v>
      </c>
      <c r="C162" s="1">
        <v>45204</v>
      </c>
      <c r="D162" s="1">
        <v>45234</v>
      </c>
      <c r="E162" s="2">
        <v>4642.3599999999997</v>
      </c>
      <c r="F162" t="s">
        <v>26</v>
      </c>
      <c r="G162" t="s">
        <v>17</v>
      </c>
      <c r="I162" t="s">
        <v>941</v>
      </c>
      <c r="J162" t="str">
        <f>IF(ISBLANK(Table1[[#This Row],[PaidDate]]),"Unpaid",IF(Table1[[#This Row],[PaidDate]]&gt;Table1[[#This Row],[DueDate]],"Late",IF(Table1[[#This Row],[PaidDate]]&lt;Table1[[#This Row],[DueDate]],"Early","On Time")))</f>
        <v>Unpaid</v>
      </c>
      <c r="K162" t="str">
        <f ca="1">IF(AND(Table1[[#This Row],[Status]]&lt;&gt;"Paid",TODAY()&gt;Table1[[#This Row],[DueDate]]),"Overdue","OK")</f>
        <v>Overdue</v>
      </c>
    </row>
    <row r="163" spans="1:11" x14ac:dyDescent="0.3">
      <c r="A163" t="s">
        <v>1107</v>
      </c>
      <c r="B163" t="s">
        <v>940</v>
      </c>
      <c r="C163" s="1">
        <v>45734</v>
      </c>
      <c r="D163" s="1">
        <v>45764</v>
      </c>
      <c r="E163" s="2">
        <v>3580.35</v>
      </c>
      <c r="F163" t="s">
        <v>28</v>
      </c>
      <c r="G163" t="s">
        <v>12</v>
      </c>
      <c r="I163" t="s">
        <v>941</v>
      </c>
      <c r="J163" t="str">
        <f>IF(ISBLANK(Table1[[#This Row],[PaidDate]]),"Unpaid",IF(Table1[[#This Row],[PaidDate]]&gt;Table1[[#This Row],[DueDate]],"Late",IF(Table1[[#This Row],[PaidDate]]&lt;Table1[[#This Row],[DueDate]],"Early","On Time")))</f>
        <v>Unpaid</v>
      </c>
      <c r="K163" t="str">
        <f ca="1">IF(AND(Table1[[#This Row],[Status]]&lt;&gt;"Paid",TODAY()&gt;Table1[[#This Row],[DueDate]]),"Overdue","OK")</f>
        <v>Overdue</v>
      </c>
    </row>
    <row r="164" spans="1:11" x14ac:dyDescent="0.3">
      <c r="A164" t="s">
        <v>1108</v>
      </c>
      <c r="B164" t="s">
        <v>966</v>
      </c>
      <c r="C164" s="1">
        <v>45325</v>
      </c>
      <c r="D164" s="1">
        <v>45355</v>
      </c>
      <c r="E164" s="2">
        <v>3588.69</v>
      </c>
      <c r="F164" t="s">
        <v>28</v>
      </c>
      <c r="G164" t="s">
        <v>12</v>
      </c>
      <c r="I164" t="s">
        <v>941</v>
      </c>
      <c r="J164" t="str">
        <f>IF(ISBLANK(Table1[[#This Row],[PaidDate]]),"Unpaid",IF(Table1[[#This Row],[PaidDate]]&gt;Table1[[#This Row],[DueDate]],"Late",IF(Table1[[#This Row],[PaidDate]]&lt;Table1[[#This Row],[DueDate]],"Early","On Time")))</f>
        <v>Unpaid</v>
      </c>
      <c r="K164" t="str">
        <f ca="1">IF(AND(Table1[[#This Row],[Status]]&lt;&gt;"Paid",TODAY()&gt;Table1[[#This Row],[DueDate]]),"Overdue","OK")</f>
        <v>Overdue</v>
      </c>
    </row>
    <row r="165" spans="1:11" x14ac:dyDescent="0.3">
      <c r="A165" t="s">
        <v>1109</v>
      </c>
      <c r="B165" t="s">
        <v>966</v>
      </c>
      <c r="C165" s="1">
        <v>45586</v>
      </c>
      <c r="D165" s="1">
        <v>45616</v>
      </c>
      <c r="E165" s="2">
        <v>2407.4</v>
      </c>
      <c r="F165" t="s">
        <v>26</v>
      </c>
      <c r="G165" t="s">
        <v>12</v>
      </c>
      <c r="I165" t="s">
        <v>941</v>
      </c>
      <c r="J165" t="str">
        <f>IF(ISBLANK(Table1[[#This Row],[PaidDate]]),"Unpaid",IF(Table1[[#This Row],[PaidDate]]&gt;Table1[[#This Row],[DueDate]],"Late",IF(Table1[[#This Row],[PaidDate]]&lt;Table1[[#This Row],[DueDate]],"Early","On Time")))</f>
        <v>Unpaid</v>
      </c>
      <c r="K165" t="str">
        <f ca="1">IF(AND(Table1[[#This Row],[Status]]&lt;&gt;"Paid",TODAY()&gt;Table1[[#This Row],[DueDate]]),"Overdue","OK")</f>
        <v>Overdue</v>
      </c>
    </row>
    <row r="166" spans="1:11" x14ac:dyDescent="0.3">
      <c r="A166" t="s">
        <v>1110</v>
      </c>
      <c r="B166" t="s">
        <v>966</v>
      </c>
      <c r="C166" s="1">
        <v>45017</v>
      </c>
      <c r="D166" s="1">
        <v>45047</v>
      </c>
      <c r="E166" s="2">
        <v>649.78</v>
      </c>
      <c r="F166" t="s">
        <v>26</v>
      </c>
      <c r="G166" t="s">
        <v>12</v>
      </c>
      <c r="I166" t="s">
        <v>941</v>
      </c>
      <c r="J166" t="str">
        <f>IF(ISBLANK(Table1[[#This Row],[PaidDate]]),"Unpaid",IF(Table1[[#This Row],[PaidDate]]&gt;Table1[[#This Row],[DueDate]],"Late",IF(Table1[[#This Row],[PaidDate]]&lt;Table1[[#This Row],[DueDate]],"Early","On Time")))</f>
        <v>Unpaid</v>
      </c>
      <c r="K166" t="str">
        <f ca="1">IF(AND(Table1[[#This Row],[Status]]&lt;&gt;"Paid",TODAY()&gt;Table1[[#This Row],[DueDate]]),"Overdue","OK")</f>
        <v>Overdue</v>
      </c>
    </row>
    <row r="167" spans="1:11" x14ac:dyDescent="0.3">
      <c r="A167" t="s">
        <v>1111</v>
      </c>
      <c r="B167" t="s">
        <v>946</v>
      </c>
      <c r="C167" s="1">
        <v>45549</v>
      </c>
      <c r="D167" s="1">
        <v>45579</v>
      </c>
      <c r="E167" s="2">
        <v>143.83000000000001</v>
      </c>
      <c r="F167" t="s">
        <v>26</v>
      </c>
      <c r="G167" t="s">
        <v>951</v>
      </c>
      <c r="H167" s="1">
        <v>45579</v>
      </c>
      <c r="I167" t="s">
        <v>941</v>
      </c>
      <c r="J167" t="str">
        <f>IF(ISBLANK(Table1[[#This Row],[PaidDate]]),"Unpaid",IF(Table1[[#This Row],[PaidDate]]&gt;Table1[[#This Row],[DueDate]],"Late",IF(Table1[[#This Row],[PaidDate]]&lt;Table1[[#This Row],[DueDate]],"Early","On Time")))</f>
        <v>On Time</v>
      </c>
      <c r="K167" t="str">
        <f ca="1">IF(AND(Table1[[#This Row],[Status]]&lt;&gt;"Paid",TODAY()&gt;Table1[[#This Row],[DueDate]]),"Overdue","OK")</f>
        <v>OK</v>
      </c>
    </row>
    <row r="168" spans="1:11" x14ac:dyDescent="0.3">
      <c r="A168" t="s">
        <v>1112</v>
      </c>
      <c r="B168" t="s">
        <v>962</v>
      </c>
      <c r="C168" s="1">
        <v>45813</v>
      </c>
      <c r="D168" s="1">
        <v>45843</v>
      </c>
      <c r="E168" s="2">
        <v>1041.99</v>
      </c>
      <c r="F168" t="s">
        <v>11</v>
      </c>
      <c r="G168" t="s">
        <v>17</v>
      </c>
      <c r="I168" t="s">
        <v>941</v>
      </c>
      <c r="J168" t="str">
        <f>IF(ISBLANK(Table1[[#This Row],[PaidDate]]),"Unpaid",IF(Table1[[#This Row],[PaidDate]]&gt;Table1[[#This Row],[DueDate]],"Late",IF(Table1[[#This Row],[PaidDate]]&lt;Table1[[#This Row],[DueDate]],"Early","On Time")))</f>
        <v>Unpaid</v>
      </c>
      <c r="K168" t="str">
        <f ca="1">IF(AND(Table1[[#This Row],[Status]]&lt;&gt;"Paid",TODAY()&gt;Table1[[#This Row],[DueDate]]),"Overdue","OK")</f>
        <v>Overdue</v>
      </c>
    </row>
    <row r="169" spans="1:11" x14ac:dyDescent="0.3">
      <c r="A169" t="s">
        <v>1113</v>
      </c>
      <c r="B169" t="s">
        <v>940</v>
      </c>
      <c r="C169" s="1">
        <v>45088</v>
      </c>
      <c r="D169" s="1">
        <v>45118</v>
      </c>
      <c r="E169" s="2">
        <v>2826</v>
      </c>
      <c r="F169" t="s">
        <v>26</v>
      </c>
      <c r="G169" t="s">
        <v>17</v>
      </c>
      <c r="I169" t="s">
        <v>941</v>
      </c>
      <c r="J169" t="str">
        <f>IF(ISBLANK(Table1[[#This Row],[PaidDate]]),"Unpaid",IF(Table1[[#This Row],[PaidDate]]&gt;Table1[[#This Row],[DueDate]],"Late",IF(Table1[[#This Row],[PaidDate]]&lt;Table1[[#This Row],[DueDate]],"Early","On Time")))</f>
        <v>Unpaid</v>
      </c>
      <c r="K169" t="str">
        <f ca="1">IF(AND(Table1[[#This Row],[Status]]&lt;&gt;"Paid",TODAY()&gt;Table1[[#This Row],[DueDate]]),"Overdue","OK")</f>
        <v>Overdue</v>
      </c>
    </row>
    <row r="170" spans="1:11" x14ac:dyDescent="0.3">
      <c r="A170" t="s">
        <v>1114</v>
      </c>
      <c r="B170" t="s">
        <v>940</v>
      </c>
      <c r="C170" s="1">
        <v>45637</v>
      </c>
      <c r="D170" s="1">
        <v>45667</v>
      </c>
      <c r="E170" s="2">
        <v>3078.5</v>
      </c>
      <c r="F170" t="s">
        <v>19</v>
      </c>
      <c r="G170" t="s">
        <v>951</v>
      </c>
      <c r="H170" s="1">
        <v>45667</v>
      </c>
      <c r="I170" t="s">
        <v>941</v>
      </c>
      <c r="J170" t="str">
        <f>IF(ISBLANK(Table1[[#This Row],[PaidDate]]),"Unpaid",IF(Table1[[#This Row],[PaidDate]]&gt;Table1[[#This Row],[DueDate]],"Late",IF(Table1[[#This Row],[PaidDate]]&lt;Table1[[#This Row],[DueDate]],"Early","On Time")))</f>
        <v>On Time</v>
      </c>
      <c r="K170" t="str">
        <f ca="1">IF(AND(Table1[[#This Row],[Status]]&lt;&gt;"Paid",TODAY()&gt;Table1[[#This Row],[DueDate]]),"Overdue","OK")</f>
        <v>OK</v>
      </c>
    </row>
    <row r="171" spans="1:11" x14ac:dyDescent="0.3">
      <c r="A171" t="s">
        <v>1115</v>
      </c>
      <c r="B171" t="s">
        <v>944</v>
      </c>
      <c r="C171" s="1">
        <v>45748</v>
      </c>
      <c r="D171" s="1">
        <v>45778</v>
      </c>
      <c r="E171" s="2">
        <v>3139.88</v>
      </c>
      <c r="F171" t="s">
        <v>28</v>
      </c>
      <c r="G171" t="s">
        <v>12</v>
      </c>
      <c r="I171" t="s">
        <v>941</v>
      </c>
      <c r="J171" t="str">
        <f>IF(ISBLANK(Table1[[#This Row],[PaidDate]]),"Unpaid",IF(Table1[[#This Row],[PaidDate]]&gt;Table1[[#This Row],[DueDate]],"Late",IF(Table1[[#This Row],[PaidDate]]&lt;Table1[[#This Row],[DueDate]],"Early","On Time")))</f>
        <v>Unpaid</v>
      </c>
      <c r="K171" t="str">
        <f ca="1">IF(AND(Table1[[#This Row],[Status]]&lt;&gt;"Paid",TODAY()&gt;Table1[[#This Row],[DueDate]]),"Overdue","OK")</f>
        <v>Overdue</v>
      </c>
    </row>
    <row r="172" spans="1:11" x14ac:dyDescent="0.3">
      <c r="A172" t="s">
        <v>1116</v>
      </c>
      <c r="B172" t="s">
        <v>966</v>
      </c>
      <c r="C172" s="1">
        <v>45043</v>
      </c>
      <c r="D172" s="1">
        <v>45073</v>
      </c>
      <c r="E172" s="2">
        <v>4899.6400000000003</v>
      </c>
      <c r="F172" t="s">
        <v>28</v>
      </c>
      <c r="G172" t="s">
        <v>951</v>
      </c>
      <c r="H172" s="1">
        <v>45073</v>
      </c>
      <c r="I172" t="s">
        <v>941</v>
      </c>
      <c r="J172" t="str">
        <f>IF(ISBLANK(Table1[[#This Row],[PaidDate]]),"Unpaid",IF(Table1[[#This Row],[PaidDate]]&gt;Table1[[#This Row],[DueDate]],"Late",IF(Table1[[#This Row],[PaidDate]]&lt;Table1[[#This Row],[DueDate]],"Early","On Time")))</f>
        <v>On Time</v>
      </c>
      <c r="K172" t="str">
        <f ca="1">IF(AND(Table1[[#This Row],[Status]]&lt;&gt;"Paid",TODAY()&gt;Table1[[#This Row],[DueDate]]),"Overdue","OK")</f>
        <v>OK</v>
      </c>
    </row>
    <row r="173" spans="1:11" x14ac:dyDescent="0.3">
      <c r="A173" t="s">
        <v>1117</v>
      </c>
      <c r="B173" t="s">
        <v>940</v>
      </c>
      <c r="C173" s="1">
        <v>45635</v>
      </c>
      <c r="D173" s="1">
        <v>45665</v>
      </c>
      <c r="E173" s="2">
        <v>3205.33</v>
      </c>
      <c r="F173" t="s">
        <v>11</v>
      </c>
      <c r="G173" t="s">
        <v>12</v>
      </c>
      <c r="I173" t="s">
        <v>941</v>
      </c>
      <c r="J173" t="str">
        <f>IF(ISBLANK(Table1[[#This Row],[PaidDate]]),"Unpaid",IF(Table1[[#This Row],[PaidDate]]&gt;Table1[[#This Row],[DueDate]],"Late",IF(Table1[[#This Row],[PaidDate]]&lt;Table1[[#This Row],[DueDate]],"Early","On Time")))</f>
        <v>Unpaid</v>
      </c>
      <c r="K173" t="str">
        <f ca="1">IF(AND(Table1[[#This Row],[Status]]&lt;&gt;"Paid",TODAY()&gt;Table1[[#This Row],[DueDate]]),"Overdue","OK")</f>
        <v>Overdue</v>
      </c>
    </row>
    <row r="174" spans="1:11" x14ac:dyDescent="0.3">
      <c r="A174" t="s">
        <v>1118</v>
      </c>
      <c r="B174" t="s">
        <v>946</v>
      </c>
      <c r="C174" s="1">
        <v>45605</v>
      </c>
      <c r="D174" s="1">
        <v>45635</v>
      </c>
      <c r="E174" s="2">
        <v>1285.77</v>
      </c>
      <c r="F174" t="s">
        <v>11</v>
      </c>
      <c r="G174" t="s">
        <v>12</v>
      </c>
      <c r="I174" t="s">
        <v>941</v>
      </c>
      <c r="J174" t="str">
        <f>IF(ISBLANK(Table1[[#This Row],[PaidDate]]),"Unpaid",IF(Table1[[#This Row],[PaidDate]]&gt;Table1[[#This Row],[DueDate]],"Late",IF(Table1[[#This Row],[PaidDate]]&lt;Table1[[#This Row],[DueDate]],"Early","On Time")))</f>
        <v>Unpaid</v>
      </c>
      <c r="K174" t="str">
        <f ca="1">IF(AND(Table1[[#This Row],[Status]]&lt;&gt;"Paid",TODAY()&gt;Table1[[#This Row],[DueDate]]),"Overdue","OK")</f>
        <v>Overdue</v>
      </c>
    </row>
    <row r="175" spans="1:11" x14ac:dyDescent="0.3">
      <c r="A175" t="s">
        <v>1119</v>
      </c>
      <c r="B175" t="s">
        <v>940</v>
      </c>
      <c r="C175" s="1">
        <v>45828</v>
      </c>
      <c r="D175" s="1">
        <v>45858</v>
      </c>
      <c r="E175" s="2">
        <v>216.78</v>
      </c>
      <c r="F175" t="s">
        <v>11</v>
      </c>
      <c r="G175" t="s">
        <v>12</v>
      </c>
      <c r="I175" t="s">
        <v>941</v>
      </c>
      <c r="J175" t="str">
        <f>IF(ISBLANK(Table1[[#This Row],[PaidDate]]),"Unpaid",IF(Table1[[#This Row],[PaidDate]]&gt;Table1[[#This Row],[DueDate]],"Late",IF(Table1[[#This Row],[PaidDate]]&lt;Table1[[#This Row],[DueDate]],"Early","On Time")))</f>
        <v>Unpaid</v>
      </c>
      <c r="K175" t="str">
        <f ca="1">IF(AND(Table1[[#This Row],[Status]]&lt;&gt;"Paid",TODAY()&gt;Table1[[#This Row],[DueDate]]),"Overdue","OK")</f>
        <v>Overdue</v>
      </c>
    </row>
    <row r="176" spans="1:11" x14ac:dyDescent="0.3">
      <c r="A176" t="s">
        <v>1120</v>
      </c>
      <c r="B176" t="s">
        <v>966</v>
      </c>
      <c r="C176" s="1">
        <v>44990</v>
      </c>
      <c r="D176" s="1">
        <v>45020</v>
      </c>
      <c r="E176" s="2">
        <v>4512.7700000000004</v>
      </c>
      <c r="F176" t="s">
        <v>26</v>
      </c>
      <c r="G176" t="s">
        <v>12</v>
      </c>
      <c r="I176" t="s">
        <v>941</v>
      </c>
      <c r="J176" t="str">
        <f>IF(ISBLANK(Table1[[#This Row],[PaidDate]]),"Unpaid",IF(Table1[[#This Row],[PaidDate]]&gt;Table1[[#This Row],[DueDate]],"Late",IF(Table1[[#This Row],[PaidDate]]&lt;Table1[[#This Row],[DueDate]],"Early","On Time")))</f>
        <v>Unpaid</v>
      </c>
      <c r="K176" t="str">
        <f ca="1">IF(AND(Table1[[#This Row],[Status]]&lt;&gt;"Paid",TODAY()&gt;Table1[[#This Row],[DueDate]]),"Overdue","OK")</f>
        <v>Overdue</v>
      </c>
    </row>
    <row r="177" spans="1:11" x14ac:dyDescent="0.3">
      <c r="A177" t="s">
        <v>1121</v>
      </c>
      <c r="B177" t="s">
        <v>944</v>
      </c>
      <c r="C177" s="1">
        <v>45241</v>
      </c>
      <c r="D177" s="1">
        <v>45271</v>
      </c>
      <c r="E177" s="2">
        <v>4283.63</v>
      </c>
      <c r="F177" t="s">
        <v>28</v>
      </c>
      <c r="G177" t="s">
        <v>951</v>
      </c>
      <c r="H177" s="1">
        <v>45271</v>
      </c>
      <c r="I177" t="s">
        <v>941</v>
      </c>
      <c r="J177" t="str">
        <f>IF(ISBLANK(Table1[[#This Row],[PaidDate]]),"Unpaid",IF(Table1[[#This Row],[PaidDate]]&gt;Table1[[#This Row],[DueDate]],"Late",IF(Table1[[#This Row],[PaidDate]]&lt;Table1[[#This Row],[DueDate]],"Early","On Time")))</f>
        <v>On Time</v>
      </c>
      <c r="K177" t="str">
        <f ca="1">IF(AND(Table1[[#This Row],[Status]]&lt;&gt;"Paid",TODAY()&gt;Table1[[#This Row],[DueDate]]),"Overdue","OK")</f>
        <v>OK</v>
      </c>
    </row>
    <row r="178" spans="1:11" x14ac:dyDescent="0.3">
      <c r="A178" t="s">
        <v>1122</v>
      </c>
      <c r="B178" t="s">
        <v>940</v>
      </c>
      <c r="C178" s="1">
        <v>45564</v>
      </c>
      <c r="D178" s="1">
        <v>45594</v>
      </c>
      <c r="E178" s="2">
        <v>370.46</v>
      </c>
      <c r="F178" t="s">
        <v>26</v>
      </c>
      <c r="G178" t="s">
        <v>951</v>
      </c>
      <c r="H178" s="1">
        <v>45594</v>
      </c>
      <c r="I178" t="s">
        <v>941</v>
      </c>
      <c r="J178" t="str">
        <f>IF(ISBLANK(Table1[[#This Row],[PaidDate]]),"Unpaid",IF(Table1[[#This Row],[PaidDate]]&gt;Table1[[#This Row],[DueDate]],"Late",IF(Table1[[#This Row],[PaidDate]]&lt;Table1[[#This Row],[DueDate]],"Early","On Time")))</f>
        <v>On Time</v>
      </c>
      <c r="K178" t="str">
        <f ca="1">IF(AND(Table1[[#This Row],[Status]]&lt;&gt;"Paid",TODAY()&gt;Table1[[#This Row],[DueDate]]),"Overdue","OK")</f>
        <v>OK</v>
      </c>
    </row>
    <row r="179" spans="1:11" x14ac:dyDescent="0.3">
      <c r="A179" t="s">
        <v>1123</v>
      </c>
      <c r="B179" t="s">
        <v>962</v>
      </c>
      <c r="C179" s="1">
        <v>45453</v>
      </c>
      <c r="D179" s="1">
        <v>45483</v>
      </c>
      <c r="E179" s="2">
        <v>3313.07</v>
      </c>
      <c r="F179" t="s">
        <v>16</v>
      </c>
      <c r="G179" t="s">
        <v>17</v>
      </c>
      <c r="I179" t="s">
        <v>941</v>
      </c>
      <c r="J179" t="str">
        <f>IF(ISBLANK(Table1[[#This Row],[PaidDate]]),"Unpaid",IF(Table1[[#This Row],[PaidDate]]&gt;Table1[[#This Row],[DueDate]],"Late",IF(Table1[[#This Row],[PaidDate]]&lt;Table1[[#This Row],[DueDate]],"Early","On Time")))</f>
        <v>Unpaid</v>
      </c>
      <c r="K179" t="str">
        <f ca="1">IF(AND(Table1[[#This Row],[Status]]&lt;&gt;"Paid",TODAY()&gt;Table1[[#This Row],[DueDate]]),"Overdue","OK")</f>
        <v>Overdue</v>
      </c>
    </row>
    <row r="180" spans="1:11" x14ac:dyDescent="0.3">
      <c r="A180" t="s">
        <v>1124</v>
      </c>
      <c r="B180" t="s">
        <v>946</v>
      </c>
      <c r="C180" s="1">
        <v>45253</v>
      </c>
      <c r="D180" s="1">
        <v>45283</v>
      </c>
      <c r="E180" s="2">
        <v>4616.42</v>
      </c>
      <c r="F180" t="s">
        <v>11</v>
      </c>
      <c r="G180" t="s">
        <v>951</v>
      </c>
      <c r="H180" s="1">
        <v>45283</v>
      </c>
      <c r="I180" t="s">
        <v>941</v>
      </c>
      <c r="J180" t="str">
        <f>IF(ISBLANK(Table1[[#This Row],[PaidDate]]),"Unpaid",IF(Table1[[#This Row],[PaidDate]]&gt;Table1[[#This Row],[DueDate]],"Late",IF(Table1[[#This Row],[PaidDate]]&lt;Table1[[#This Row],[DueDate]],"Early","On Time")))</f>
        <v>On Time</v>
      </c>
      <c r="K180" t="str">
        <f ca="1">IF(AND(Table1[[#This Row],[Status]]&lt;&gt;"Paid",TODAY()&gt;Table1[[#This Row],[DueDate]]),"Overdue","OK")</f>
        <v>OK</v>
      </c>
    </row>
    <row r="181" spans="1:11" x14ac:dyDescent="0.3">
      <c r="A181" t="s">
        <v>1125</v>
      </c>
      <c r="B181" t="s">
        <v>946</v>
      </c>
      <c r="C181" s="1">
        <v>44998</v>
      </c>
      <c r="D181" s="1">
        <v>45028</v>
      </c>
      <c r="E181" s="2">
        <v>1731.08</v>
      </c>
      <c r="F181" t="s">
        <v>11</v>
      </c>
      <c r="G181" t="s">
        <v>17</v>
      </c>
      <c r="I181" t="s">
        <v>941</v>
      </c>
      <c r="J181" t="str">
        <f>IF(ISBLANK(Table1[[#This Row],[PaidDate]]),"Unpaid",IF(Table1[[#This Row],[PaidDate]]&gt;Table1[[#This Row],[DueDate]],"Late",IF(Table1[[#This Row],[PaidDate]]&lt;Table1[[#This Row],[DueDate]],"Early","On Time")))</f>
        <v>Unpaid</v>
      </c>
      <c r="K181" t="str">
        <f ca="1">IF(AND(Table1[[#This Row],[Status]]&lt;&gt;"Paid",TODAY()&gt;Table1[[#This Row],[DueDate]]),"Overdue","OK")</f>
        <v>Overdue</v>
      </c>
    </row>
    <row r="182" spans="1:11" x14ac:dyDescent="0.3">
      <c r="A182" t="s">
        <v>1126</v>
      </c>
      <c r="B182" t="s">
        <v>940</v>
      </c>
      <c r="C182" s="1">
        <v>45693</v>
      </c>
      <c r="D182" s="1">
        <v>45723</v>
      </c>
      <c r="E182" s="2">
        <v>4027.83</v>
      </c>
      <c r="F182" t="s">
        <v>26</v>
      </c>
      <c r="G182" t="s">
        <v>12</v>
      </c>
      <c r="I182" t="s">
        <v>941</v>
      </c>
      <c r="J182" t="str">
        <f>IF(ISBLANK(Table1[[#This Row],[PaidDate]]),"Unpaid",IF(Table1[[#This Row],[PaidDate]]&gt;Table1[[#This Row],[DueDate]],"Late",IF(Table1[[#This Row],[PaidDate]]&lt;Table1[[#This Row],[DueDate]],"Early","On Time")))</f>
        <v>Unpaid</v>
      </c>
      <c r="K182" t="str">
        <f ca="1">IF(AND(Table1[[#This Row],[Status]]&lt;&gt;"Paid",TODAY()&gt;Table1[[#This Row],[DueDate]]),"Overdue","OK")</f>
        <v>Overdue</v>
      </c>
    </row>
    <row r="183" spans="1:11" x14ac:dyDescent="0.3">
      <c r="A183" t="s">
        <v>1127</v>
      </c>
      <c r="B183" t="s">
        <v>966</v>
      </c>
      <c r="C183" s="1">
        <v>45498</v>
      </c>
      <c r="D183" s="1">
        <v>45528</v>
      </c>
      <c r="E183" s="2">
        <v>1770.47</v>
      </c>
      <c r="F183" t="s">
        <v>26</v>
      </c>
      <c r="G183" t="s">
        <v>951</v>
      </c>
      <c r="H183" s="1">
        <v>45528</v>
      </c>
      <c r="I183" t="s">
        <v>941</v>
      </c>
      <c r="J183" t="str">
        <f>IF(ISBLANK(Table1[[#This Row],[PaidDate]]),"Unpaid",IF(Table1[[#This Row],[PaidDate]]&gt;Table1[[#This Row],[DueDate]],"Late",IF(Table1[[#This Row],[PaidDate]]&lt;Table1[[#This Row],[DueDate]],"Early","On Time")))</f>
        <v>On Time</v>
      </c>
      <c r="K183" t="str">
        <f ca="1">IF(AND(Table1[[#This Row],[Status]]&lt;&gt;"Paid",TODAY()&gt;Table1[[#This Row],[DueDate]]),"Overdue","OK")</f>
        <v>OK</v>
      </c>
    </row>
    <row r="184" spans="1:11" x14ac:dyDescent="0.3">
      <c r="A184" t="s">
        <v>1128</v>
      </c>
      <c r="B184" t="s">
        <v>944</v>
      </c>
      <c r="C184" s="1">
        <v>45646</v>
      </c>
      <c r="D184" s="1">
        <v>45676</v>
      </c>
      <c r="E184" s="2">
        <v>4140.83</v>
      </c>
      <c r="F184" t="s">
        <v>16</v>
      </c>
      <c r="G184" t="s">
        <v>951</v>
      </c>
      <c r="H184" s="1">
        <v>45676</v>
      </c>
      <c r="I184" t="s">
        <v>941</v>
      </c>
      <c r="J184" t="str">
        <f>IF(ISBLANK(Table1[[#This Row],[PaidDate]]),"Unpaid",IF(Table1[[#This Row],[PaidDate]]&gt;Table1[[#This Row],[DueDate]],"Late",IF(Table1[[#This Row],[PaidDate]]&lt;Table1[[#This Row],[DueDate]],"Early","On Time")))</f>
        <v>On Time</v>
      </c>
      <c r="K184" t="str">
        <f ca="1">IF(AND(Table1[[#This Row],[Status]]&lt;&gt;"Paid",TODAY()&gt;Table1[[#This Row],[DueDate]]),"Overdue","OK")</f>
        <v>OK</v>
      </c>
    </row>
    <row r="185" spans="1:11" x14ac:dyDescent="0.3">
      <c r="A185" t="s">
        <v>1129</v>
      </c>
      <c r="B185" t="s">
        <v>946</v>
      </c>
      <c r="C185" s="1">
        <v>45763</v>
      </c>
      <c r="D185" s="1">
        <v>45793</v>
      </c>
      <c r="E185" s="2">
        <v>606.74</v>
      </c>
      <c r="F185" t="s">
        <v>16</v>
      </c>
      <c r="G185" t="s">
        <v>12</v>
      </c>
      <c r="I185" t="s">
        <v>941</v>
      </c>
      <c r="J185" t="str">
        <f>IF(ISBLANK(Table1[[#This Row],[PaidDate]]),"Unpaid",IF(Table1[[#This Row],[PaidDate]]&gt;Table1[[#This Row],[DueDate]],"Late",IF(Table1[[#This Row],[PaidDate]]&lt;Table1[[#This Row],[DueDate]],"Early","On Time")))</f>
        <v>Unpaid</v>
      </c>
      <c r="K185" t="str">
        <f ca="1">IF(AND(Table1[[#This Row],[Status]]&lt;&gt;"Paid",TODAY()&gt;Table1[[#This Row],[DueDate]]),"Overdue","OK")</f>
        <v>Overdue</v>
      </c>
    </row>
    <row r="186" spans="1:11" x14ac:dyDescent="0.3">
      <c r="A186" t="s">
        <v>1130</v>
      </c>
      <c r="B186" t="s">
        <v>966</v>
      </c>
      <c r="C186" s="1">
        <v>44961</v>
      </c>
      <c r="D186" s="1">
        <v>44991</v>
      </c>
      <c r="E186" s="2">
        <v>3488.56</v>
      </c>
      <c r="F186" t="s">
        <v>19</v>
      </c>
      <c r="G186" t="s">
        <v>17</v>
      </c>
      <c r="I186" t="s">
        <v>941</v>
      </c>
      <c r="J186" t="str">
        <f>IF(ISBLANK(Table1[[#This Row],[PaidDate]]),"Unpaid",IF(Table1[[#This Row],[PaidDate]]&gt;Table1[[#This Row],[DueDate]],"Late",IF(Table1[[#This Row],[PaidDate]]&lt;Table1[[#This Row],[DueDate]],"Early","On Time")))</f>
        <v>Unpaid</v>
      </c>
      <c r="K186" t="str">
        <f ca="1">IF(AND(Table1[[#This Row],[Status]]&lt;&gt;"Paid",TODAY()&gt;Table1[[#This Row],[DueDate]]),"Overdue","OK")</f>
        <v>Overdue</v>
      </c>
    </row>
    <row r="187" spans="1:11" x14ac:dyDescent="0.3">
      <c r="A187" t="s">
        <v>1131</v>
      </c>
      <c r="B187" t="s">
        <v>946</v>
      </c>
      <c r="C187" s="1">
        <v>45830</v>
      </c>
      <c r="D187" s="1">
        <v>45860</v>
      </c>
      <c r="E187" s="2">
        <v>816.61</v>
      </c>
      <c r="F187" t="s">
        <v>26</v>
      </c>
      <c r="G187" t="s">
        <v>17</v>
      </c>
      <c r="I187" t="s">
        <v>941</v>
      </c>
      <c r="J187" t="str">
        <f>IF(ISBLANK(Table1[[#This Row],[PaidDate]]),"Unpaid",IF(Table1[[#This Row],[PaidDate]]&gt;Table1[[#This Row],[DueDate]],"Late",IF(Table1[[#This Row],[PaidDate]]&lt;Table1[[#This Row],[DueDate]],"Early","On Time")))</f>
        <v>Unpaid</v>
      </c>
      <c r="K187" t="str">
        <f ca="1">IF(AND(Table1[[#This Row],[Status]]&lt;&gt;"Paid",TODAY()&gt;Table1[[#This Row],[DueDate]]),"Overdue","OK")</f>
        <v>Overdue</v>
      </c>
    </row>
    <row r="188" spans="1:11" x14ac:dyDescent="0.3">
      <c r="A188" t="s">
        <v>1132</v>
      </c>
      <c r="B188" t="s">
        <v>940</v>
      </c>
      <c r="C188" s="1">
        <v>45414</v>
      </c>
      <c r="D188" s="1">
        <v>45444</v>
      </c>
      <c r="E188" s="2">
        <v>2178.88</v>
      </c>
      <c r="F188" t="s">
        <v>19</v>
      </c>
      <c r="G188" t="s">
        <v>951</v>
      </c>
      <c r="H188" s="1">
        <v>45444</v>
      </c>
      <c r="I188" t="s">
        <v>941</v>
      </c>
      <c r="J188" t="str">
        <f>IF(ISBLANK(Table1[[#This Row],[PaidDate]]),"Unpaid",IF(Table1[[#This Row],[PaidDate]]&gt;Table1[[#This Row],[DueDate]],"Late",IF(Table1[[#This Row],[PaidDate]]&lt;Table1[[#This Row],[DueDate]],"Early","On Time")))</f>
        <v>On Time</v>
      </c>
      <c r="K188" t="str">
        <f ca="1">IF(AND(Table1[[#This Row],[Status]]&lt;&gt;"Paid",TODAY()&gt;Table1[[#This Row],[DueDate]]),"Overdue","OK")</f>
        <v>OK</v>
      </c>
    </row>
    <row r="189" spans="1:11" x14ac:dyDescent="0.3">
      <c r="A189" t="s">
        <v>1133</v>
      </c>
      <c r="B189" t="s">
        <v>944</v>
      </c>
      <c r="C189" s="1">
        <v>45279</v>
      </c>
      <c r="D189" s="1">
        <v>45309</v>
      </c>
      <c r="E189" s="2">
        <v>4356.53</v>
      </c>
      <c r="F189" t="s">
        <v>11</v>
      </c>
      <c r="G189" t="s">
        <v>12</v>
      </c>
      <c r="I189" t="s">
        <v>941</v>
      </c>
      <c r="J189" t="str">
        <f>IF(ISBLANK(Table1[[#This Row],[PaidDate]]),"Unpaid",IF(Table1[[#This Row],[PaidDate]]&gt;Table1[[#This Row],[DueDate]],"Late",IF(Table1[[#This Row],[PaidDate]]&lt;Table1[[#This Row],[DueDate]],"Early","On Time")))</f>
        <v>Unpaid</v>
      </c>
      <c r="K189" t="str">
        <f ca="1">IF(AND(Table1[[#This Row],[Status]]&lt;&gt;"Paid",TODAY()&gt;Table1[[#This Row],[DueDate]]),"Overdue","OK")</f>
        <v>Overdue</v>
      </c>
    </row>
    <row r="190" spans="1:11" x14ac:dyDescent="0.3">
      <c r="A190" t="s">
        <v>1134</v>
      </c>
      <c r="B190" t="s">
        <v>940</v>
      </c>
      <c r="C190" s="1">
        <v>45399</v>
      </c>
      <c r="D190" s="1">
        <v>45429</v>
      </c>
      <c r="E190" s="2">
        <v>2905.63</v>
      </c>
      <c r="F190" t="s">
        <v>28</v>
      </c>
      <c r="G190" t="s">
        <v>17</v>
      </c>
      <c r="I190" t="s">
        <v>941</v>
      </c>
      <c r="J190" t="str">
        <f>IF(ISBLANK(Table1[[#This Row],[PaidDate]]),"Unpaid",IF(Table1[[#This Row],[PaidDate]]&gt;Table1[[#This Row],[DueDate]],"Late",IF(Table1[[#This Row],[PaidDate]]&lt;Table1[[#This Row],[DueDate]],"Early","On Time")))</f>
        <v>Unpaid</v>
      </c>
      <c r="K190" t="str">
        <f ca="1">IF(AND(Table1[[#This Row],[Status]]&lt;&gt;"Paid",TODAY()&gt;Table1[[#This Row],[DueDate]]),"Overdue","OK")</f>
        <v>Overdue</v>
      </c>
    </row>
    <row r="191" spans="1:11" x14ac:dyDescent="0.3">
      <c r="A191" t="s">
        <v>1135</v>
      </c>
      <c r="B191" t="s">
        <v>962</v>
      </c>
      <c r="C191" s="1">
        <v>45414</v>
      </c>
      <c r="D191" s="1">
        <v>45444</v>
      </c>
      <c r="E191" s="2">
        <v>940.95</v>
      </c>
      <c r="F191" t="s">
        <v>26</v>
      </c>
      <c r="G191" t="s">
        <v>951</v>
      </c>
      <c r="H191" s="1">
        <v>45444</v>
      </c>
      <c r="I191" t="s">
        <v>941</v>
      </c>
      <c r="J191" t="str">
        <f>IF(ISBLANK(Table1[[#This Row],[PaidDate]]),"Unpaid",IF(Table1[[#This Row],[PaidDate]]&gt;Table1[[#This Row],[DueDate]],"Late",IF(Table1[[#This Row],[PaidDate]]&lt;Table1[[#This Row],[DueDate]],"Early","On Time")))</f>
        <v>On Time</v>
      </c>
      <c r="K191" t="str">
        <f ca="1">IF(AND(Table1[[#This Row],[Status]]&lt;&gt;"Paid",TODAY()&gt;Table1[[#This Row],[DueDate]]),"Overdue","OK")</f>
        <v>OK</v>
      </c>
    </row>
    <row r="192" spans="1:11" x14ac:dyDescent="0.3">
      <c r="A192" t="s">
        <v>1136</v>
      </c>
      <c r="B192" t="s">
        <v>946</v>
      </c>
      <c r="C192" s="1">
        <v>44974</v>
      </c>
      <c r="D192" s="1">
        <v>45004</v>
      </c>
      <c r="E192" s="2">
        <v>4744.18</v>
      </c>
      <c r="F192" t="s">
        <v>28</v>
      </c>
      <c r="G192" t="s">
        <v>12</v>
      </c>
      <c r="I192" t="s">
        <v>941</v>
      </c>
      <c r="J192" t="str">
        <f>IF(ISBLANK(Table1[[#This Row],[PaidDate]]),"Unpaid",IF(Table1[[#This Row],[PaidDate]]&gt;Table1[[#This Row],[DueDate]],"Late",IF(Table1[[#This Row],[PaidDate]]&lt;Table1[[#This Row],[DueDate]],"Early","On Time")))</f>
        <v>Unpaid</v>
      </c>
      <c r="K192" t="str">
        <f ca="1">IF(AND(Table1[[#This Row],[Status]]&lt;&gt;"Paid",TODAY()&gt;Table1[[#This Row],[DueDate]]),"Overdue","OK")</f>
        <v>Overdue</v>
      </c>
    </row>
    <row r="193" spans="1:11" x14ac:dyDescent="0.3">
      <c r="A193" t="s">
        <v>1137</v>
      </c>
      <c r="B193" t="s">
        <v>962</v>
      </c>
      <c r="C193" s="1">
        <v>45710</v>
      </c>
      <c r="D193" s="1">
        <v>45740</v>
      </c>
      <c r="E193" s="2">
        <v>147.49</v>
      </c>
      <c r="F193" t="s">
        <v>28</v>
      </c>
      <c r="G193" t="s">
        <v>951</v>
      </c>
      <c r="H193" s="1">
        <v>45740</v>
      </c>
      <c r="I193" t="s">
        <v>941</v>
      </c>
      <c r="J193" t="str">
        <f>IF(ISBLANK(Table1[[#This Row],[PaidDate]]),"Unpaid",IF(Table1[[#This Row],[PaidDate]]&gt;Table1[[#This Row],[DueDate]],"Late",IF(Table1[[#This Row],[PaidDate]]&lt;Table1[[#This Row],[DueDate]],"Early","On Time")))</f>
        <v>On Time</v>
      </c>
      <c r="K193" t="str">
        <f ca="1">IF(AND(Table1[[#This Row],[Status]]&lt;&gt;"Paid",TODAY()&gt;Table1[[#This Row],[DueDate]]),"Overdue","OK")</f>
        <v>OK</v>
      </c>
    </row>
    <row r="194" spans="1:11" x14ac:dyDescent="0.3">
      <c r="A194" t="s">
        <v>1138</v>
      </c>
      <c r="B194" t="s">
        <v>966</v>
      </c>
      <c r="C194" s="1">
        <v>45817</v>
      </c>
      <c r="D194" s="1">
        <v>45847</v>
      </c>
      <c r="E194" s="2">
        <v>495.23</v>
      </c>
      <c r="F194" t="s">
        <v>26</v>
      </c>
      <c r="G194" t="s">
        <v>12</v>
      </c>
      <c r="I194" t="s">
        <v>941</v>
      </c>
      <c r="J194" t="str">
        <f>IF(ISBLANK(Table1[[#This Row],[PaidDate]]),"Unpaid",IF(Table1[[#This Row],[PaidDate]]&gt;Table1[[#This Row],[DueDate]],"Late",IF(Table1[[#This Row],[PaidDate]]&lt;Table1[[#This Row],[DueDate]],"Early","On Time")))</f>
        <v>Unpaid</v>
      </c>
      <c r="K194" t="str">
        <f ca="1">IF(AND(Table1[[#This Row],[Status]]&lt;&gt;"Paid",TODAY()&gt;Table1[[#This Row],[DueDate]]),"Overdue","OK")</f>
        <v>Overdue</v>
      </c>
    </row>
    <row r="195" spans="1:11" x14ac:dyDescent="0.3">
      <c r="A195" t="s">
        <v>1139</v>
      </c>
      <c r="B195" t="s">
        <v>962</v>
      </c>
      <c r="C195" s="1">
        <v>45076</v>
      </c>
      <c r="D195" s="1">
        <v>45106</v>
      </c>
      <c r="E195" s="2">
        <v>2497.87</v>
      </c>
      <c r="F195" t="s">
        <v>19</v>
      </c>
      <c r="G195" t="s">
        <v>12</v>
      </c>
      <c r="I195" t="s">
        <v>941</v>
      </c>
      <c r="J195" t="str">
        <f>IF(ISBLANK(Table1[[#This Row],[PaidDate]]),"Unpaid",IF(Table1[[#This Row],[PaidDate]]&gt;Table1[[#This Row],[DueDate]],"Late",IF(Table1[[#This Row],[PaidDate]]&lt;Table1[[#This Row],[DueDate]],"Early","On Time")))</f>
        <v>Unpaid</v>
      </c>
      <c r="K195" t="str">
        <f ca="1">IF(AND(Table1[[#This Row],[Status]]&lt;&gt;"Paid",TODAY()&gt;Table1[[#This Row],[DueDate]]),"Overdue","OK")</f>
        <v>Overdue</v>
      </c>
    </row>
    <row r="196" spans="1:11" x14ac:dyDescent="0.3">
      <c r="A196" t="s">
        <v>1140</v>
      </c>
      <c r="B196" t="s">
        <v>966</v>
      </c>
      <c r="C196" s="1">
        <v>45454</v>
      </c>
      <c r="D196" s="1">
        <v>45484</v>
      </c>
      <c r="E196" s="2">
        <v>1407.52</v>
      </c>
      <c r="F196" t="s">
        <v>26</v>
      </c>
      <c r="G196" t="s">
        <v>17</v>
      </c>
      <c r="I196" t="s">
        <v>941</v>
      </c>
      <c r="J196" t="str">
        <f>IF(ISBLANK(Table1[[#This Row],[PaidDate]]),"Unpaid",IF(Table1[[#This Row],[PaidDate]]&gt;Table1[[#This Row],[DueDate]],"Late",IF(Table1[[#This Row],[PaidDate]]&lt;Table1[[#This Row],[DueDate]],"Early","On Time")))</f>
        <v>Unpaid</v>
      </c>
      <c r="K196" t="str">
        <f ca="1">IF(AND(Table1[[#This Row],[Status]]&lt;&gt;"Paid",TODAY()&gt;Table1[[#This Row],[DueDate]]),"Overdue","OK")</f>
        <v>Overdue</v>
      </c>
    </row>
    <row r="197" spans="1:11" x14ac:dyDescent="0.3">
      <c r="A197" t="s">
        <v>1141</v>
      </c>
      <c r="B197" t="s">
        <v>966</v>
      </c>
      <c r="C197" s="1">
        <v>45723</v>
      </c>
      <c r="D197" s="1">
        <v>45753</v>
      </c>
      <c r="E197" s="2">
        <v>2632.28</v>
      </c>
      <c r="F197" t="s">
        <v>28</v>
      </c>
      <c r="G197" t="s">
        <v>12</v>
      </c>
      <c r="I197" t="s">
        <v>941</v>
      </c>
      <c r="J197" t="str">
        <f>IF(ISBLANK(Table1[[#This Row],[PaidDate]]),"Unpaid",IF(Table1[[#This Row],[PaidDate]]&gt;Table1[[#This Row],[DueDate]],"Late",IF(Table1[[#This Row],[PaidDate]]&lt;Table1[[#This Row],[DueDate]],"Early","On Time")))</f>
        <v>Unpaid</v>
      </c>
      <c r="K197" t="str">
        <f ca="1">IF(AND(Table1[[#This Row],[Status]]&lt;&gt;"Paid",TODAY()&gt;Table1[[#This Row],[DueDate]]),"Overdue","OK")</f>
        <v>Overdue</v>
      </c>
    </row>
    <row r="198" spans="1:11" x14ac:dyDescent="0.3">
      <c r="A198" t="s">
        <v>1142</v>
      </c>
      <c r="B198" t="s">
        <v>944</v>
      </c>
      <c r="C198" s="1">
        <v>45384</v>
      </c>
      <c r="D198" s="1">
        <v>45414</v>
      </c>
      <c r="E198" s="2">
        <v>3255.92</v>
      </c>
      <c r="F198" t="s">
        <v>19</v>
      </c>
      <c r="G198" t="s">
        <v>17</v>
      </c>
      <c r="I198" t="s">
        <v>941</v>
      </c>
      <c r="J198" t="str">
        <f>IF(ISBLANK(Table1[[#This Row],[PaidDate]]),"Unpaid",IF(Table1[[#This Row],[PaidDate]]&gt;Table1[[#This Row],[DueDate]],"Late",IF(Table1[[#This Row],[PaidDate]]&lt;Table1[[#This Row],[DueDate]],"Early","On Time")))</f>
        <v>Unpaid</v>
      </c>
      <c r="K198" t="str">
        <f ca="1">IF(AND(Table1[[#This Row],[Status]]&lt;&gt;"Paid",TODAY()&gt;Table1[[#This Row],[DueDate]]),"Overdue","OK")</f>
        <v>Overdue</v>
      </c>
    </row>
    <row r="199" spans="1:11" x14ac:dyDescent="0.3">
      <c r="A199" t="s">
        <v>1143</v>
      </c>
      <c r="B199" t="s">
        <v>940</v>
      </c>
      <c r="C199" s="1">
        <v>45190</v>
      </c>
      <c r="D199" s="1">
        <v>45220</v>
      </c>
      <c r="E199" s="2">
        <v>392.7</v>
      </c>
      <c r="F199" t="s">
        <v>11</v>
      </c>
      <c r="G199" t="s">
        <v>951</v>
      </c>
      <c r="H199" s="1">
        <v>45220</v>
      </c>
      <c r="I199" t="s">
        <v>941</v>
      </c>
      <c r="J199" t="str">
        <f>IF(ISBLANK(Table1[[#This Row],[PaidDate]]),"Unpaid",IF(Table1[[#This Row],[PaidDate]]&gt;Table1[[#This Row],[DueDate]],"Late",IF(Table1[[#This Row],[PaidDate]]&lt;Table1[[#This Row],[DueDate]],"Early","On Time")))</f>
        <v>On Time</v>
      </c>
      <c r="K199" t="str">
        <f ca="1">IF(AND(Table1[[#This Row],[Status]]&lt;&gt;"Paid",TODAY()&gt;Table1[[#This Row],[DueDate]]),"Overdue","OK")</f>
        <v>OK</v>
      </c>
    </row>
    <row r="200" spans="1:11" x14ac:dyDescent="0.3">
      <c r="A200" t="s">
        <v>1144</v>
      </c>
      <c r="B200" t="s">
        <v>944</v>
      </c>
      <c r="C200" s="1">
        <v>45388</v>
      </c>
      <c r="D200" s="1">
        <v>45418</v>
      </c>
      <c r="E200" s="2">
        <v>4366.6499999999996</v>
      </c>
      <c r="F200" t="s">
        <v>11</v>
      </c>
      <c r="G200" t="s">
        <v>12</v>
      </c>
      <c r="I200" t="s">
        <v>941</v>
      </c>
      <c r="J200" t="str">
        <f>IF(ISBLANK(Table1[[#This Row],[PaidDate]]),"Unpaid",IF(Table1[[#This Row],[PaidDate]]&gt;Table1[[#This Row],[DueDate]],"Late",IF(Table1[[#This Row],[PaidDate]]&lt;Table1[[#This Row],[DueDate]],"Early","On Time")))</f>
        <v>Unpaid</v>
      </c>
      <c r="K200" t="str">
        <f ca="1">IF(AND(Table1[[#This Row],[Status]]&lt;&gt;"Paid",TODAY()&gt;Table1[[#This Row],[DueDate]]),"Overdue","OK")</f>
        <v>Overdue</v>
      </c>
    </row>
    <row r="201" spans="1:11" x14ac:dyDescent="0.3">
      <c r="A201" t="s">
        <v>1145</v>
      </c>
      <c r="B201" t="s">
        <v>966</v>
      </c>
      <c r="C201" s="1">
        <v>45372</v>
      </c>
      <c r="D201" s="1">
        <v>45402</v>
      </c>
      <c r="E201" s="2">
        <v>1348.94</v>
      </c>
      <c r="F201" t="s">
        <v>16</v>
      </c>
      <c r="G201" t="s">
        <v>951</v>
      </c>
      <c r="H201" s="1">
        <v>45402</v>
      </c>
      <c r="I201" t="s">
        <v>941</v>
      </c>
      <c r="J201" t="str">
        <f>IF(ISBLANK(Table1[[#This Row],[PaidDate]]),"Unpaid",IF(Table1[[#This Row],[PaidDate]]&gt;Table1[[#This Row],[DueDate]],"Late",IF(Table1[[#This Row],[PaidDate]]&lt;Table1[[#This Row],[DueDate]],"Early","On Time")))</f>
        <v>On Time</v>
      </c>
      <c r="K201" t="str">
        <f ca="1">IF(AND(Table1[[#This Row],[Status]]&lt;&gt;"Paid",TODAY()&gt;Table1[[#This Row],[DueDate]]),"Overdue","OK")</f>
        <v>OK</v>
      </c>
    </row>
    <row r="202" spans="1:11" x14ac:dyDescent="0.3">
      <c r="A202" t="s">
        <v>1146</v>
      </c>
      <c r="B202" t="s">
        <v>962</v>
      </c>
      <c r="C202" s="1">
        <v>45837</v>
      </c>
      <c r="D202" s="1">
        <v>45867</v>
      </c>
      <c r="E202" s="2">
        <v>4373.5200000000004</v>
      </c>
      <c r="F202" t="s">
        <v>19</v>
      </c>
      <c r="G202" t="s">
        <v>17</v>
      </c>
      <c r="I202" t="s">
        <v>941</v>
      </c>
      <c r="J202" t="str">
        <f>IF(ISBLANK(Table1[[#This Row],[PaidDate]]),"Unpaid",IF(Table1[[#This Row],[PaidDate]]&gt;Table1[[#This Row],[DueDate]],"Late",IF(Table1[[#This Row],[PaidDate]]&lt;Table1[[#This Row],[DueDate]],"Early","On Time")))</f>
        <v>Unpaid</v>
      </c>
      <c r="K202" t="str">
        <f ca="1">IF(AND(Table1[[#This Row],[Status]]&lt;&gt;"Paid",TODAY()&gt;Table1[[#This Row],[DueDate]]),"Overdue","OK")</f>
        <v>Overdue</v>
      </c>
    </row>
    <row r="203" spans="1:11" x14ac:dyDescent="0.3">
      <c r="A203" t="s">
        <v>1147</v>
      </c>
      <c r="B203" t="s">
        <v>962</v>
      </c>
      <c r="C203" s="1">
        <v>45232</v>
      </c>
      <c r="D203" s="1">
        <v>45262</v>
      </c>
      <c r="E203" s="2">
        <v>3414.97</v>
      </c>
      <c r="F203" t="s">
        <v>11</v>
      </c>
      <c r="G203" t="s">
        <v>951</v>
      </c>
      <c r="H203" s="1">
        <v>45262</v>
      </c>
      <c r="I203" t="s">
        <v>941</v>
      </c>
      <c r="J203" t="str">
        <f>IF(ISBLANK(Table1[[#This Row],[PaidDate]]),"Unpaid",IF(Table1[[#This Row],[PaidDate]]&gt;Table1[[#This Row],[DueDate]],"Late",IF(Table1[[#This Row],[PaidDate]]&lt;Table1[[#This Row],[DueDate]],"Early","On Time")))</f>
        <v>On Time</v>
      </c>
      <c r="K203" t="str">
        <f ca="1">IF(AND(Table1[[#This Row],[Status]]&lt;&gt;"Paid",TODAY()&gt;Table1[[#This Row],[DueDate]]),"Overdue","OK")</f>
        <v>OK</v>
      </c>
    </row>
    <row r="204" spans="1:11" x14ac:dyDescent="0.3">
      <c r="A204" t="s">
        <v>1148</v>
      </c>
      <c r="B204" t="s">
        <v>962</v>
      </c>
      <c r="C204" s="1">
        <v>45665</v>
      </c>
      <c r="D204" s="1">
        <v>45695</v>
      </c>
      <c r="E204" s="2">
        <v>1646.53</v>
      </c>
      <c r="F204" t="s">
        <v>26</v>
      </c>
      <c r="G204" t="s">
        <v>951</v>
      </c>
      <c r="H204" s="1">
        <v>45695</v>
      </c>
      <c r="I204" t="s">
        <v>941</v>
      </c>
      <c r="J204" t="str">
        <f>IF(ISBLANK(Table1[[#This Row],[PaidDate]]),"Unpaid",IF(Table1[[#This Row],[PaidDate]]&gt;Table1[[#This Row],[DueDate]],"Late",IF(Table1[[#This Row],[PaidDate]]&lt;Table1[[#This Row],[DueDate]],"Early","On Time")))</f>
        <v>On Time</v>
      </c>
      <c r="K204" t="str">
        <f ca="1">IF(AND(Table1[[#This Row],[Status]]&lt;&gt;"Paid",TODAY()&gt;Table1[[#This Row],[DueDate]]),"Overdue","OK")</f>
        <v>OK</v>
      </c>
    </row>
    <row r="205" spans="1:11" x14ac:dyDescent="0.3">
      <c r="A205" t="s">
        <v>1149</v>
      </c>
      <c r="B205" t="s">
        <v>944</v>
      </c>
      <c r="C205" s="1">
        <v>45727</v>
      </c>
      <c r="D205" s="1">
        <v>45757</v>
      </c>
      <c r="E205" s="2">
        <v>2688.88</v>
      </c>
      <c r="F205" t="s">
        <v>16</v>
      </c>
      <c r="G205" t="s">
        <v>17</v>
      </c>
      <c r="I205" t="s">
        <v>941</v>
      </c>
      <c r="J205" t="str">
        <f>IF(ISBLANK(Table1[[#This Row],[PaidDate]]),"Unpaid",IF(Table1[[#This Row],[PaidDate]]&gt;Table1[[#This Row],[DueDate]],"Late",IF(Table1[[#This Row],[PaidDate]]&lt;Table1[[#This Row],[DueDate]],"Early","On Time")))</f>
        <v>Unpaid</v>
      </c>
      <c r="K205" t="str">
        <f ca="1">IF(AND(Table1[[#This Row],[Status]]&lt;&gt;"Paid",TODAY()&gt;Table1[[#This Row],[DueDate]]),"Overdue","OK")</f>
        <v>Overdue</v>
      </c>
    </row>
    <row r="206" spans="1:11" x14ac:dyDescent="0.3">
      <c r="A206" t="s">
        <v>1150</v>
      </c>
      <c r="B206" t="s">
        <v>946</v>
      </c>
      <c r="C206" s="1">
        <v>44933</v>
      </c>
      <c r="D206" s="1">
        <v>44963</v>
      </c>
      <c r="E206" s="2">
        <v>2187.09</v>
      </c>
      <c r="F206" t="s">
        <v>28</v>
      </c>
      <c r="G206" t="s">
        <v>12</v>
      </c>
      <c r="I206" t="s">
        <v>941</v>
      </c>
      <c r="J206" t="str">
        <f>IF(ISBLANK(Table1[[#This Row],[PaidDate]]),"Unpaid",IF(Table1[[#This Row],[PaidDate]]&gt;Table1[[#This Row],[DueDate]],"Late",IF(Table1[[#This Row],[PaidDate]]&lt;Table1[[#This Row],[DueDate]],"Early","On Time")))</f>
        <v>Unpaid</v>
      </c>
      <c r="K206" t="str">
        <f ca="1">IF(AND(Table1[[#This Row],[Status]]&lt;&gt;"Paid",TODAY()&gt;Table1[[#This Row],[DueDate]]),"Overdue","OK")</f>
        <v>Overdue</v>
      </c>
    </row>
    <row r="207" spans="1:11" x14ac:dyDescent="0.3">
      <c r="A207" t="s">
        <v>1151</v>
      </c>
      <c r="B207" t="s">
        <v>966</v>
      </c>
      <c r="C207" s="1">
        <v>45805</v>
      </c>
      <c r="D207" s="1">
        <v>45835</v>
      </c>
      <c r="E207" s="2">
        <v>3171.13</v>
      </c>
      <c r="F207" t="s">
        <v>11</v>
      </c>
      <c r="G207" t="s">
        <v>951</v>
      </c>
      <c r="H207" s="1">
        <v>45835</v>
      </c>
      <c r="I207" t="s">
        <v>941</v>
      </c>
      <c r="J207" t="str">
        <f>IF(ISBLANK(Table1[[#This Row],[PaidDate]]),"Unpaid",IF(Table1[[#This Row],[PaidDate]]&gt;Table1[[#This Row],[DueDate]],"Late",IF(Table1[[#This Row],[PaidDate]]&lt;Table1[[#This Row],[DueDate]],"Early","On Time")))</f>
        <v>On Time</v>
      </c>
      <c r="K207" t="str">
        <f ca="1">IF(AND(Table1[[#This Row],[Status]]&lt;&gt;"Paid",TODAY()&gt;Table1[[#This Row],[DueDate]]),"Overdue","OK")</f>
        <v>OK</v>
      </c>
    </row>
    <row r="208" spans="1:11" x14ac:dyDescent="0.3">
      <c r="A208" t="s">
        <v>1152</v>
      </c>
      <c r="B208" t="s">
        <v>940</v>
      </c>
      <c r="C208" s="1">
        <v>45437</v>
      </c>
      <c r="D208" s="1">
        <v>45467</v>
      </c>
      <c r="E208" s="2">
        <v>2235.4699999999998</v>
      </c>
      <c r="F208" t="s">
        <v>16</v>
      </c>
      <c r="G208" t="s">
        <v>951</v>
      </c>
      <c r="H208" s="1">
        <v>45467</v>
      </c>
      <c r="I208" t="s">
        <v>941</v>
      </c>
      <c r="J208" t="str">
        <f>IF(ISBLANK(Table1[[#This Row],[PaidDate]]),"Unpaid",IF(Table1[[#This Row],[PaidDate]]&gt;Table1[[#This Row],[DueDate]],"Late",IF(Table1[[#This Row],[PaidDate]]&lt;Table1[[#This Row],[DueDate]],"Early","On Time")))</f>
        <v>On Time</v>
      </c>
      <c r="K208" t="str">
        <f ca="1">IF(AND(Table1[[#This Row],[Status]]&lt;&gt;"Paid",TODAY()&gt;Table1[[#This Row],[DueDate]]),"Overdue","OK")</f>
        <v>OK</v>
      </c>
    </row>
    <row r="209" spans="1:11" x14ac:dyDescent="0.3">
      <c r="A209" t="s">
        <v>1153</v>
      </c>
      <c r="B209" t="s">
        <v>940</v>
      </c>
      <c r="C209" s="1">
        <v>45445</v>
      </c>
      <c r="D209" s="1">
        <v>45475</v>
      </c>
      <c r="E209" s="2">
        <v>4392.95</v>
      </c>
      <c r="F209" t="s">
        <v>11</v>
      </c>
      <c r="G209" t="s">
        <v>951</v>
      </c>
      <c r="H209" s="1">
        <v>45475</v>
      </c>
      <c r="I209" t="s">
        <v>941</v>
      </c>
      <c r="J209" t="str">
        <f>IF(ISBLANK(Table1[[#This Row],[PaidDate]]),"Unpaid",IF(Table1[[#This Row],[PaidDate]]&gt;Table1[[#This Row],[DueDate]],"Late",IF(Table1[[#This Row],[PaidDate]]&lt;Table1[[#This Row],[DueDate]],"Early","On Time")))</f>
        <v>On Time</v>
      </c>
      <c r="K209" t="str">
        <f ca="1">IF(AND(Table1[[#This Row],[Status]]&lt;&gt;"Paid",TODAY()&gt;Table1[[#This Row],[DueDate]]),"Overdue","OK")</f>
        <v>OK</v>
      </c>
    </row>
    <row r="210" spans="1:11" x14ac:dyDescent="0.3">
      <c r="A210" t="s">
        <v>1154</v>
      </c>
      <c r="B210" t="s">
        <v>962</v>
      </c>
      <c r="C210" s="1">
        <v>45204</v>
      </c>
      <c r="D210" s="1">
        <v>45234</v>
      </c>
      <c r="E210" s="2">
        <v>765.04</v>
      </c>
      <c r="F210" t="s">
        <v>16</v>
      </c>
      <c r="G210" t="s">
        <v>951</v>
      </c>
      <c r="H210" s="1">
        <v>45234</v>
      </c>
      <c r="I210" t="s">
        <v>941</v>
      </c>
      <c r="J210" t="str">
        <f>IF(ISBLANK(Table1[[#This Row],[PaidDate]]),"Unpaid",IF(Table1[[#This Row],[PaidDate]]&gt;Table1[[#This Row],[DueDate]],"Late",IF(Table1[[#This Row],[PaidDate]]&lt;Table1[[#This Row],[DueDate]],"Early","On Time")))</f>
        <v>On Time</v>
      </c>
      <c r="K210" t="str">
        <f ca="1">IF(AND(Table1[[#This Row],[Status]]&lt;&gt;"Paid",TODAY()&gt;Table1[[#This Row],[DueDate]]),"Overdue","OK")</f>
        <v>OK</v>
      </c>
    </row>
    <row r="211" spans="1:11" x14ac:dyDescent="0.3">
      <c r="A211" t="s">
        <v>1155</v>
      </c>
      <c r="B211" t="s">
        <v>940</v>
      </c>
      <c r="C211" s="1">
        <v>45392</v>
      </c>
      <c r="D211" s="1">
        <v>45422</v>
      </c>
      <c r="E211" s="2">
        <v>4435.17</v>
      </c>
      <c r="F211" t="s">
        <v>11</v>
      </c>
      <c r="G211" t="s">
        <v>17</v>
      </c>
      <c r="I211" t="s">
        <v>941</v>
      </c>
      <c r="J211" t="str">
        <f>IF(ISBLANK(Table1[[#This Row],[PaidDate]]),"Unpaid",IF(Table1[[#This Row],[PaidDate]]&gt;Table1[[#This Row],[DueDate]],"Late",IF(Table1[[#This Row],[PaidDate]]&lt;Table1[[#This Row],[DueDate]],"Early","On Time")))</f>
        <v>Unpaid</v>
      </c>
      <c r="K211" t="str">
        <f ca="1">IF(AND(Table1[[#This Row],[Status]]&lt;&gt;"Paid",TODAY()&gt;Table1[[#This Row],[DueDate]]),"Overdue","OK")</f>
        <v>Overdue</v>
      </c>
    </row>
    <row r="212" spans="1:11" x14ac:dyDescent="0.3">
      <c r="A212" t="s">
        <v>1156</v>
      </c>
      <c r="B212" t="s">
        <v>940</v>
      </c>
      <c r="C212" s="1">
        <v>44948</v>
      </c>
      <c r="D212" s="1">
        <v>44978</v>
      </c>
      <c r="E212" s="2">
        <v>2626.85</v>
      </c>
      <c r="F212" t="s">
        <v>26</v>
      </c>
      <c r="G212" t="s">
        <v>17</v>
      </c>
      <c r="I212" t="s">
        <v>941</v>
      </c>
      <c r="J212" t="str">
        <f>IF(ISBLANK(Table1[[#This Row],[PaidDate]]),"Unpaid",IF(Table1[[#This Row],[PaidDate]]&gt;Table1[[#This Row],[DueDate]],"Late",IF(Table1[[#This Row],[PaidDate]]&lt;Table1[[#This Row],[DueDate]],"Early","On Time")))</f>
        <v>Unpaid</v>
      </c>
      <c r="K212" t="str">
        <f ca="1">IF(AND(Table1[[#This Row],[Status]]&lt;&gt;"Paid",TODAY()&gt;Table1[[#This Row],[DueDate]]),"Overdue","OK")</f>
        <v>Overdue</v>
      </c>
    </row>
    <row r="213" spans="1:11" x14ac:dyDescent="0.3">
      <c r="A213" t="s">
        <v>1157</v>
      </c>
      <c r="B213" t="s">
        <v>940</v>
      </c>
      <c r="C213" s="1">
        <v>45460</v>
      </c>
      <c r="D213" s="1">
        <v>45490</v>
      </c>
      <c r="E213" s="2">
        <v>4803.24</v>
      </c>
      <c r="F213" t="s">
        <v>11</v>
      </c>
      <c r="G213" t="s">
        <v>12</v>
      </c>
      <c r="I213" t="s">
        <v>941</v>
      </c>
      <c r="J213" t="str">
        <f>IF(ISBLANK(Table1[[#This Row],[PaidDate]]),"Unpaid",IF(Table1[[#This Row],[PaidDate]]&gt;Table1[[#This Row],[DueDate]],"Late",IF(Table1[[#This Row],[PaidDate]]&lt;Table1[[#This Row],[DueDate]],"Early","On Time")))</f>
        <v>Unpaid</v>
      </c>
      <c r="K213" t="str">
        <f ca="1">IF(AND(Table1[[#This Row],[Status]]&lt;&gt;"Paid",TODAY()&gt;Table1[[#This Row],[DueDate]]),"Overdue","OK")</f>
        <v>Overdue</v>
      </c>
    </row>
    <row r="214" spans="1:11" x14ac:dyDescent="0.3">
      <c r="A214" t="s">
        <v>1158</v>
      </c>
      <c r="B214" t="s">
        <v>944</v>
      </c>
      <c r="C214" s="1">
        <v>45496</v>
      </c>
      <c r="D214" s="1">
        <v>45526</v>
      </c>
      <c r="E214" s="2">
        <v>3007.22</v>
      </c>
      <c r="F214" t="s">
        <v>11</v>
      </c>
      <c r="G214" t="s">
        <v>951</v>
      </c>
      <c r="H214" s="1">
        <v>45526</v>
      </c>
      <c r="I214" t="s">
        <v>941</v>
      </c>
      <c r="J214" t="str">
        <f>IF(ISBLANK(Table1[[#This Row],[PaidDate]]),"Unpaid",IF(Table1[[#This Row],[PaidDate]]&gt;Table1[[#This Row],[DueDate]],"Late",IF(Table1[[#This Row],[PaidDate]]&lt;Table1[[#This Row],[DueDate]],"Early","On Time")))</f>
        <v>On Time</v>
      </c>
      <c r="K214" t="str">
        <f ca="1">IF(AND(Table1[[#This Row],[Status]]&lt;&gt;"Paid",TODAY()&gt;Table1[[#This Row],[DueDate]]),"Overdue","OK")</f>
        <v>OK</v>
      </c>
    </row>
    <row r="215" spans="1:11" x14ac:dyDescent="0.3">
      <c r="A215" t="s">
        <v>1159</v>
      </c>
      <c r="B215" t="s">
        <v>940</v>
      </c>
      <c r="C215" s="1">
        <v>45704</v>
      </c>
      <c r="D215" s="1">
        <v>45734</v>
      </c>
      <c r="E215" s="2">
        <v>4929.75</v>
      </c>
      <c r="F215" t="s">
        <v>26</v>
      </c>
      <c r="G215" t="s">
        <v>17</v>
      </c>
      <c r="I215" t="s">
        <v>941</v>
      </c>
      <c r="J215" t="str">
        <f>IF(ISBLANK(Table1[[#This Row],[PaidDate]]),"Unpaid",IF(Table1[[#This Row],[PaidDate]]&gt;Table1[[#This Row],[DueDate]],"Late",IF(Table1[[#This Row],[PaidDate]]&lt;Table1[[#This Row],[DueDate]],"Early","On Time")))</f>
        <v>Unpaid</v>
      </c>
      <c r="K215" t="str">
        <f ca="1">IF(AND(Table1[[#This Row],[Status]]&lt;&gt;"Paid",TODAY()&gt;Table1[[#This Row],[DueDate]]),"Overdue","OK")</f>
        <v>Overdue</v>
      </c>
    </row>
    <row r="216" spans="1:11" x14ac:dyDescent="0.3">
      <c r="A216" t="s">
        <v>1160</v>
      </c>
      <c r="B216" t="s">
        <v>944</v>
      </c>
      <c r="C216" s="1">
        <v>45449</v>
      </c>
      <c r="D216" s="1">
        <v>45479</v>
      </c>
      <c r="E216" s="2">
        <v>1536.2</v>
      </c>
      <c r="F216" t="s">
        <v>16</v>
      </c>
      <c r="G216" t="s">
        <v>12</v>
      </c>
      <c r="I216" t="s">
        <v>941</v>
      </c>
      <c r="J216" t="str">
        <f>IF(ISBLANK(Table1[[#This Row],[PaidDate]]),"Unpaid",IF(Table1[[#This Row],[PaidDate]]&gt;Table1[[#This Row],[DueDate]],"Late",IF(Table1[[#This Row],[PaidDate]]&lt;Table1[[#This Row],[DueDate]],"Early","On Time")))</f>
        <v>Unpaid</v>
      </c>
      <c r="K216" t="str">
        <f ca="1">IF(AND(Table1[[#This Row],[Status]]&lt;&gt;"Paid",TODAY()&gt;Table1[[#This Row],[DueDate]]),"Overdue","OK")</f>
        <v>Overdue</v>
      </c>
    </row>
    <row r="217" spans="1:11" x14ac:dyDescent="0.3">
      <c r="A217" t="s">
        <v>1161</v>
      </c>
      <c r="B217" t="s">
        <v>944</v>
      </c>
      <c r="C217" s="1">
        <v>45491</v>
      </c>
      <c r="D217" s="1">
        <v>45521</v>
      </c>
      <c r="E217" s="2">
        <v>2978.71</v>
      </c>
      <c r="F217" t="s">
        <v>19</v>
      </c>
      <c r="G217" t="s">
        <v>12</v>
      </c>
      <c r="I217" t="s">
        <v>941</v>
      </c>
      <c r="J217" t="str">
        <f>IF(ISBLANK(Table1[[#This Row],[PaidDate]]),"Unpaid",IF(Table1[[#This Row],[PaidDate]]&gt;Table1[[#This Row],[DueDate]],"Late",IF(Table1[[#This Row],[PaidDate]]&lt;Table1[[#This Row],[DueDate]],"Early","On Time")))</f>
        <v>Unpaid</v>
      </c>
      <c r="K217" t="str">
        <f ca="1">IF(AND(Table1[[#This Row],[Status]]&lt;&gt;"Paid",TODAY()&gt;Table1[[#This Row],[DueDate]]),"Overdue","OK")</f>
        <v>Overdue</v>
      </c>
    </row>
    <row r="218" spans="1:11" x14ac:dyDescent="0.3">
      <c r="A218" t="s">
        <v>1162</v>
      </c>
      <c r="B218" t="s">
        <v>962</v>
      </c>
      <c r="C218" s="1">
        <v>45326</v>
      </c>
      <c r="D218" s="1">
        <v>45356</v>
      </c>
      <c r="E218" s="2">
        <v>915.17</v>
      </c>
      <c r="F218" t="s">
        <v>19</v>
      </c>
      <c r="G218" t="s">
        <v>951</v>
      </c>
      <c r="H218" s="1">
        <v>45356</v>
      </c>
      <c r="I218" t="s">
        <v>941</v>
      </c>
      <c r="J218" t="str">
        <f>IF(ISBLANK(Table1[[#This Row],[PaidDate]]),"Unpaid",IF(Table1[[#This Row],[PaidDate]]&gt;Table1[[#This Row],[DueDate]],"Late",IF(Table1[[#This Row],[PaidDate]]&lt;Table1[[#This Row],[DueDate]],"Early","On Time")))</f>
        <v>On Time</v>
      </c>
      <c r="K218" t="str">
        <f ca="1">IF(AND(Table1[[#This Row],[Status]]&lt;&gt;"Paid",TODAY()&gt;Table1[[#This Row],[DueDate]]),"Overdue","OK")</f>
        <v>OK</v>
      </c>
    </row>
    <row r="219" spans="1:11" x14ac:dyDescent="0.3">
      <c r="A219" t="s">
        <v>1163</v>
      </c>
      <c r="B219" t="s">
        <v>944</v>
      </c>
      <c r="C219" s="1">
        <v>45109</v>
      </c>
      <c r="D219" s="1">
        <v>45139</v>
      </c>
      <c r="E219" s="2">
        <v>3188.52</v>
      </c>
      <c r="F219" t="s">
        <v>19</v>
      </c>
      <c r="G219" t="s">
        <v>12</v>
      </c>
      <c r="I219" t="s">
        <v>941</v>
      </c>
      <c r="J219" t="str">
        <f>IF(ISBLANK(Table1[[#This Row],[PaidDate]]),"Unpaid",IF(Table1[[#This Row],[PaidDate]]&gt;Table1[[#This Row],[DueDate]],"Late",IF(Table1[[#This Row],[PaidDate]]&lt;Table1[[#This Row],[DueDate]],"Early","On Time")))</f>
        <v>Unpaid</v>
      </c>
      <c r="K219" t="str">
        <f ca="1">IF(AND(Table1[[#This Row],[Status]]&lt;&gt;"Paid",TODAY()&gt;Table1[[#This Row],[DueDate]]),"Overdue","OK")</f>
        <v>Overdue</v>
      </c>
    </row>
    <row r="220" spans="1:11" x14ac:dyDescent="0.3">
      <c r="A220" t="s">
        <v>1164</v>
      </c>
      <c r="B220" t="s">
        <v>946</v>
      </c>
      <c r="C220" s="1">
        <v>45432</v>
      </c>
      <c r="D220" s="1">
        <v>45462</v>
      </c>
      <c r="E220" s="2">
        <v>2307.79</v>
      </c>
      <c r="F220" t="s">
        <v>11</v>
      </c>
      <c r="G220" t="s">
        <v>12</v>
      </c>
      <c r="I220" t="s">
        <v>941</v>
      </c>
      <c r="J220" t="str">
        <f>IF(ISBLANK(Table1[[#This Row],[PaidDate]]),"Unpaid",IF(Table1[[#This Row],[PaidDate]]&gt;Table1[[#This Row],[DueDate]],"Late",IF(Table1[[#This Row],[PaidDate]]&lt;Table1[[#This Row],[DueDate]],"Early","On Time")))</f>
        <v>Unpaid</v>
      </c>
      <c r="K220" t="str">
        <f ca="1">IF(AND(Table1[[#This Row],[Status]]&lt;&gt;"Paid",TODAY()&gt;Table1[[#This Row],[DueDate]]),"Overdue","OK")</f>
        <v>Overdue</v>
      </c>
    </row>
    <row r="221" spans="1:11" x14ac:dyDescent="0.3">
      <c r="A221" t="s">
        <v>1165</v>
      </c>
      <c r="B221" t="s">
        <v>946</v>
      </c>
      <c r="C221" s="1">
        <v>45251</v>
      </c>
      <c r="D221" s="1">
        <v>45281</v>
      </c>
      <c r="E221" s="2">
        <v>2903.71</v>
      </c>
      <c r="F221" t="s">
        <v>16</v>
      </c>
      <c r="G221" t="s">
        <v>12</v>
      </c>
      <c r="I221" t="s">
        <v>941</v>
      </c>
      <c r="J221" t="str">
        <f>IF(ISBLANK(Table1[[#This Row],[PaidDate]]),"Unpaid",IF(Table1[[#This Row],[PaidDate]]&gt;Table1[[#This Row],[DueDate]],"Late",IF(Table1[[#This Row],[PaidDate]]&lt;Table1[[#This Row],[DueDate]],"Early","On Time")))</f>
        <v>Unpaid</v>
      </c>
      <c r="K221" t="str">
        <f ca="1">IF(AND(Table1[[#This Row],[Status]]&lt;&gt;"Paid",TODAY()&gt;Table1[[#This Row],[DueDate]]),"Overdue","OK")</f>
        <v>Overdue</v>
      </c>
    </row>
    <row r="222" spans="1:11" x14ac:dyDescent="0.3">
      <c r="A222" t="s">
        <v>1166</v>
      </c>
      <c r="B222" t="s">
        <v>946</v>
      </c>
      <c r="C222" s="1">
        <v>45432</v>
      </c>
      <c r="D222" s="1">
        <v>45462</v>
      </c>
      <c r="E222" s="2">
        <v>2565.02</v>
      </c>
      <c r="F222" t="s">
        <v>11</v>
      </c>
      <c r="G222" t="s">
        <v>12</v>
      </c>
      <c r="I222" t="s">
        <v>941</v>
      </c>
      <c r="J222" t="str">
        <f>IF(ISBLANK(Table1[[#This Row],[PaidDate]]),"Unpaid",IF(Table1[[#This Row],[PaidDate]]&gt;Table1[[#This Row],[DueDate]],"Late",IF(Table1[[#This Row],[PaidDate]]&lt;Table1[[#This Row],[DueDate]],"Early","On Time")))</f>
        <v>Unpaid</v>
      </c>
      <c r="K222" t="str">
        <f ca="1">IF(AND(Table1[[#This Row],[Status]]&lt;&gt;"Paid",TODAY()&gt;Table1[[#This Row],[DueDate]]),"Overdue","OK")</f>
        <v>Overdue</v>
      </c>
    </row>
    <row r="223" spans="1:11" x14ac:dyDescent="0.3">
      <c r="A223" t="s">
        <v>1167</v>
      </c>
      <c r="B223" t="s">
        <v>944</v>
      </c>
      <c r="C223" s="1">
        <v>45790</v>
      </c>
      <c r="D223" s="1">
        <v>45820</v>
      </c>
      <c r="E223" s="2">
        <v>2121.21</v>
      </c>
      <c r="F223" t="s">
        <v>11</v>
      </c>
      <c r="G223" t="s">
        <v>17</v>
      </c>
      <c r="I223" t="s">
        <v>941</v>
      </c>
      <c r="J223" t="str">
        <f>IF(ISBLANK(Table1[[#This Row],[PaidDate]]),"Unpaid",IF(Table1[[#This Row],[PaidDate]]&gt;Table1[[#This Row],[DueDate]],"Late",IF(Table1[[#This Row],[PaidDate]]&lt;Table1[[#This Row],[DueDate]],"Early","On Time")))</f>
        <v>Unpaid</v>
      </c>
      <c r="K223" t="str">
        <f ca="1">IF(AND(Table1[[#This Row],[Status]]&lt;&gt;"Paid",TODAY()&gt;Table1[[#This Row],[DueDate]]),"Overdue","OK")</f>
        <v>Overdue</v>
      </c>
    </row>
    <row r="224" spans="1:11" x14ac:dyDescent="0.3">
      <c r="A224" t="s">
        <v>1168</v>
      </c>
      <c r="B224" t="s">
        <v>944</v>
      </c>
      <c r="C224" s="1">
        <v>45748</v>
      </c>
      <c r="D224" s="1">
        <v>45778</v>
      </c>
      <c r="E224" s="2">
        <v>1273.9000000000001</v>
      </c>
      <c r="F224" t="s">
        <v>16</v>
      </c>
      <c r="G224" t="s">
        <v>17</v>
      </c>
      <c r="I224" t="s">
        <v>941</v>
      </c>
      <c r="J224" t="str">
        <f>IF(ISBLANK(Table1[[#This Row],[PaidDate]]),"Unpaid",IF(Table1[[#This Row],[PaidDate]]&gt;Table1[[#This Row],[DueDate]],"Late",IF(Table1[[#This Row],[PaidDate]]&lt;Table1[[#This Row],[DueDate]],"Early","On Time")))</f>
        <v>Unpaid</v>
      </c>
      <c r="K224" t="str">
        <f ca="1">IF(AND(Table1[[#This Row],[Status]]&lt;&gt;"Paid",TODAY()&gt;Table1[[#This Row],[DueDate]]),"Overdue","OK")</f>
        <v>Overdue</v>
      </c>
    </row>
    <row r="225" spans="1:11" x14ac:dyDescent="0.3">
      <c r="A225" t="s">
        <v>1169</v>
      </c>
      <c r="B225" t="s">
        <v>944</v>
      </c>
      <c r="C225" s="1">
        <v>45711</v>
      </c>
      <c r="D225" s="1">
        <v>45741</v>
      </c>
      <c r="E225" s="2">
        <v>3975.5</v>
      </c>
      <c r="F225" t="s">
        <v>28</v>
      </c>
      <c r="G225" t="s">
        <v>17</v>
      </c>
      <c r="I225" t="s">
        <v>941</v>
      </c>
      <c r="J225" t="str">
        <f>IF(ISBLANK(Table1[[#This Row],[PaidDate]]),"Unpaid",IF(Table1[[#This Row],[PaidDate]]&gt;Table1[[#This Row],[DueDate]],"Late",IF(Table1[[#This Row],[PaidDate]]&lt;Table1[[#This Row],[DueDate]],"Early","On Time")))</f>
        <v>Unpaid</v>
      </c>
      <c r="K225" t="str">
        <f ca="1">IF(AND(Table1[[#This Row],[Status]]&lt;&gt;"Paid",TODAY()&gt;Table1[[#This Row],[DueDate]]),"Overdue","OK")</f>
        <v>Overdue</v>
      </c>
    </row>
    <row r="226" spans="1:11" x14ac:dyDescent="0.3">
      <c r="A226" t="s">
        <v>1170</v>
      </c>
      <c r="B226" t="s">
        <v>940</v>
      </c>
      <c r="C226" s="1">
        <v>45588</v>
      </c>
      <c r="D226" s="1">
        <v>45618</v>
      </c>
      <c r="E226" s="2">
        <v>2421.44</v>
      </c>
      <c r="F226" t="s">
        <v>28</v>
      </c>
      <c r="G226" t="s">
        <v>17</v>
      </c>
      <c r="I226" t="s">
        <v>941</v>
      </c>
      <c r="J226" t="str">
        <f>IF(ISBLANK(Table1[[#This Row],[PaidDate]]),"Unpaid",IF(Table1[[#This Row],[PaidDate]]&gt;Table1[[#This Row],[DueDate]],"Late",IF(Table1[[#This Row],[PaidDate]]&lt;Table1[[#This Row],[DueDate]],"Early","On Time")))</f>
        <v>Unpaid</v>
      </c>
      <c r="K226" t="str">
        <f ca="1">IF(AND(Table1[[#This Row],[Status]]&lt;&gt;"Paid",TODAY()&gt;Table1[[#This Row],[DueDate]]),"Overdue","OK")</f>
        <v>Overdue</v>
      </c>
    </row>
    <row r="227" spans="1:11" x14ac:dyDescent="0.3">
      <c r="A227" t="s">
        <v>1171</v>
      </c>
      <c r="B227" t="s">
        <v>940</v>
      </c>
      <c r="C227" s="1">
        <v>45688</v>
      </c>
      <c r="D227" s="1">
        <v>45718</v>
      </c>
      <c r="E227" s="2">
        <v>2458.0100000000002</v>
      </c>
      <c r="F227" t="s">
        <v>16</v>
      </c>
      <c r="G227" t="s">
        <v>17</v>
      </c>
      <c r="I227" t="s">
        <v>941</v>
      </c>
      <c r="J227" t="str">
        <f>IF(ISBLANK(Table1[[#This Row],[PaidDate]]),"Unpaid",IF(Table1[[#This Row],[PaidDate]]&gt;Table1[[#This Row],[DueDate]],"Late",IF(Table1[[#This Row],[PaidDate]]&lt;Table1[[#This Row],[DueDate]],"Early","On Time")))</f>
        <v>Unpaid</v>
      </c>
      <c r="K227" t="str">
        <f ca="1">IF(AND(Table1[[#This Row],[Status]]&lt;&gt;"Paid",TODAY()&gt;Table1[[#This Row],[DueDate]]),"Overdue","OK")</f>
        <v>Overdue</v>
      </c>
    </row>
    <row r="228" spans="1:11" x14ac:dyDescent="0.3">
      <c r="A228" t="s">
        <v>1172</v>
      </c>
      <c r="B228" t="s">
        <v>940</v>
      </c>
      <c r="C228" s="1">
        <v>45136</v>
      </c>
      <c r="D228" s="1">
        <v>45166</v>
      </c>
      <c r="E228" s="2">
        <v>2854.39</v>
      </c>
      <c r="F228" t="s">
        <v>16</v>
      </c>
      <c r="G228" t="s">
        <v>951</v>
      </c>
      <c r="H228" s="1">
        <v>45166</v>
      </c>
      <c r="I228" t="s">
        <v>941</v>
      </c>
      <c r="J228" t="str">
        <f>IF(ISBLANK(Table1[[#This Row],[PaidDate]]),"Unpaid",IF(Table1[[#This Row],[PaidDate]]&gt;Table1[[#This Row],[DueDate]],"Late",IF(Table1[[#This Row],[PaidDate]]&lt;Table1[[#This Row],[DueDate]],"Early","On Time")))</f>
        <v>On Time</v>
      </c>
      <c r="K228" t="str">
        <f ca="1">IF(AND(Table1[[#This Row],[Status]]&lt;&gt;"Paid",TODAY()&gt;Table1[[#This Row],[DueDate]]),"Overdue","OK")</f>
        <v>OK</v>
      </c>
    </row>
    <row r="229" spans="1:11" x14ac:dyDescent="0.3">
      <c r="A229" t="s">
        <v>1173</v>
      </c>
      <c r="B229" t="s">
        <v>944</v>
      </c>
      <c r="C229" s="1">
        <v>45319</v>
      </c>
      <c r="D229" s="1">
        <v>45349</v>
      </c>
      <c r="E229" s="2">
        <v>2918.95</v>
      </c>
      <c r="F229" t="s">
        <v>16</v>
      </c>
      <c r="G229" t="s">
        <v>17</v>
      </c>
      <c r="I229" t="s">
        <v>941</v>
      </c>
      <c r="J229" t="str">
        <f>IF(ISBLANK(Table1[[#This Row],[PaidDate]]),"Unpaid",IF(Table1[[#This Row],[PaidDate]]&gt;Table1[[#This Row],[DueDate]],"Late",IF(Table1[[#This Row],[PaidDate]]&lt;Table1[[#This Row],[DueDate]],"Early","On Time")))</f>
        <v>Unpaid</v>
      </c>
      <c r="K229" t="str">
        <f ca="1">IF(AND(Table1[[#This Row],[Status]]&lt;&gt;"Paid",TODAY()&gt;Table1[[#This Row],[DueDate]]),"Overdue","OK")</f>
        <v>Overdue</v>
      </c>
    </row>
    <row r="230" spans="1:11" x14ac:dyDescent="0.3">
      <c r="A230" t="s">
        <v>1174</v>
      </c>
      <c r="B230" t="s">
        <v>962</v>
      </c>
      <c r="C230" s="1">
        <v>44997</v>
      </c>
      <c r="D230" s="1">
        <v>45027</v>
      </c>
      <c r="E230" s="2">
        <v>328.97</v>
      </c>
      <c r="F230" t="s">
        <v>11</v>
      </c>
      <c r="G230" t="s">
        <v>951</v>
      </c>
      <c r="H230" s="1">
        <v>45027</v>
      </c>
      <c r="I230" t="s">
        <v>941</v>
      </c>
      <c r="J230" t="str">
        <f>IF(ISBLANK(Table1[[#This Row],[PaidDate]]),"Unpaid",IF(Table1[[#This Row],[PaidDate]]&gt;Table1[[#This Row],[DueDate]],"Late",IF(Table1[[#This Row],[PaidDate]]&lt;Table1[[#This Row],[DueDate]],"Early","On Time")))</f>
        <v>On Time</v>
      </c>
      <c r="K230" t="str">
        <f ca="1">IF(AND(Table1[[#This Row],[Status]]&lt;&gt;"Paid",TODAY()&gt;Table1[[#This Row],[DueDate]]),"Overdue","OK")</f>
        <v>OK</v>
      </c>
    </row>
    <row r="231" spans="1:11" x14ac:dyDescent="0.3">
      <c r="A231" t="s">
        <v>1175</v>
      </c>
      <c r="B231" t="s">
        <v>962</v>
      </c>
      <c r="C231" s="1">
        <v>45523</v>
      </c>
      <c r="D231" s="1">
        <v>45553</v>
      </c>
      <c r="E231" s="2">
        <v>1213.71</v>
      </c>
      <c r="F231" t="s">
        <v>11</v>
      </c>
      <c r="G231" t="s">
        <v>17</v>
      </c>
      <c r="I231" t="s">
        <v>941</v>
      </c>
      <c r="J231" t="str">
        <f>IF(ISBLANK(Table1[[#This Row],[PaidDate]]),"Unpaid",IF(Table1[[#This Row],[PaidDate]]&gt;Table1[[#This Row],[DueDate]],"Late",IF(Table1[[#This Row],[PaidDate]]&lt;Table1[[#This Row],[DueDate]],"Early","On Time")))</f>
        <v>Unpaid</v>
      </c>
      <c r="K231" t="str">
        <f ca="1">IF(AND(Table1[[#This Row],[Status]]&lt;&gt;"Paid",TODAY()&gt;Table1[[#This Row],[DueDate]]),"Overdue","OK")</f>
        <v>Overdue</v>
      </c>
    </row>
    <row r="232" spans="1:11" x14ac:dyDescent="0.3">
      <c r="A232" t="s">
        <v>1176</v>
      </c>
      <c r="B232" t="s">
        <v>946</v>
      </c>
      <c r="C232" s="1">
        <v>45772</v>
      </c>
      <c r="D232" s="1">
        <v>45802</v>
      </c>
      <c r="E232" s="2">
        <v>454.59</v>
      </c>
      <c r="F232" t="s">
        <v>11</v>
      </c>
      <c r="G232" t="s">
        <v>17</v>
      </c>
      <c r="I232" t="s">
        <v>941</v>
      </c>
      <c r="J232" t="str">
        <f>IF(ISBLANK(Table1[[#This Row],[PaidDate]]),"Unpaid",IF(Table1[[#This Row],[PaidDate]]&gt;Table1[[#This Row],[DueDate]],"Late",IF(Table1[[#This Row],[PaidDate]]&lt;Table1[[#This Row],[DueDate]],"Early","On Time")))</f>
        <v>Unpaid</v>
      </c>
      <c r="K232" t="str">
        <f ca="1">IF(AND(Table1[[#This Row],[Status]]&lt;&gt;"Paid",TODAY()&gt;Table1[[#This Row],[DueDate]]),"Overdue","OK")</f>
        <v>Overdue</v>
      </c>
    </row>
    <row r="233" spans="1:11" x14ac:dyDescent="0.3">
      <c r="A233" t="s">
        <v>1177</v>
      </c>
      <c r="B233" t="s">
        <v>946</v>
      </c>
      <c r="C233" s="1">
        <v>45040</v>
      </c>
      <c r="D233" s="1">
        <v>45070</v>
      </c>
      <c r="E233" s="2">
        <v>4278.37</v>
      </c>
      <c r="F233" t="s">
        <v>26</v>
      </c>
      <c r="G233" t="s">
        <v>951</v>
      </c>
      <c r="H233" s="1">
        <v>45070</v>
      </c>
      <c r="I233" t="s">
        <v>941</v>
      </c>
      <c r="J233" t="str">
        <f>IF(ISBLANK(Table1[[#This Row],[PaidDate]]),"Unpaid",IF(Table1[[#This Row],[PaidDate]]&gt;Table1[[#This Row],[DueDate]],"Late",IF(Table1[[#This Row],[PaidDate]]&lt;Table1[[#This Row],[DueDate]],"Early","On Time")))</f>
        <v>On Time</v>
      </c>
      <c r="K233" t="str">
        <f ca="1">IF(AND(Table1[[#This Row],[Status]]&lt;&gt;"Paid",TODAY()&gt;Table1[[#This Row],[DueDate]]),"Overdue","OK")</f>
        <v>OK</v>
      </c>
    </row>
    <row r="234" spans="1:11" x14ac:dyDescent="0.3">
      <c r="A234" t="s">
        <v>1178</v>
      </c>
      <c r="B234" t="s">
        <v>940</v>
      </c>
      <c r="C234" s="1">
        <v>45524</v>
      </c>
      <c r="D234" s="1">
        <v>45554</v>
      </c>
      <c r="E234" s="2">
        <v>3048.16</v>
      </c>
      <c r="F234" t="s">
        <v>11</v>
      </c>
      <c r="G234" t="s">
        <v>17</v>
      </c>
      <c r="I234" t="s">
        <v>941</v>
      </c>
      <c r="J234" t="str">
        <f>IF(ISBLANK(Table1[[#This Row],[PaidDate]]),"Unpaid",IF(Table1[[#This Row],[PaidDate]]&gt;Table1[[#This Row],[DueDate]],"Late",IF(Table1[[#This Row],[PaidDate]]&lt;Table1[[#This Row],[DueDate]],"Early","On Time")))</f>
        <v>Unpaid</v>
      </c>
      <c r="K234" t="str">
        <f ca="1">IF(AND(Table1[[#This Row],[Status]]&lt;&gt;"Paid",TODAY()&gt;Table1[[#This Row],[DueDate]]),"Overdue","OK")</f>
        <v>Overdue</v>
      </c>
    </row>
    <row r="235" spans="1:11" x14ac:dyDescent="0.3">
      <c r="A235" t="s">
        <v>1179</v>
      </c>
      <c r="B235" t="s">
        <v>962</v>
      </c>
      <c r="C235" s="1">
        <v>45065</v>
      </c>
      <c r="D235" s="1">
        <v>45095</v>
      </c>
      <c r="E235" s="2">
        <v>4611.88</v>
      </c>
      <c r="F235" t="s">
        <v>28</v>
      </c>
      <c r="G235" t="s">
        <v>12</v>
      </c>
      <c r="I235" t="s">
        <v>941</v>
      </c>
      <c r="J235" t="str">
        <f>IF(ISBLANK(Table1[[#This Row],[PaidDate]]),"Unpaid",IF(Table1[[#This Row],[PaidDate]]&gt;Table1[[#This Row],[DueDate]],"Late",IF(Table1[[#This Row],[PaidDate]]&lt;Table1[[#This Row],[DueDate]],"Early","On Time")))</f>
        <v>Unpaid</v>
      </c>
      <c r="K235" t="str">
        <f ca="1">IF(AND(Table1[[#This Row],[Status]]&lt;&gt;"Paid",TODAY()&gt;Table1[[#This Row],[DueDate]]),"Overdue","OK")</f>
        <v>Overdue</v>
      </c>
    </row>
    <row r="236" spans="1:11" x14ac:dyDescent="0.3">
      <c r="A236" t="s">
        <v>1180</v>
      </c>
      <c r="B236" t="s">
        <v>940</v>
      </c>
      <c r="C236" s="1">
        <v>45315</v>
      </c>
      <c r="D236" s="1">
        <v>45345</v>
      </c>
      <c r="E236" s="2">
        <v>2206.77</v>
      </c>
      <c r="F236" t="s">
        <v>11</v>
      </c>
      <c r="G236" t="s">
        <v>17</v>
      </c>
      <c r="I236" t="s">
        <v>941</v>
      </c>
      <c r="J236" t="str">
        <f>IF(ISBLANK(Table1[[#This Row],[PaidDate]]),"Unpaid",IF(Table1[[#This Row],[PaidDate]]&gt;Table1[[#This Row],[DueDate]],"Late",IF(Table1[[#This Row],[PaidDate]]&lt;Table1[[#This Row],[DueDate]],"Early","On Time")))</f>
        <v>Unpaid</v>
      </c>
      <c r="K236" t="str">
        <f ca="1">IF(AND(Table1[[#This Row],[Status]]&lt;&gt;"Paid",TODAY()&gt;Table1[[#This Row],[DueDate]]),"Overdue","OK")</f>
        <v>Overdue</v>
      </c>
    </row>
    <row r="237" spans="1:11" x14ac:dyDescent="0.3">
      <c r="A237" t="s">
        <v>1181</v>
      </c>
      <c r="B237" t="s">
        <v>940</v>
      </c>
      <c r="C237" s="1">
        <v>45269</v>
      </c>
      <c r="D237" s="1">
        <v>45299</v>
      </c>
      <c r="E237" s="2">
        <v>1191.52</v>
      </c>
      <c r="F237" t="s">
        <v>11</v>
      </c>
      <c r="G237" t="s">
        <v>951</v>
      </c>
      <c r="H237" s="1">
        <v>45299</v>
      </c>
      <c r="I237" t="s">
        <v>941</v>
      </c>
      <c r="J237" t="str">
        <f>IF(ISBLANK(Table1[[#This Row],[PaidDate]]),"Unpaid",IF(Table1[[#This Row],[PaidDate]]&gt;Table1[[#This Row],[DueDate]],"Late",IF(Table1[[#This Row],[PaidDate]]&lt;Table1[[#This Row],[DueDate]],"Early","On Time")))</f>
        <v>On Time</v>
      </c>
      <c r="K237" t="str">
        <f ca="1">IF(AND(Table1[[#This Row],[Status]]&lt;&gt;"Paid",TODAY()&gt;Table1[[#This Row],[DueDate]]),"Overdue","OK")</f>
        <v>OK</v>
      </c>
    </row>
    <row r="238" spans="1:11" x14ac:dyDescent="0.3">
      <c r="A238" t="s">
        <v>1182</v>
      </c>
      <c r="B238" t="s">
        <v>940</v>
      </c>
      <c r="C238" s="1">
        <v>44938</v>
      </c>
      <c r="D238" s="1">
        <v>44968</v>
      </c>
      <c r="E238" s="2">
        <v>1715.9</v>
      </c>
      <c r="F238" t="s">
        <v>26</v>
      </c>
      <c r="G238" t="s">
        <v>12</v>
      </c>
      <c r="I238" t="s">
        <v>941</v>
      </c>
      <c r="J238" t="str">
        <f>IF(ISBLANK(Table1[[#This Row],[PaidDate]]),"Unpaid",IF(Table1[[#This Row],[PaidDate]]&gt;Table1[[#This Row],[DueDate]],"Late",IF(Table1[[#This Row],[PaidDate]]&lt;Table1[[#This Row],[DueDate]],"Early","On Time")))</f>
        <v>Unpaid</v>
      </c>
      <c r="K238" t="str">
        <f ca="1">IF(AND(Table1[[#This Row],[Status]]&lt;&gt;"Paid",TODAY()&gt;Table1[[#This Row],[DueDate]]),"Overdue","OK")</f>
        <v>Overdue</v>
      </c>
    </row>
    <row r="239" spans="1:11" x14ac:dyDescent="0.3">
      <c r="A239" t="s">
        <v>1183</v>
      </c>
      <c r="B239" t="s">
        <v>944</v>
      </c>
      <c r="C239" s="1">
        <v>44956</v>
      </c>
      <c r="D239" s="1">
        <v>44986</v>
      </c>
      <c r="E239" s="2">
        <v>2281.3000000000002</v>
      </c>
      <c r="F239" t="s">
        <v>19</v>
      </c>
      <c r="G239" t="s">
        <v>951</v>
      </c>
      <c r="H239" s="1">
        <v>44986</v>
      </c>
      <c r="I239" t="s">
        <v>941</v>
      </c>
      <c r="J239" t="str">
        <f>IF(ISBLANK(Table1[[#This Row],[PaidDate]]),"Unpaid",IF(Table1[[#This Row],[PaidDate]]&gt;Table1[[#This Row],[DueDate]],"Late",IF(Table1[[#This Row],[PaidDate]]&lt;Table1[[#This Row],[DueDate]],"Early","On Time")))</f>
        <v>On Time</v>
      </c>
      <c r="K239" t="str">
        <f ca="1">IF(AND(Table1[[#This Row],[Status]]&lt;&gt;"Paid",TODAY()&gt;Table1[[#This Row],[DueDate]]),"Overdue","OK")</f>
        <v>OK</v>
      </c>
    </row>
    <row r="240" spans="1:11" x14ac:dyDescent="0.3">
      <c r="A240" t="s">
        <v>1184</v>
      </c>
      <c r="B240" t="s">
        <v>946</v>
      </c>
      <c r="C240" s="1">
        <v>45362</v>
      </c>
      <c r="D240" s="1">
        <v>45392</v>
      </c>
      <c r="E240" s="2">
        <v>3825.33</v>
      </c>
      <c r="F240" t="s">
        <v>19</v>
      </c>
      <c r="G240" t="s">
        <v>17</v>
      </c>
      <c r="I240" t="s">
        <v>941</v>
      </c>
      <c r="J240" t="str">
        <f>IF(ISBLANK(Table1[[#This Row],[PaidDate]]),"Unpaid",IF(Table1[[#This Row],[PaidDate]]&gt;Table1[[#This Row],[DueDate]],"Late",IF(Table1[[#This Row],[PaidDate]]&lt;Table1[[#This Row],[DueDate]],"Early","On Time")))</f>
        <v>Unpaid</v>
      </c>
      <c r="K240" t="str">
        <f ca="1">IF(AND(Table1[[#This Row],[Status]]&lt;&gt;"Paid",TODAY()&gt;Table1[[#This Row],[DueDate]]),"Overdue","OK")</f>
        <v>Overdue</v>
      </c>
    </row>
    <row r="241" spans="1:11" x14ac:dyDescent="0.3">
      <c r="A241" t="s">
        <v>1185</v>
      </c>
      <c r="B241" t="s">
        <v>946</v>
      </c>
      <c r="C241" s="1">
        <v>45008</v>
      </c>
      <c r="D241" s="1">
        <v>45038</v>
      </c>
      <c r="E241" s="2">
        <v>4771.6000000000004</v>
      </c>
      <c r="F241" t="s">
        <v>28</v>
      </c>
      <c r="G241" t="s">
        <v>12</v>
      </c>
      <c r="I241" t="s">
        <v>941</v>
      </c>
      <c r="J241" t="str">
        <f>IF(ISBLANK(Table1[[#This Row],[PaidDate]]),"Unpaid",IF(Table1[[#This Row],[PaidDate]]&gt;Table1[[#This Row],[DueDate]],"Late",IF(Table1[[#This Row],[PaidDate]]&lt;Table1[[#This Row],[DueDate]],"Early","On Time")))</f>
        <v>Unpaid</v>
      </c>
      <c r="K241" t="str">
        <f ca="1">IF(AND(Table1[[#This Row],[Status]]&lt;&gt;"Paid",TODAY()&gt;Table1[[#This Row],[DueDate]]),"Overdue","OK")</f>
        <v>Overdue</v>
      </c>
    </row>
    <row r="242" spans="1:11" x14ac:dyDescent="0.3">
      <c r="A242" t="s">
        <v>1186</v>
      </c>
      <c r="B242" t="s">
        <v>946</v>
      </c>
      <c r="C242" s="1">
        <v>45474</v>
      </c>
      <c r="D242" s="1">
        <v>45504</v>
      </c>
      <c r="E242" s="2">
        <v>3536.61</v>
      </c>
      <c r="F242" t="s">
        <v>11</v>
      </c>
      <c r="G242" t="s">
        <v>12</v>
      </c>
      <c r="I242" t="s">
        <v>941</v>
      </c>
      <c r="J242" t="str">
        <f>IF(ISBLANK(Table1[[#This Row],[PaidDate]]),"Unpaid",IF(Table1[[#This Row],[PaidDate]]&gt;Table1[[#This Row],[DueDate]],"Late",IF(Table1[[#This Row],[PaidDate]]&lt;Table1[[#This Row],[DueDate]],"Early","On Time")))</f>
        <v>Unpaid</v>
      </c>
      <c r="K242" t="str">
        <f ca="1">IF(AND(Table1[[#This Row],[Status]]&lt;&gt;"Paid",TODAY()&gt;Table1[[#This Row],[DueDate]]),"Overdue","OK")</f>
        <v>Overdue</v>
      </c>
    </row>
    <row r="243" spans="1:11" x14ac:dyDescent="0.3">
      <c r="A243" t="s">
        <v>1187</v>
      </c>
      <c r="B243" t="s">
        <v>966</v>
      </c>
      <c r="C243" s="1">
        <v>45087</v>
      </c>
      <c r="D243" s="1">
        <v>45117</v>
      </c>
      <c r="E243" s="2">
        <v>4873.4799999999996</v>
      </c>
      <c r="F243" t="s">
        <v>16</v>
      </c>
      <c r="G243" t="s">
        <v>951</v>
      </c>
      <c r="H243" s="1">
        <v>45117</v>
      </c>
      <c r="I243" t="s">
        <v>941</v>
      </c>
      <c r="J243" t="str">
        <f>IF(ISBLANK(Table1[[#This Row],[PaidDate]]),"Unpaid",IF(Table1[[#This Row],[PaidDate]]&gt;Table1[[#This Row],[DueDate]],"Late",IF(Table1[[#This Row],[PaidDate]]&lt;Table1[[#This Row],[DueDate]],"Early","On Time")))</f>
        <v>On Time</v>
      </c>
      <c r="K243" t="str">
        <f ca="1">IF(AND(Table1[[#This Row],[Status]]&lt;&gt;"Paid",TODAY()&gt;Table1[[#This Row],[DueDate]]),"Overdue","OK")</f>
        <v>OK</v>
      </c>
    </row>
    <row r="244" spans="1:11" x14ac:dyDescent="0.3">
      <c r="A244" t="s">
        <v>1188</v>
      </c>
      <c r="B244" t="s">
        <v>940</v>
      </c>
      <c r="C244" s="1">
        <v>45618</v>
      </c>
      <c r="D244" s="1">
        <v>45648</v>
      </c>
      <c r="E244" s="2">
        <v>3763.83</v>
      </c>
      <c r="F244" t="s">
        <v>28</v>
      </c>
      <c r="G244" t="s">
        <v>12</v>
      </c>
      <c r="I244" t="s">
        <v>941</v>
      </c>
      <c r="J244" t="str">
        <f>IF(ISBLANK(Table1[[#This Row],[PaidDate]]),"Unpaid",IF(Table1[[#This Row],[PaidDate]]&gt;Table1[[#This Row],[DueDate]],"Late",IF(Table1[[#This Row],[PaidDate]]&lt;Table1[[#This Row],[DueDate]],"Early","On Time")))</f>
        <v>Unpaid</v>
      </c>
      <c r="K244" t="str">
        <f ca="1">IF(AND(Table1[[#This Row],[Status]]&lt;&gt;"Paid",TODAY()&gt;Table1[[#This Row],[DueDate]]),"Overdue","OK")</f>
        <v>Overdue</v>
      </c>
    </row>
    <row r="245" spans="1:11" x14ac:dyDescent="0.3">
      <c r="A245" t="s">
        <v>1189</v>
      </c>
      <c r="B245" t="s">
        <v>940</v>
      </c>
      <c r="C245" s="1">
        <v>45045</v>
      </c>
      <c r="D245" s="1">
        <v>45075</v>
      </c>
      <c r="E245" s="2">
        <v>1956.76</v>
      </c>
      <c r="F245" t="s">
        <v>26</v>
      </c>
      <c r="G245" t="s">
        <v>12</v>
      </c>
      <c r="I245" t="s">
        <v>941</v>
      </c>
      <c r="J245" t="str">
        <f>IF(ISBLANK(Table1[[#This Row],[PaidDate]]),"Unpaid",IF(Table1[[#This Row],[PaidDate]]&gt;Table1[[#This Row],[DueDate]],"Late",IF(Table1[[#This Row],[PaidDate]]&lt;Table1[[#This Row],[DueDate]],"Early","On Time")))</f>
        <v>Unpaid</v>
      </c>
      <c r="K245" t="str">
        <f ca="1">IF(AND(Table1[[#This Row],[Status]]&lt;&gt;"Paid",TODAY()&gt;Table1[[#This Row],[DueDate]]),"Overdue","OK")</f>
        <v>Overdue</v>
      </c>
    </row>
    <row r="246" spans="1:11" x14ac:dyDescent="0.3">
      <c r="A246" t="s">
        <v>1190</v>
      </c>
      <c r="B246" t="s">
        <v>940</v>
      </c>
      <c r="C246" s="1">
        <v>45396</v>
      </c>
      <c r="D246" s="1">
        <v>45426</v>
      </c>
      <c r="E246" s="2">
        <v>4541.03</v>
      </c>
      <c r="F246" t="s">
        <v>28</v>
      </c>
      <c r="G246" t="s">
        <v>12</v>
      </c>
      <c r="I246" t="s">
        <v>941</v>
      </c>
      <c r="J246" t="str">
        <f>IF(ISBLANK(Table1[[#This Row],[PaidDate]]),"Unpaid",IF(Table1[[#This Row],[PaidDate]]&gt;Table1[[#This Row],[DueDate]],"Late",IF(Table1[[#This Row],[PaidDate]]&lt;Table1[[#This Row],[DueDate]],"Early","On Time")))</f>
        <v>Unpaid</v>
      </c>
      <c r="K246" t="str">
        <f ca="1">IF(AND(Table1[[#This Row],[Status]]&lt;&gt;"Paid",TODAY()&gt;Table1[[#This Row],[DueDate]]),"Overdue","OK")</f>
        <v>Overdue</v>
      </c>
    </row>
    <row r="247" spans="1:11" x14ac:dyDescent="0.3">
      <c r="A247" t="s">
        <v>1191</v>
      </c>
      <c r="B247" t="s">
        <v>946</v>
      </c>
      <c r="C247" s="1">
        <v>45203</v>
      </c>
      <c r="D247" s="1">
        <v>45233</v>
      </c>
      <c r="E247" s="2">
        <v>3118.33</v>
      </c>
      <c r="F247" t="s">
        <v>11</v>
      </c>
      <c r="G247" t="s">
        <v>12</v>
      </c>
      <c r="I247" t="s">
        <v>941</v>
      </c>
      <c r="J247" t="str">
        <f>IF(ISBLANK(Table1[[#This Row],[PaidDate]]),"Unpaid",IF(Table1[[#This Row],[PaidDate]]&gt;Table1[[#This Row],[DueDate]],"Late",IF(Table1[[#This Row],[PaidDate]]&lt;Table1[[#This Row],[DueDate]],"Early","On Time")))</f>
        <v>Unpaid</v>
      </c>
      <c r="K247" t="str">
        <f ca="1">IF(AND(Table1[[#This Row],[Status]]&lt;&gt;"Paid",TODAY()&gt;Table1[[#This Row],[DueDate]]),"Overdue","OK")</f>
        <v>Overdue</v>
      </c>
    </row>
    <row r="248" spans="1:11" x14ac:dyDescent="0.3">
      <c r="A248" t="s">
        <v>1192</v>
      </c>
      <c r="B248" t="s">
        <v>946</v>
      </c>
      <c r="C248" s="1">
        <v>45503</v>
      </c>
      <c r="D248" s="1">
        <v>45533</v>
      </c>
      <c r="E248" s="2">
        <v>4825.22</v>
      </c>
      <c r="F248" t="s">
        <v>26</v>
      </c>
      <c r="G248" t="s">
        <v>951</v>
      </c>
      <c r="H248" s="1">
        <v>45533</v>
      </c>
      <c r="I248" t="s">
        <v>941</v>
      </c>
      <c r="J248" t="str">
        <f>IF(ISBLANK(Table1[[#This Row],[PaidDate]]),"Unpaid",IF(Table1[[#This Row],[PaidDate]]&gt;Table1[[#This Row],[DueDate]],"Late",IF(Table1[[#This Row],[PaidDate]]&lt;Table1[[#This Row],[DueDate]],"Early","On Time")))</f>
        <v>On Time</v>
      </c>
      <c r="K248" t="str">
        <f ca="1">IF(AND(Table1[[#This Row],[Status]]&lt;&gt;"Paid",TODAY()&gt;Table1[[#This Row],[DueDate]]),"Overdue","OK")</f>
        <v>OK</v>
      </c>
    </row>
    <row r="249" spans="1:11" x14ac:dyDescent="0.3">
      <c r="A249" t="s">
        <v>1193</v>
      </c>
      <c r="B249" t="s">
        <v>966</v>
      </c>
      <c r="C249" s="1">
        <v>45712</v>
      </c>
      <c r="D249" s="1">
        <v>45742</v>
      </c>
      <c r="E249" s="2">
        <v>3534.62</v>
      </c>
      <c r="F249" t="s">
        <v>28</v>
      </c>
      <c r="G249" t="s">
        <v>12</v>
      </c>
      <c r="I249" t="s">
        <v>941</v>
      </c>
      <c r="J249" t="str">
        <f>IF(ISBLANK(Table1[[#This Row],[PaidDate]]),"Unpaid",IF(Table1[[#This Row],[PaidDate]]&gt;Table1[[#This Row],[DueDate]],"Late",IF(Table1[[#This Row],[PaidDate]]&lt;Table1[[#This Row],[DueDate]],"Early","On Time")))</f>
        <v>Unpaid</v>
      </c>
      <c r="K249" t="str">
        <f ca="1">IF(AND(Table1[[#This Row],[Status]]&lt;&gt;"Paid",TODAY()&gt;Table1[[#This Row],[DueDate]]),"Overdue","OK")</f>
        <v>Overdue</v>
      </c>
    </row>
    <row r="250" spans="1:11" x14ac:dyDescent="0.3">
      <c r="A250" t="s">
        <v>1194</v>
      </c>
      <c r="B250" t="s">
        <v>946</v>
      </c>
      <c r="C250" s="1">
        <v>45075</v>
      </c>
      <c r="D250" s="1">
        <v>45105</v>
      </c>
      <c r="E250" s="2">
        <v>2784.2</v>
      </c>
      <c r="F250" t="s">
        <v>19</v>
      </c>
      <c r="G250" t="s">
        <v>951</v>
      </c>
      <c r="H250" s="1">
        <v>45105</v>
      </c>
      <c r="I250" t="s">
        <v>941</v>
      </c>
      <c r="J250" t="str">
        <f>IF(ISBLANK(Table1[[#This Row],[PaidDate]]),"Unpaid",IF(Table1[[#This Row],[PaidDate]]&gt;Table1[[#This Row],[DueDate]],"Late",IF(Table1[[#This Row],[PaidDate]]&lt;Table1[[#This Row],[DueDate]],"Early","On Time")))</f>
        <v>On Time</v>
      </c>
      <c r="K250" t="str">
        <f ca="1">IF(AND(Table1[[#This Row],[Status]]&lt;&gt;"Paid",TODAY()&gt;Table1[[#This Row],[DueDate]]),"Overdue","OK")</f>
        <v>OK</v>
      </c>
    </row>
    <row r="251" spans="1:11" x14ac:dyDescent="0.3">
      <c r="A251" t="s">
        <v>1195</v>
      </c>
      <c r="B251" t="s">
        <v>944</v>
      </c>
      <c r="C251" s="1">
        <v>45792</v>
      </c>
      <c r="D251" s="1">
        <v>45822</v>
      </c>
      <c r="E251" s="2">
        <v>4703.79</v>
      </c>
      <c r="F251" t="s">
        <v>28</v>
      </c>
      <c r="G251" t="s">
        <v>17</v>
      </c>
      <c r="I251" t="s">
        <v>941</v>
      </c>
      <c r="J251" t="str">
        <f>IF(ISBLANK(Table1[[#This Row],[PaidDate]]),"Unpaid",IF(Table1[[#This Row],[PaidDate]]&gt;Table1[[#This Row],[DueDate]],"Late",IF(Table1[[#This Row],[PaidDate]]&lt;Table1[[#This Row],[DueDate]],"Early","On Time")))</f>
        <v>Unpaid</v>
      </c>
      <c r="K251" t="str">
        <f ca="1">IF(AND(Table1[[#This Row],[Status]]&lt;&gt;"Paid",TODAY()&gt;Table1[[#This Row],[DueDate]]),"Overdue","OK")</f>
        <v>Overdue</v>
      </c>
    </row>
    <row r="252" spans="1:11" x14ac:dyDescent="0.3">
      <c r="A252" t="s">
        <v>1196</v>
      </c>
      <c r="B252" t="s">
        <v>966</v>
      </c>
      <c r="C252" s="1">
        <v>45423</v>
      </c>
      <c r="D252" s="1">
        <v>45453</v>
      </c>
      <c r="E252" s="2">
        <v>3586.26</v>
      </c>
      <c r="F252" t="s">
        <v>28</v>
      </c>
      <c r="G252" t="s">
        <v>17</v>
      </c>
      <c r="I252" t="s">
        <v>941</v>
      </c>
      <c r="J252" t="str">
        <f>IF(ISBLANK(Table1[[#This Row],[PaidDate]]),"Unpaid",IF(Table1[[#This Row],[PaidDate]]&gt;Table1[[#This Row],[DueDate]],"Late",IF(Table1[[#This Row],[PaidDate]]&lt;Table1[[#This Row],[DueDate]],"Early","On Time")))</f>
        <v>Unpaid</v>
      </c>
      <c r="K252" t="str">
        <f ca="1">IF(AND(Table1[[#This Row],[Status]]&lt;&gt;"Paid",TODAY()&gt;Table1[[#This Row],[DueDate]]),"Overdue","OK")</f>
        <v>Overdue</v>
      </c>
    </row>
    <row r="253" spans="1:11" x14ac:dyDescent="0.3">
      <c r="A253" t="s">
        <v>1197</v>
      </c>
      <c r="B253" t="s">
        <v>940</v>
      </c>
      <c r="C253" s="1">
        <v>45373</v>
      </c>
      <c r="D253" s="1">
        <v>45403</v>
      </c>
      <c r="E253" s="2">
        <v>2609.4499999999998</v>
      </c>
      <c r="F253" t="s">
        <v>11</v>
      </c>
      <c r="G253" t="s">
        <v>951</v>
      </c>
      <c r="H253" s="1">
        <v>45403</v>
      </c>
      <c r="I253" t="s">
        <v>941</v>
      </c>
      <c r="J253" t="str">
        <f>IF(ISBLANK(Table1[[#This Row],[PaidDate]]),"Unpaid",IF(Table1[[#This Row],[PaidDate]]&gt;Table1[[#This Row],[DueDate]],"Late",IF(Table1[[#This Row],[PaidDate]]&lt;Table1[[#This Row],[DueDate]],"Early","On Time")))</f>
        <v>On Time</v>
      </c>
      <c r="K253" t="str">
        <f ca="1">IF(AND(Table1[[#This Row],[Status]]&lt;&gt;"Paid",TODAY()&gt;Table1[[#This Row],[DueDate]]),"Overdue","OK")</f>
        <v>OK</v>
      </c>
    </row>
    <row r="254" spans="1:11" x14ac:dyDescent="0.3">
      <c r="A254" t="s">
        <v>1198</v>
      </c>
      <c r="B254" t="s">
        <v>940</v>
      </c>
      <c r="C254" s="1">
        <v>44999</v>
      </c>
      <c r="D254" s="1">
        <v>45029</v>
      </c>
      <c r="E254" s="2">
        <v>527.17999999999995</v>
      </c>
      <c r="F254" t="s">
        <v>19</v>
      </c>
      <c r="G254" t="s">
        <v>951</v>
      </c>
      <c r="H254" s="1">
        <v>45029</v>
      </c>
      <c r="I254" t="s">
        <v>941</v>
      </c>
      <c r="J254" t="str">
        <f>IF(ISBLANK(Table1[[#This Row],[PaidDate]]),"Unpaid",IF(Table1[[#This Row],[PaidDate]]&gt;Table1[[#This Row],[DueDate]],"Late",IF(Table1[[#This Row],[PaidDate]]&lt;Table1[[#This Row],[DueDate]],"Early","On Time")))</f>
        <v>On Time</v>
      </c>
      <c r="K254" t="str">
        <f ca="1">IF(AND(Table1[[#This Row],[Status]]&lt;&gt;"Paid",TODAY()&gt;Table1[[#This Row],[DueDate]]),"Overdue","OK")</f>
        <v>OK</v>
      </c>
    </row>
    <row r="255" spans="1:11" x14ac:dyDescent="0.3">
      <c r="A255" t="s">
        <v>1199</v>
      </c>
      <c r="B255" t="s">
        <v>962</v>
      </c>
      <c r="C255" s="1">
        <v>45086</v>
      </c>
      <c r="D255" s="1">
        <v>45116</v>
      </c>
      <c r="E255" s="2">
        <v>3705.03</v>
      </c>
      <c r="F255" t="s">
        <v>28</v>
      </c>
      <c r="G255" t="s">
        <v>12</v>
      </c>
      <c r="I255" t="s">
        <v>941</v>
      </c>
      <c r="J255" t="str">
        <f>IF(ISBLANK(Table1[[#This Row],[PaidDate]]),"Unpaid",IF(Table1[[#This Row],[PaidDate]]&gt;Table1[[#This Row],[DueDate]],"Late",IF(Table1[[#This Row],[PaidDate]]&lt;Table1[[#This Row],[DueDate]],"Early","On Time")))</f>
        <v>Unpaid</v>
      </c>
      <c r="K255" t="str">
        <f ca="1">IF(AND(Table1[[#This Row],[Status]]&lt;&gt;"Paid",TODAY()&gt;Table1[[#This Row],[DueDate]]),"Overdue","OK")</f>
        <v>Overdue</v>
      </c>
    </row>
    <row r="256" spans="1:11" x14ac:dyDescent="0.3">
      <c r="A256" t="s">
        <v>1200</v>
      </c>
      <c r="B256" t="s">
        <v>940</v>
      </c>
      <c r="C256" s="1">
        <v>45440</v>
      </c>
      <c r="D256" s="1">
        <v>45470</v>
      </c>
      <c r="E256" s="2">
        <v>1274.56</v>
      </c>
      <c r="F256" t="s">
        <v>28</v>
      </c>
      <c r="G256" t="s">
        <v>17</v>
      </c>
      <c r="I256" t="s">
        <v>941</v>
      </c>
      <c r="J256" t="str">
        <f>IF(ISBLANK(Table1[[#This Row],[PaidDate]]),"Unpaid",IF(Table1[[#This Row],[PaidDate]]&gt;Table1[[#This Row],[DueDate]],"Late",IF(Table1[[#This Row],[PaidDate]]&lt;Table1[[#This Row],[DueDate]],"Early","On Time")))</f>
        <v>Unpaid</v>
      </c>
      <c r="K256" t="str">
        <f ca="1">IF(AND(Table1[[#This Row],[Status]]&lt;&gt;"Paid",TODAY()&gt;Table1[[#This Row],[DueDate]]),"Overdue","OK")</f>
        <v>Overdue</v>
      </c>
    </row>
    <row r="257" spans="1:11" x14ac:dyDescent="0.3">
      <c r="A257" t="s">
        <v>1201</v>
      </c>
      <c r="B257" t="s">
        <v>944</v>
      </c>
      <c r="C257" s="1">
        <v>45815</v>
      </c>
      <c r="D257" s="1">
        <v>45845</v>
      </c>
      <c r="E257" s="2">
        <v>928.12</v>
      </c>
      <c r="F257" t="s">
        <v>16</v>
      </c>
      <c r="G257" t="s">
        <v>951</v>
      </c>
      <c r="H257" s="1">
        <v>45845</v>
      </c>
      <c r="I257" t="s">
        <v>941</v>
      </c>
      <c r="J257" t="str">
        <f>IF(ISBLANK(Table1[[#This Row],[PaidDate]]),"Unpaid",IF(Table1[[#This Row],[PaidDate]]&gt;Table1[[#This Row],[DueDate]],"Late",IF(Table1[[#This Row],[PaidDate]]&lt;Table1[[#This Row],[DueDate]],"Early","On Time")))</f>
        <v>On Time</v>
      </c>
      <c r="K257" t="str">
        <f ca="1">IF(AND(Table1[[#This Row],[Status]]&lt;&gt;"Paid",TODAY()&gt;Table1[[#This Row],[DueDate]]),"Overdue","OK")</f>
        <v>OK</v>
      </c>
    </row>
    <row r="258" spans="1:11" x14ac:dyDescent="0.3">
      <c r="A258" t="s">
        <v>1202</v>
      </c>
      <c r="B258" t="s">
        <v>966</v>
      </c>
      <c r="C258" s="1">
        <v>45695</v>
      </c>
      <c r="D258" s="1">
        <v>45725</v>
      </c>
      <c r="E258" s="2">
        <v>3380.41</v>
      </c>
      <c r="F258" t="s">
        <v>19</v>
      </c>
      <c r="G258" t="s">
        <v>12</v>
      </c>
      <c r="I258" t="s">
        <v>941</v>
      </c>
      <c r="J258" t="str">
        <f>IF(ISBLANK(Table1[[#This Row],[PaidDate]]),"Unpaid",IF(Table1[[#This Row],[PaidDate]]&gt;Table1[[#This Row],[DueDate]],"Late",IF(Table1[[#This Row],[PaidDate]]&lt;Table1[[#This Row],[DueDate]],"Early","On Time")))</f>
        <v>Unpaid</v>
      </c>
      <c r="K258" t="str">
        <f ca="1">IF(AND(Table1[[#This Row],[Status]]&lt;&gt;"Paid",TODAY()&gt;Table1[[#This Row],[DueDate]]),"Overdue","OK")</f>
        <v>Overdue</v>
      </c>
    </row>
    <row r="259" spans="1:11" x14ac:dyDescent="0.3">
      <c r="A259" t="s">
        <v>1203</v>
      </c>
      <c r="B259" t="s">
        <v>966</v>
      </c>
      <c r="C259" s="1">
        <v>44949</v>
      </c>
      <c r="D259" s="1">
        <v>44979</v>
      </c>
      <c r="E259" s="2">
        <v>489.13</v>
      </c>
      <c r="F259" t="s">
        <v>16</v>
      </c>
      <c r="G259" t="s">
        <v>17</v>
      </c>
      <c r="I259" t="s">
        <v>941</v>
      </c>
      <c r="J259" t="str">
        <f>IF(ISBLANK(Table1[[#This Row],[PaidDate]]),"Unpaid",IF(Table1[[#This Row],[PaidDate]]&gt;Table1[[#This Row],[DueDate]],"Late",IF(Table1[[#This Row],[PaidDate]]&lt;Table1[[#This Row],[DueDate]],"Early","On Time")))</f>
        <v>Unpaid</v>
      </c>
      <c r="K259" t="str">
        <f ca="1">IF(AND(Table1[[#This Row],[Status]]&lt;&gt;"Paid",TODAY()&gt;Table1[[#This Row],[DueDate]]),"Overdue","OK")</f>
        <v>Overdue</v>
      </c>
    </row>
    <row r="260" spans="1:11" x14ac:dyDescent="0.3">
      <c r="A260" t="s">
        <v>1204</v>
      </c>
      <c r="B260" t="s">
        <v>944</v>
      </c>
      <c r="C260" s="1">
        <v>45237</v>
      </c>
      <c r="D260" s="1">
        <v>45267</v>
      </c>
      <c r="E260" s="2">
        <v>2309.52</v>
      </c>
      <c r="F260" t="s">
        <v>11</v>
      </c>
      <c r="G260" t="s">
        <v>12</v>
      </c>
      <c r="I260" t="s">
        <v>941</v>
      </c>
      <c r="J260" t="str">
        <f>IF(ISBLANK(Table1[[#This Row],[PaidDate]]),"Unpaid",IF(Table1[[#This Row],[PaidDate]]&gt;Table1[[#This Row],[DueDate]],"Late",IF(Table1[[#This Row],[PaidDate]]&lt;Table1[[#This Row],[DueDate]],"Early","On Time")))</f>
        <v>Unpaid</v>
      </c>
      <c r="K260" t="str">
        <f ca="1">IF(AND(Table1[[#This Row],[Status]]&lt;&gt;"Paid",TODAY()&gt;Table1[[#This Row],[DueDate]]),"Overdue","OK")</f>
        <v>Overdue</v>
      </c>
    </row>
    <row r="261" spans="1:11" x14ac:dyDescent="0.3">
      <c r="A261" t="s">
        <v>1205</v>
      </c>
      <c r="B261" t="s">
        <v>940</v>
      </c>
      <c r="C261" s="1">
        <v>45166</v>
      </c>
      <c r="D261" s="1">
        <v>45196</v>
      </c>
      <c r="E261" s="2">
        <v>2555.11</v>
      </c>
      <c r="F261" t="s">
        <v>26</v>
      </c>
      <c r="G261" t="s">
        <v>17</v>
      </c>
      <c r="I261" t="s">
        <v>941</v>
      </c>
      <c r="J261" t="str">
        <f>IF(ISBLANK(Table1[[#This Row],[PaidDate]]),"Unpaid",IF(Table1[[#This Row],[PaidDate]]&gt;Table1[[#This Row],[DueDate]],"Late",IF(Table1[[#This Row],[PaidDate]]&lt;Table1[[#This Row],[DueDate]],"Early","On Time")))</f>
        <v>Unpaid</v>
      </c>
      <c r="K261" t="str">
        <f ca="1">IF(AND(Table1[[#This Row],[Status]]&lt;&gt;"Paid",TODAY()&gt;Table1[[#This Row],[DueDate]]),"Overdue","OK")</f>
        <v>Overdue</v>
      </c>
    </row>
    <row r="262" spans="1:11" x14ac:dyDescent="0.3">
      <c r="A262" t="s">
        <v>1206</v>
      </c>
      <c r="B262" t="s">
        <v>946</v>
      </c>
      <c r="C262" s="1">
        <v>45373</v>
      </c>
      <c r="D262" s="1">
        <v>45403</v>
      </c>
      <c r="E262" s="2">
        <v>3084.27</v>
      </c>
      <c r="F262" t="s">
        <v>11</v>
      </c>
      <c r="G262" t="s">
        <v>951</v>
      </c>
      <c r="H262" s="1">
        <v>45403</v>
      </c>
      <c r="I262" t="s">
        <v>941</v>
      </c>
      <c r="J262" t="str">
        <f>IF(ISBLANK(Table1[[#This Row],[PaidDate]]),"Unpaid",IF(Table1[[#This Row],[PaidDate]]&gt;Table1[[#This Row],[DueDate]],"Late",IF(Table1[[#This Row],[PaidDate]]&lt;Table1[[#This Row],[DueDate]],"Early","On Time")))</f>
        <v>On Time</v>
      </c>
      <c r="K262" t="str">
        <f ca="1">IF(AND(Table1[[#This Row],[Status]]&lt;&gt;"Paid",TODAY()&gt;Table1[[#This Row],[DueDate]]),"Overdue","OK")</f>
        <v>OK</v>
      </c>
    </row>
    <row r="263" spans="1:11" x14ac:dyDescent="0.3">
      <c r="A263" t="s">
        <v>1207</v>
      </c>
      <c r="B263" t="s">
        <v>940</v>
      </c>
      <c r="C263" s="1">
        <v>45693</v>
      </c>
      <c r="D263" s="1">
        <v>45723</v>
      </c>
      <c r="E263" s="2">
        <v>2226.56</v>
      </c>
      <c r="F263" t="s">
        <v>16</v>
      </c>
      <c r="G263" t="s">
        <v>951</v>
      </c>
      <c r="H263" s="1">
        <v>45723</v>
      </c>
      <c r="I263" t="s">
        <v>941</v>
      </c>
      <c r="J263" t="str">
        <f>IF(ISBLANK(Table1[[#This Row],[PaidDate]]),"Unpaid",IF(Table1[[#This Row],[PaidDate]]&gt;Table1[[#This Row],[DueDate]],"Late",IF(Table1[[#This Row],[PaidDate]]&lt;Table1[[#This Row],[DueDate]],"Early","On Time")))</f>
        <v>On Time</v>
      </c>
      <c r="K263" t="str">
        <f ca="1">IF(AND(Table1[[#This Row],[Status]]&lt;&gt;"Paid",TODAY()&gt;Table1[[#This Row],[DueDate]]),"Overdue","OK")</f>
        <v>OK</v>
      </c>
    </row>
    <row r="264" spans="1:11" x14ac:dyDescent="0.3">
      <c r="A264" t="s">
        <v>1208</v>
      </c>
      <c r="B264" t="s">
        <v>962</v>
      </c>
      <c r="C264" s="1">
        <v>45316</v>
      </c>
      <c r="D264" s="1">
        <v>45346</v>
      </c>
      <c r="E264" s="2">
        <v>1081.44</v>
      </c>
      <c r="F264" t="s">
        <v>28</v>
      </c>
      <c r="G264" t="s">
        <v>951</v>
      </c>
      <c r="H264" s="1">
        <v>45346</v>
      </c>
      <c r="I264" t="s">
        <v>941</v>
      </c>
      <c r="J264" t="str">
        <f>IF(ISBLANK(Table1[[#This Row],[PaidDate]]),"Unpaid",IF(Table1[[#This Row],[PaidDate]]&gt;Table1[[#This Row],[DueDate]],"Late",IF(Table1[[#This Row],[PaidDate]]&lt;Table1[[#This Row],[DueDate]],"Early","On Time")))</f>
        <v>On Time</v>
      </c>
      <c r="K264" t="str">
        <f ca="1">IF(AND(Table1[[#This Row],[Status]]&lt;&gt;"Paid",TODAY()&gt;Table1[[#This Row],[DueDate]]),"Overdue","OK")</f>
        <v>OK</v>
      </c>
    </row>
    <row r="265" spans="1:11" x14ac:dyDescent="0.3">
      <c r="A265" t="s">
        <v>1209</v>
      </c>
      <c r="B265" t="s">
        <v>946</v>
      </c>
      <c r="C265" s="1">
        <v>45089</v>
      </c>
      <c r="D265" s="1">
        <v>45119</v>
      </c>
      <c r="E265" s="2">
        <v>985.69</v>
      </c>
      <c r="F265" t="s">
        <v>11</v>
      </c>
      <c r="G265" t="s">
        <v>12</v>
      </c>
      <c r="I265" t="s">
        <v>941</v>
      </c>
      <c r="J265" t="str">
        <f>IF(ISBLANK(Table1[[#This Row],[PaidDate]]),"Unpaid",IF(Table1[[#This Row],[PaidDate]]&gt;Table1[[#This Row],[DueDate]],"Late",IF(Table1[[#This Row],[PaidDate]]&lt;Table1[[#This Row],[DueDate]],"Early","On Time")))</f>
        <v>Unpaid</v>
      </c>
      <c r="K265" t="str">
        <f ca="1">IF(AND(Table1[[#This Row],[Status]]&lt;&gt;"Paid",TODAY()&gt;Table1[[#This Row],[DueDate]]),"Overdue","OK")</f>
        <v>Overdue</v>
      </c>
    </row>
    <row r="266" spans="1:11" x14ac:dyDescent="0.3">
      <c r="A266" t="s">
        <v>1210</v>
      </c>
      <c r="B266" t="s">
        <v>940</v>
      </c>
      <c r="C266" s="1">
        <v>45792</v>
      </c>
      <c r="D266" s="1">
        <v>45822</v>
      </c>
      <c r="E266" s="2">
        <v>4502.04</v>
      </c>
      <c r="F266" t="s">
        <v>26</v>
      </c>
      <c r="G266" t="s">
        <v>12</v>
      </c>
      <c r="I266" t="s">
        <v>941</v>
      </c>
      <c r="J266" t="str">
        <f>IF(ISBLANK(Table1[[#This Row],[PaidDate]]),"Unpaid",IF(Table1[[#This Row],[PaidDate]]&gt;Table1[[#This Row],[DueDate]],"Late",IF(Table1[[#This Row],[PaidDate]]&lt;Table1[[#This Row],[DueDate]],"Early","On Time")))</f>
        <v>Unpaid</v>
      </c>
      <c r="K266" t="str">
        <f ca="1">IF(AND(Table1[[#This Row],[Status]]&lt;&gt;"Paid",TODAY()&gt;Table1[[#This Row],[DueDate]]),"Overdue","OK")</f>
        <v>Overdue</v>
      </c>
    </row>
    <row r="267" spans="1:11" x14ac:dyDescent="0.3">
      <c r="A267" t="s">
        <v>1211</v>
      </c>
      <c r="B267" t="s">
        <v>966</v>
      </c>
      <c r="C267" s="1">
        <v>45686</v>
      </c>
      <c r="D267" s="1">
        <v>45716</v>
      </c>
      <c r="E267" s="2">
        <v>1415.18</v>
      </c>
      <c r="F267" t="s">
        <v>19</v>
      </c>
      <c r="G267" t="s">
        <v>12</v>
      </c>
      <c r="I267" t="s">
        <v>941</v>
      </c>
      <c r="J267" t="str">
        <f>IF(ISBLANK(Table1[[#This Row],[PaidDate]]),"Unpaid",IF(Table1[[#This Row],[PaidDate]]&gt;Table1[[#This Row],[DueDate]],"Late",IF(Table1[[#This Row],[PaidDate]]&lt;Table1[[#This Row],[DueDate]],"Early","On Time")))</f>
        <v>Unpaid</v>
      </c>
      <c r="K267" t="str">
        <f ca="1">IF(AND(Table1[[#This Row],[Status]]&lt;&gt;"Paid",TODAY()&gt;Table1[[#This Row],[DueDate]]),"Overdue","OK")</f>
        <v>Overdue</v>
      </c>
    </row>
    <row r="268" spans="1:11" x14ac:dyDescent="0.3">
      <c r="A268" t="s">
        <v>1212</v>
      </c>
      <c r="B268" t="s">
        <v>962</v>
      </c>
      <c r="C268" s="1">
        <v>45209</v>
      </c>
      <c r="D268" s="1">
        <v>45239</v>
      </c>
      <c r="E268" s="2">
        <v>3176.41</v>
      </c>
      <c r="F268" t="s">
        <v>16</v>
      </c>
      <c r="G268" t="s">
        <v>17</v>
      </c>
      <c r="I268" t="s">
        <v>941</v>
      </c>
      <c r="J268" t="str">
        <f>IF(ISBLANK(Table1[[#This Row],[PaidDate]]),"Unpaid",IF(Table1[[#This Row],[PaidDate]]&gt;Table1[[#This Row],[DueDate]],"Late",IF(Table1[[#This Row],[PaidDate]]&lt;Table1[[#This Row],[DueDate]],"Early","On Time")))</f>
        <v>Unpaid</v>
      </c>
      <c r="K268" t="str">
        <f ca="1">IF(AND(Table1[[#This Row],[Status]]&lt;&gt;"Paid",TODAY()&gt;Table1[[#This Row],[DueDate]]),"Overdue","OK")</f>
        <v>Overdue</v>
      </c>
    </row>
    <row r="269" spans="1:11" x14ac:dyDescent="0.3">
      <c r="A269" t="s">
        <v>1213</v>
      </c>
      <c r="B269" t="s">
        <v>946</v>
      </c>
      <c r="C269" s="1">
        <v>45094</v>
      </c>
      <c r="D269" s="1">
        <v>45124</v>
      </c>
      <c r="E269" s="2">
        <v>4887.26</v>
      </c>
      <c r="F269" t="s">
        <v>11</v>
      </c>
      <c r="G269" t="s">
        <v>17</v>
      </c>
      <c r="I269" t="s">
        <v>941</v>
      </c>
      <c r="J269" t="str">
        <f>IF(ISBLANK(Table1[[#This Row],[PaidDate]]),"Unpaid",IF(Table1[[#This Row],[PaidDate]]&gt;Table1[[#This Row],[DueDate]],"Late",IF(Table1[[#This Row],[PaidDate]]&lt;Table1[[#This Row],[DueDate]],"Early","On Time")))</f>
        <v>Unpaid</v>
      </c>
      <c r="K269" t="str">
        <f ca="1">IF(AND(Table1[[#This Row],[Status]]&lt;&gt;"Paid",TODAY()&gt;Table1[[#This Row],[DueDate]]),"Overdue","OK")</f>
        <v>Overdue</v>
      </c>
    </row>
    <row r="270" spans="1:11" x14ac:dyDescent="0.3">
      <c r="A270" t="s">
        <v>1214</v>
      </c>
      <c r="B270" t="s">
        <v>962</v>
      </c>
      <c r="C270" s="1">
        <v>45545</v>
      </c>
      <c r="D270" s="1">
        <v>45575</v>
      </c>
      <c r="E270" s="2">
        <v>3883.76</v>
      </c>
      <c r="F270" t="s">
        <v>19</v>
      </c>
      <c r="G270" t="s">
        <v>12</v>
      </c>
      <c r="I270" t="s">
        <v>941</v>
      </c>
      <c r="J270" t="str">
        <f>IF(ISBLANK(Table1[[#This Row],[PaidDate]]),"Unpaid",IF(Table1[[#This Row],[PaidDate]]&gt;Table1[[#This Row],[DueDate]],"Late",IF(Table1[[#This Row],[PaidDate]]&lt;Table1[[#This Row],[DueDate]],"Early","On Time")))</f>
        <v>Unpaid</v>
      </c>
      <c r="K270" t="str">
        <f ca="1">IF(AND(Table1[[#This Row],[Status]]&lt;&gt;"Paid",TODAY()&gt;Table1[[#This Row],[DueDate]]),"Overdue","OK")</f>
        <v>Overdue</v>
      </c>
    </row>
    <row r="271" spans="1:11" x14ac:dyDescent="0.3">
      <c r="A271" t="s">
        <v>1215</v>
      </c>
      <c r="B271" t="s">
        <v>962</v>
      </c>
      <c r="C271" s="1">
        <v>45820</v>
      </c>
      <c r="D271" s="1">
        <v>45850</v>
      </c>
      <c r="E271" s="2">
        <v>1284.06</v>
      </c>
      <c r="F271" t="s">
        <v>26</v>
      </c>
      <c r="G271" t="s">
        <v>17</v>
      </c>
      <c r="I271" t="s">
        <v>941</v>
      </c>
      <c r="J271" t="str">
        <f>IF(ISBLANK(Table1[[#This Row],[PaidDate]]),"Unpaid",IF(Table1[[#This Row],[PaidDate]]&gt;Table1[[#This Row],[DueDate]],"Late",IF(Table1[[#This Row],[PaidDate]]&lt;Table1[[#This Row],[DueDate]],"Early","On Time")))</f>
        <v>Unpaid</v>
      </c>
      <c r="K271" t="str">
        <f ca="1">IF(AND(Table1[[#This Row],[Status]]&lt;&gt;"Paid",TODAY()&gt;Table1[[#This Row],[DueDate]]),"Overdue","OK")</f>
        <v>Overdue</v>
      </c>
    </row>
    <row r="272" spans="1:11" x14ac:dyDescent="0.3">
      <c r="A272" t="s">
        <v>1216</v>
      </c>
      <c r="B272" t="s">
        <v>962</v>
      </c>
      <c r="C272" s="1">
        <v>45834</v>
      </c>
      <c r="D272" s="1">
        <v>45864</v>
      </c>
      <c r="E272" s="2">
        <v>4305.1899999999996</v>
      </c>
      <c r="F272" t="s">
        <v>19</v>
      </c>
      <c r="G272" t="s">
        <v>951</v>
      </c>
      <c r="H272" s="1">
        <v>45864</v>
      </c>
      <c r="I272" t="s">
        <v>941</v>
      </c>
      <c r="J272" t="str">
        <f>IF(ISBLANK(Table1[[#This Row],[PaidDate]]),"Unpaid",IF(Table1[[#This Row],[PaidDate]]&gt;Table1[[#This Row],[DueDate]],"Late",IF(Table1[[#This Row],[PaidDate]]&lt;Table1[[#This Row],[DueDate]],"Early","On Time")))</f>
        <v>On Time</v>
      </c>
      <c r="K272" t="str">
        <f ca="1">IF(AND(Table1[[#This Row],[Status]]&lt;&gt;"Paid",TODAY()&gt;Table1[[#This Row],[DueDate]]),"Overdue","OK")</f>
        <v>OK</v>
      </c>
    </row>
    <row r="273" spans="1:11" x14ac:dyDescent="0.3">
      <c r="A273" t="s">
        <v>1217</v>
      </c>
      <c r="B273" t="s">
        <v>962</v>
      </c>
      <c r="C273" s="1">
        <v>45242</v>
      </c>
      <c r="D273" s="1">
        <v>45272</v>
      </c>
      <c r="E273" s="2">
        <v>1810.33</v>
      </c>
      <c r="F273" t="s">
        <v>28</v>
      </c>
      <c r="G273" t="s">
        <v>17</v>
      </c>
      <c r="I273" t="s">
        <v>941</v>
      </c>
      <c r="J273" t="str">
        <f>IF(ISBLANK(Table1[[#This Row],[PaidDate]]),"Unpaid",IF(Table1[[#This Row],[PaidDate]]&gt;Table1[[#This Row],[DueDate]],"Late",IF(Table1[[#This Row],[PaidDate]]&lt;Table1[[#This Row],[DueDate]],"Early","On Time")))</f>
        <v>Unpaid</v>
      </c>
      <c r="K273" t="str">
        <f ca="1">IF(AND(Table1[[#This Row],[Status]]&lt;&gt;"Paid",TODAY()&gt;Table1[[#This Row],[DueDate]]),"Overdue","OK")</f>
        <v>Overdue</v>
      </c>
    </row>
    <row r="274" spans="1:11" x14ac:dyDescent="0.3">
      <c r="A274" t="s">
        <v>1218</v>
      </c>
      <c r="B274" t="s">
        <v>940</v>
      </c>
      <c r="C274" s="1">
        <v>45373</v>
      </c>
      <c r="D274" s="1">
        <v>45403</v>
      </c>
      <c r="E274" s="2">
        <v>3741.63</v>
      </c>
      <c r="F274" t="s">
        <v>16</v>
      </c>
      <c r="G274" t="s">
        <v>17</v>
      </c>
      <c r="I274" t="s">
        <v>941</v>
      </c>
      <c r="J274" t="str">
        <f>IF(ISBLANK(Table1[[#This Row],[PaidDate]]),"Unpaid",IF(Table1[[#This Row],[PaidDate]]&gt;Table1[[#This Row],[DueDate]],"Late",IF(Table1[[#This Row],[PaidDate]]&lt;Table1[[#This Row],[DueDate]],"Early","On Time")))</f>
        <v>Unpaid</v>
      </c>
      <c r="K274" t="str">
        <f ca="1">IF(AND(Table1[[#This Row],[Status]]&lt;&gt;"Paid",TODAY()&gt;Table1[[#This Row],[DueDate]]),"Overdue","OK")</f>
        <v>Overdue</v>
      </c>
    </row>
    <row r="275" spans="1:11" x14ac:dyDescent="0.3">
      <c r="A275" t="s">
        <v>1219</v>
      </c>
      <c r="B275" t="s">
        <v>944</v>
      </c>
      <c r="C275" s="1">
        <v>45322</v>
      </c>
      <c r="D275" s="1">
        <v>45352</v>
      </c>
      <c r="E275" s="2">
        <v>2037.12</v>
      </c>
      <c r="F275" t="s">
        <v>28</v>
      </c>
      <c r="G275" t="s">
        <v>951</v>
      </c>
      <c r="H275" s="1">
        <v>45352</v>
      </c>
      <c r="I275" t="s">
        <v>941</v>
      </c>
      <c r="J275" t="str">
        <f>IF(ISBLANK(Table1[[#This Row],[PaidDate]]),"Unpaid",IF(Table1[[#This Row],[PaidDate]]&gt;Table1[[#This Row],[DueDate]],"Late",IF(Table1[[#This Row],[PaidDate]]&lt;Table1[[#This Row],[DueDate]],"Early","On Time")))</f>
        <v>On Time</v>
      </c>
      <c r="K275" t="str">
        <f ca="1">IF(AND(Table1[[#This Row],[Status]]&lt;&gt;"Paid",TODAY()&gt;Table1[[#This Row],[DueDate]]),"Overdue","OK")</f>
        <v>OK</v>
      </c>
    </row>
    <row r="276" spans="1:11" x14ac:dyDescent="0.3">
      <c r="A276" t="s">
        <v>1220</v>
      </c>
      <c r="B276" t="s">
        <v>944</v>
      </c>
      <c r="C276" s="1">
        <v>45332</v>
      </c>
      <c r="D276" s="1">
        <v>45362</v>
      </c>
      <c r="E276" s="2">
        <v>970.98</v>
      </c>
      <c r="F276" t="s">
        <v>11</v>
      </c>
      <c r="G276" t="s">
        <v>17</v>
      </c>
      <c r="I276" t="s">
        <v>941</v>
      </c>
      <c r="J276" t="str">
        <f>IF(ISBLANK(Table1[[#This Row],[PaidDate]]),"Unpaid",IF(Table1[[#This Row],[PaidDate]]&gt;Table1[[#This Row],[DueDate]],"Late",IF(Table1[[#This Row],[PaidDate]]&lt;Table1[[#This Row],[DueDate]],"Early","On Time")))</f>
        <v>Unpaid</v>
      </c>
      <c r="K276" t="str">
        <f ca="1">IF(AND(Table1[[#This Row],[Status]]&lt;&gt;"Paid",TODAY()&gt;Table1[[#This Row],[DueDate]]),"Overdue","OK")</f>
        <v>Overdue</v>
      </c>
    </row>
    <row r="277" spans="1:11" x14ac:dyDescent="0.3">
      <c r="A277" t="s">
        <v>1221</v>
      </c>
      <c r="B277" t="s">
        <v>962</v>
      </c>
      <c r="C277" s="1">
        <v>44997</v>
      </c>
      <c r="D277" s="1">
        <v>45027</v>
      </c>
      <c r="E277" s="2">
        <v>743.53</v>
      </c>
      <c r="F277" t="s">
        <v>28</v>
      </c>
      <c r="G277" t="s">
        <v>951</v>
      </c>
      <c r="H277" s="1">
        <v>45027</v>
      </c>
      <c r="I277" t="s">
        <v>941</v>
      </c>
      <c r="J277" t="str">
        <f>IF(ISBLANK(Table1[[#This Row],[PaidDate]]),"Unpaid",IF(Table1[[#This Row],[PaidDate]]&gt;Table1[[#This Row],[DueDate]],"Late",IF(Table1[[#This Row],[PaidDate]]&lt;Table1[[#This Row],[DueDate]],"Early","On Time")))</f>
        <v>On Time</v>
      </c>
      <c r="K277" t="str">
        <f ca="1">IF(AND(Table1[[#This Row],[Status]]&lt;&gt;"Paid",TODAY()&gt;Table1[[#This Row],[DueDate]]),"Overdue","OK")</f>
        <v>OK</v>
      </c>
    </row>
    <row r="278" spans="1:11" x14ac:dyDescent="0.3">
      <c r="A278" t="s">
        <v>1222</v>
      </c>
      <c r="B278" t="s">
        <v>946</v>
      </c>
      <c r="C278" s="1">
        <v>45478</v>
      </c>
      <c r="D278" s="1">
        <v>45508</v>
      </c>
      <c r="E278" s="2">
        <v>983.96</v>
      </c>
      <c r="F278" t="s">
        <v>19</v>
      </c>
      <c r="G278" t="s">
        <v>17</v>
      </c>
      <c r="I278" t="s">
        <v>941</v>
      </c>
      <c r="J278" t="str">
        <f>IF(ISBLANK(Table1[[#This Row],[PaidDate]]),"Unpaid",IF(Table1[[#This Row],[PaidDate]]&gt;Table1[[#This Row],[DueDate]],"Late",IF(Table1[[#This Row],[PaidDate]]&lt;Table1[[#This Row],[DueDate]],"Early","On Time")))</f>
        <v>Unpaid</v>
      </c>
      <c r="K278" t="str">
        <f ca="1">IF(AND(Table1[[#This Row],[Status]]&lt;&gt;"Paid",TODAY()&gt;Table1[[#This Row],[DueDate]]),"Overdue","OK")</f>
        <v>Overdue</v>
      </c>
    </row>
    <row r="279" spans="1:11" x14ac:dyDescent="0.3">
      <c r="A279" t="s">
        <v>1223</v>
      </c>
      <c r="B279" t="s">
        <v>946</v>
      </c>
      <c r="C279" s="1">
        <v>45513</v>
      </c>
      <c r="D279" s="1">
        <v>45543</v>
      </c>
      <c r="E279" s="2">
        <v>1917.71</v>
      </c>
      <c r="F279" t="s">
        <v>19</v>
      </c>
      <c r="G279" t="s">
        <v>17</v>
      </c>
      <c r="I279" t="s">
        <v>941</v>
      </c>
      <c r="J279" t="str">
        <f>IF(ISBLANK(Table1[[#This Row],[PaidDate]]),"Unpaid",IF(Table1[[#This Row],[PaidDate]]&gt;Table1[[#This Row],[DueDate]],"Late",IF(Table1[[#This Row],[PaidDate]]&lt;Table1[[#This Row],[DueDate]],"Early","On Time")))</f>
        <v>Unpaid</v>
      </c>
      <c r="K279" t="str">
        <f ca="1">IF(AND(Table1[[#This Row],[Status]]&lt;&gt;"Paid",TODAY()&gt;Table1[[#This Row],[DueDate]]),"Overdue","OK")</f>
        <v>Overdue</v>
      </c>
    </row>
    <row r="280" spans="1:11" x14ac:dyDescent="0.3">
      <c r="A280" t="s">
        <v>1224</v>
      </c>
      <c r="B280" t="s">
        <v>940</v>
      </c>
      <c r="C280" s="1">
        <v>45487</v>
      </c>
      <c r="D280" s="1">
        <v>45517</v>
      </c>
      <c r="E280" s="2">
        <v>1199.03</v>
      </c>
      <c r="F280" t="s">
        <v>11</v>
      </c>
      <c r="G280" t="s">
        <v>12</v>
      </c>
      <c r="I280" t="s">
        <v>941</v>
      </c>
      <c r="J280" t="str">
        <f>IF(ISBLANK(Table1[[#This Row],[PaidDate]]),"Unpaid",IF(Table1[[#This Row],[PaidDate]]&gt;Table1[[#This Row],[DueDate]],"Late",IF(Table1[[#This Row],[PaidDate]]&lt;Table1[[#This Row],[DueDate]],"Early","On Time")))</f>
        <v>Unpaid</v>
      </c>
      <c r="K280" t="str">
        <f ca="1">IF(AND(Table1[[#This Row],[Status]]&lt;&gt;"Paid",TODAY()&gt;Table1[[#This Row],[DueDate]]),"Overdue","OK")</f>
        <v>Overdue</v>
      </c>
    </row>
    <row r="281" spans="1:11" x14ac:dyDescent="0.3">
      <c r="A281" t="s">
        <v>1225</v>
      </c>
      <c r="B281" t="s">
        <v>946</v>
      </c>
      <c r="C281" s="1">
        <v>45057</v>
      </c>
      <c r="D281" s="1">
        <v>45087</v>
      </c>
      <c r="E281" s="2">
        <v>317.85000000000002</v>
      </c>
      <c r="F281" t="s">
        <v>11</v>
      </c>
      <c r="G281" t="s">
        <v>951</v>
      </c>
      <c r="H281" s="1">
        <v>45087</v>
      </c>
      <c r="I281" t="s">
        <v>941</v>
      </c>
      <c r="J281" t="str">
        <f>IF(ISBLANK(Table1[[#This Row],[PaidDate]]),"Unpaid",IF(Table1[[#This Row],[PaidDate]]&gt;Table1[[#This Row],[DueDate]],"Late",IF(Table1[[#This Row],[PaidDate]]&lt;Table1[[#This Row],[DueDate]],"Early","On Time")))</f>
        <v>On Time</v>
      </c>
      <c r="K281" t="str">
        <f ca="1">IF(AND(Table1[[#This Row],[Status]]&lt;&gt;"Paid",TODAY()&gt;Table1[[#This Row],[DueDate]]),"Overdue","OK")</f>
        <v>OK</v>
      </c>
    </row>
    <row r="282" spans="1:11" x14ac:dyDescent="0.3">
      <c r="A282" t="s">
        <v>1226</v>
      </c>
      <c r="B282" t="s">
        <v>944</v>
      </c>
      <c r="C282" s="1">
        <v>45753</v>
      </c>
      <c r="D282" s="1">
        <v>45783</v>
      </c>
      <c r="E282" s="2">
        <v>4556.93</v>
      </c>
      <c r="F282" t="s">
        <v>16</v>
      </c>
      <c r="G282" t="s">
        <v>12</v>
      </c>
      <c r="I282" t="s">
        <v>941</v>
      </c>
      <c r="J282" t="str">
        <f>IF(ISBLANK(Table1[[#This Row],[PaidDate]]),"Unpaid",IF(Table1[[#This Row],[PaidDate]]&gt;Table1[[#This Row],[DueDate]],"Late",IF(Table1[[#This Row],[PaidDate]]&lt;Table1[[#This Row],[DueDate]],"Early","On Time")))</f>
        <v>Unpaid</v>
      </c>
      <c r="K282" t="str">
        <f ca="1">IF(AND(Table1[[#This Row],[Status]]&lt;&gt;"Paid",TODAY()&gt;Table1[[#This Row],[DueDate]]),"Overdue","OK")</f>
        <v>Overdue</v>
      </c>
    </row>
    <row r="283" spans="1:11" x14ac:dyDescent="0.3">
      <c r="A283" t="s">
        <v>1227</v>
      </c>
      <c r="B283" t="s">
        <v>940</v>
      </c>
      <c r="C283" s="1">
        <v>45606</v>
      </c>
      <c r="D283" s="1">
        <v>45636</v>
      </c>
      <c r="E283" s="2">
        <v>1600.22</v>
      </c>
      <c r="F283" t="s">
        <v>19</v>
      </c>
      <c r="G283" t="s">
        <v>17</v>
      </c>
      <c r="I283" t="s">
        <v>941</v>
      </c>
      <c r="J283" t="str">
        <f>IF(ISBLANK(Table1[[#This Row],[PaidDate]]),"Unpaid",IF(Table1[[#This Row],[PaidDate]]&gt;Table1[[#This Row],[DueDate]],"Late",IF(Table1[[#This Row],[PaidDate]]&lt;Table1[[#This Row],[DueDate]],"Early","On Time")))</f>
        <v>Unpaid</v>
      </c>
      <c r="K283" t="str">
        <f ca="1">IF(AND(Table1[[#This Row],[Status]]&lt;&gt;"Paid",TODAY()&gt;Table1[[#This Row],[DueDate]]),"Overdue","OK")</f>
        <v>Overdue</v>
      </c>
    </row>
    <row r="284" spans="1:11" x14ac:dyDescent="0.3">
      <c r="A284" t="s">
        <v>1228</v>
      </c>
      <c r="B284" t="s">
        <v>944</v>
      </c>
      <c r="C284" s="1">
        <v>44974</v>
      </c>
      <c r="D284" s="1">
        <v>45004</v>
      </c>
      <c r="E284" s="2">
        <v>2011.23</v>
      </c>
      <c r="F284" t="s">
        <v>19</v>
      </c>
      <c r="G284" t="s">
        <v>17</v>
      </c>
      <c r="I284" t="s">
        <v>941</v>
      </c>
      <c r="J284" t="str">
        <f>IF(ISBLANK(Table1[[#This Row],[PaidDate]]),"Unpaid",IF(Table1[[#This Row],[PaidDate]]&gt;Table1[[#This Row],[DueDate]],"Late",IF(Table1[[#This Row],[PaidDate]]&lt;Table1[[#This Row],[DueDate]],"Early","On Time")))</f>
        <v>Unpaid</v>
      </c>
      <c r="K284" t="str">
        <f ca="1">IF(AND(Table1[[#This Row],[Status]]&lt;&gt;"Paid",TODAY()&gt;Table1[[#This Row],[DueDate]]),"Overdue","OK")</f>
        <v>Overdue</v>
      </c>
    </row>
    <row r="285" spans="1:11" x14ac:dyDescent="0.3">
      <c r="A285" t="s">
        <v>1229</v>
      </c>
      <c r="B285" t="s">
        <v>944</v>
      </c>
      <c r="C285" s="1">
        <v>45581</v>
      </c>
      <c r="D285" s="1">
        <v>45611</v>
      </c>
      <c r="E285" s="2">
        <v>2093.29</v>
      </c>
      <c r="F285" t="s">
        <v>26</v>
      </c>
      <c r="G285" t="s">
        <v>17</v>
      </c>
      <c r="I285" t="s">
        <v>941</v>
      </c>
      <c r="J285" t="str">
        <f>IF(ISBLANK(Table1[[#This Row],[PaidDate]]),"Unpaid",IF(Table1[[#This Row],[PaidDate]]&gt;Table1[[#This Row],[DueDate]],"Late",IF(Table1[[#This Row],[PaidDate]]&lt;Table1[[#This Row],[DueDate]],"Early","On Time")))</f>
        <v>Unpaid</v>
      </c>
      <c r="K285" t="str">
        <f ca="1">IF(AND(Table1[[#This Row],[Status]]&lt;&gt;"Paid",TODAY()&gt;Table1[[#This Row],[DueDate]]),"Overdue","OK")</f>
        <v>Overdue</v>
      </c>
    </row>
    <row r="286" spans="1:11" x14ac:dyDescent="0.3">
      <c r="A286" t="s">
        <v>1230</v>
      </c>
      <c r="B286" t="s">
        <v>966</v>
      </c>
      <c r="C286" s="1">
        <v>45752</v>
      </c>
      <c r="D286" s="1">
        <v>45782</v>
      </c>
      <c r="E286" s="2">
        <v>4095</v>
      </c>
      <c r="F286" t="s">
        <v>26</v>
      </c>
      <c r="G286" t="s">
        <v>12</v>
      </c>
      <c r="I286" t="s">
        <v>941</v>
      </c>
      <c r="J286" t="str">
        <f>IF(ISBLANK(Table1[[#This Row],[PaidDate]]),"Unpaid",IF(Table1[[#This Row],[PaidDate]]&gt;Table1[[#This Row],[DueDate]],"Late",IF(Table1[[#This Row],[PaidDate]]&lt;Table1[[#This Row],[DueDate]],"Early","On Time")))</f>
        <v>Unpaid</v>
      </c>
      <c r="K286" t="str">
        <f ca="1">IF(AND(Table1[[#This Row],[Status]]&lt;&gt;"Paid",TODAY()&gt;Table1[[#This Row],[DueDate]]),"Overdue","OK")</f>
        <v>Overdue</v>
      </c>
    </row>
    <row r="287" spans="1:11" x14ac:dyDescent="0.3">
      <c r="A287" t="s">
        <v>1231</v>
      </c>
      <c r="B287" t="s">
        <v>940</v>
      </c>
      <c r="C287" s="1">
        <v>45302</v>
      </c>
      <c r="D287" s="1">
        <v>45332</v>
      </c>
      <c r="E287" s="2">
        <v>3459.29</v>
      </c>
      <c r="F287" t="s">
        <v>19</v>
      </c>
      <c r="G287" t="s">
        <v>12</v>
      </c>
      <c r="I287" t="s">
        <v>941</v>
      </c>
      <c r="J287" t="str">
        <f>IF(ISBLANK(Table1[[#This Row],[PaidDate]]),"Unpaid",IF(Table1[[#This Row],[PaidDate]]&gt;Table1[[#This Row],[DueDate]],"Late",IF(Table1[[#This Row],[PaidDate]]&lt;Table1[[#This Row],[DueDate]],"Early","On Time")))</f>
        <v>Unpaid</v>
      </c>
      <c r="K287" t="str">
        <f ca="1">IF(AND(Table1[[#This Row],[Status]]&lt;&gt;"Paid",TODAY()&gt;Table1[[#This Row],[DueDate]]),"Overdue","OK")</f>
        <v>Overdue</v>
      </c>
    </row>
    <row r="288" spans="1:11" x14ac:dyDescent="0.3">
      <c r="A288" t="s">
        <v>1232</v>
      </c>
      <c r="B288" t="s">
        <v>944</v>
      </c>
      <c r="C288" s="1">
        <v>45225</v>
      </c>
      <c r="D288" s="1">
        <v>45255</v>
      </c>
      <c r="E288" s="2">
        <v>310.83999999999997</v>
      </c>
      <c r="F288" t="s">
        <v>11</v>
      </c>
      <c r="G288" t="s">
        <v>951</v>
      </c>
      <c r="H288" s="1">
        <v>45255</v>
      </c>
      <c r="I288" t="s">
        <v>941</v>
      </c>
      <c r="J288" t="str">
        <f>IF(ISBLANK(Table1[[#This Row],[PaidDate]]),"Unpaid",IF(Table1[[#This Row],[PaidDate]]&gt;Table1[[#This Row],[DueDate]],"Late",IF(Table1[[#This Row],[PaidDate]]&lt;Table1[[#This Row],[DueDate]],"Early","On Time")))</f>
        <v>On Time</v>
      </c>
      <c r="K288" t="str">
        <f ca="1">IF(AND(Table1[[#This Row],[Status]]&lt;&gt;"Paid",TODAY()&gt;Table1[[#This Row],[DueDate]]),"Overdue","OK")</f>
        <v>OK</v>
      </c>
    </row>
    <row r="289" spans="1:11" x14ac:dyDescent="0.3">
      <c r="A289" t="s">
        <v>1233</v>
      </c>
      <c r="B289" t="s">
        <v>946</v>
      </c>
      <c r="C289" s="1">
        <v>45559</v>
      </c>
      <c r="D289" s="1">
        <v>45589</v>
      </c>
      <c r="E289" s="2">
        <v>929.39</v>
      </c>
      <c r="F289" t="s">
        <v>16</v>
      </c>
      <c r="G289" t="s">
        <v>12</v>
      </c>
      <c r="I289" t="s">
        <v>941</v>
      </c>
      <c r="J289" t="str">
        <f>IF(ISBLANK(Table1[[#This Row],[PaidDate]]),"Unpaid",IF(Table1[[#This Row],[PaidDate]]&gt;Table1[[#This Row],[DueDate]],"Late",IF(Table1[[#This Row],[PaidDate]]&lt;Table1[[#This Row],[DueDate]],"Early","On Time")))</f>
        <v>Unpaid</v>
      </c>
      <c r="K289" t="str">
        <f ca="1">IF(AND(Table1[[#This Row],[Status]]&lt;&gt;"Paid",TODAY()&gt;Table1[[#This Row],[DueDate]]),"Overdue","OK")</f>
        <v>Overdue</v>
      </c>
    </row>
    <row r="290" spans="1:11" x14ac:dyDescent="0.3">
      <c r="A290" t="s">
        <v>1234</v>
      </c>
      <c r="B290" t="s">
        <v>966</v>
      </c>
      <c r="C290" s="1">
        <v>45001</v>
      </c>
      <c r="D290" s="1">
        <v>45031</v>
      </c>
      <c r="E290" s="2">
        <v>4087.15</v>
      </c>
      <c r="F290" t="s">
        <v>11</v>
      </c>
      <c r="G290" t="s">
        <v>951</v>
      </c>
      <c r="H290" s="1">
        <v>45031</v>
      </c>
      <c r="I290" t="s">
        <v>941</v>
      </c>
      <c r="J290" t="str">
        <f>IF(ISBLANK(Table1[[#This Row],[PaidDate]]),"Unpaid",IF(Table1[[#This Row],[PaidDate]]&gt;Table1[[#This Row],[DueDate]],"Late",IF(Table1[[#This Row],[PaidDate]]&lt;Table1[[#This Row],[DueDate]],"Early","On Time")))</f>
        <v>On Time</v>
      </c>
      <c r="K290" t="str">
        <f ca="1">IF(AND(Table1[[#This Row],[Status]]&lt;&gt;"Paid",TODAY()&gt;Table1[[#This Row],[DueDate]]),"Overdue","OK")</f>
        <v>OK</v>
      </c>
    </row>
    <row r="291" spans="1:11" x14ac:dyDescent="0.3">
      <c r="A291" t="s">
        <v>1235</v>
      </c>
      <c r="B291" t="s">
        <v>962</v>
      </c>
      <c r="C291" s="1">
        <v>45741</v>
      </c>
      <c r="D291" s="1">
        <v>45771</v>
      </c>
      <c r="E291" s="2">
        <v>2351.0300000000002</v>
      </c>
      <c r="F291" t="s">
        <v>26</v>
      </c>
      <c r="G291" t="s">
        <v>17</v>
      </c>
      <c r="I291" t="s">
        <v>941</v>
      </c>
      <c r="J291" t="str">
        <f>IF(ISBLANK(Table1[[#This Row],[PaidDate]]),"Unpaid",IF(Table1[[#This Row],[PaidDate]]&gt;Table1[[#This Row],[DueDate]],"Late",IF(Table1[[#This Row],[PaidDate]]&lt;Table1[[#This Row],[DueDate]],"Early","On Time")))</f>
        <v>Unpaid</v>
      </c>
      <c r="K291" t="str">
        <f ca="1">IF(AND(Table1[[#This Row],[Status]]&lt;&gt;"Paid",TODAY()&gt;Table1[[#This Row],[DueDate]]),"Overdue","OK")</f>
        <v>Overdue</v>
      </c>
    </row>
    <row r="292" spans="1:11" x14ac:dyDescent="0.3">
      <c r="A292" t="s">
        <v>1236</v>
      </c>
      <c r="B292" t="s">
        <v>966</v>
      </c>
      <c r="C292" s="1">
        <v>45152</v>
      </c>
      <c r="D292" s="1">
        <v>45182</v>
      </c>
      <c r="E292" s="2">
        <v>4799.5</v>
      </c>
      <c r="F292" t="s">
        <v>19</v>
      </c>
      <c r="G292" t="s">
        <v>951</v>
      </c>
      <c r="H292" s="1">
        <v>45182</v>
      </c>
      <c r="I292" t="s">
        <v>941</v>
      </c>
      <c r="J292" t="str">
        <f>IF(ISBLANK(Table1[[#This Row],[PaidDate]]),"Unpaid",IF(Table1[[#This Row],[PaidDate]]&gt;Table1[[#This Row],[DueDate]],"Late",IF(Table1[[#This Row],[PaidDate]]&lt;Table1[[#This Row],[DueDate]],"Early","On Time")))</f>
        <v>On Time</v>
      </c>
      <c r="K292" t="str">
        <f ca="1">IF(AND(Table1[[#This Row],[Status]]&lt;&gt;"Paid",TODAY()&gt;Table1[[#This Row],[DueDate]]),"Overdue","OK")</f>
        <v>OK</v>
      </c>
    </row>
    <row r="293" spans="1:11" x14ac:dyDescent="0.3">
      <c r="A293" t="s">
        <v>1237</v>
      </c>
      <c r="B293" t="s">
        <v>966</v>
      </c>
      <c r="C293" s="1">
        <v>45105</v>
      </c>
      <c r="D293" s="1">
        <v>45135</v>
      </c>
      <c r="E293" s="2">
        <v>2284.77</v>
      </c>
      <c r="F293" t="s">
        <v>28</v>
      </c>
      <c r="G293" t="s">
        <v>17</v>
      </c>
      <c r="I293" t="s">
        <v>941</v>
      </c>
      <c r="J293" t="str">
        <f>IF(ISBLANK(Table1[[#This Row],[PaidDate]]),"Unpaid",IF(Table1[[#This Row],[PaidDate]]&gt;Table1[[#This Row],[DueDate]],"Late",IF(Table1[[#This Row],[PaidDate]]&lt;Table1[[#This Row],[DueDate]],"Early","On Time")))</f>
        <v>Unpaid</v>
      </c>
      <c r="K293" t="str">
        <f ca="1">IF(AND(Table1[[#This Row],[Status]]&lt;&gt;"Paid",TODAY()&gt;Table1[[#This Row],[DueDate]]),"Overdue","OK")</f>
        <v>Overdue</v>
      </c>
    </row>
    <row r="294" spans="1:11" x14ac:dyDescent="0.3">
      <c r="A294" t="s">
        <v>1238</v>
      </c>
      <c r="B294" t="s">
        <v>944</v>
      </c>
      <c r="C294" s="1">
        <v>45142</v>
      </c>
      <c r="D294" s="1">
        <v>45172</v>
      </c>
      <c r="E294" s="2">
        <v>2951.68</v>
      </c>
      <c r="F294" t="s">
        <v>28</v>
      </c>
      <c r="G294" t="s">
        <v>951</v>
      </c>
      <c r="H294" s="1">
        <v>45172</v>
      </c>
      <c r="I294" t="s">
        <v>941</v>
      </c>
      <c r="J294" t="str">
        <f>IF(ISBLANK(Table1[[#This Row],[PaidDate]]),"Unpaid",IF(Table1[[#This Row],[PaidDate]]&gt;Table1[[#This Row],[DueDate]],"Late",IF(Table1[[#This Row],[PaidDate]]&lt;Table1[[#This Row],[DueDate]],"Early","On Time")))</f>
        <v>On Time</v>
      </c>
      <c r="K294" t="str">
        <f ca="1">IF(AND(Table1[[#This Row],[Status]]&lt;&gt;"Paid",TODAY()&gt;Table1[[#This Row],[DueDate]]),"Overdue","OK")</f>
        <v>OK</v>
      </c>
    </row>
    <row r="295" spans="1:11" x14ac:dyDescent="0.3">
      <c r="A295" t="s">
        <v>1239</v>
      </c>
      <c r="B295" t="s">
        <v>946</v>
      </c>
      <c r="C295" s="1">
        <v>45457</v>
      </c>
      <c r="D295" s="1">
        <v>45487</v>
      </c>
      <c r="E295" s="2">
        <v>4227.92</v>
      </c>
      <c r="F295" t="s">
        <v>28</v>
      </c>
      <c r="G295" t="s">
        <v>12</v>
      </c>
      <c r="I295" t="s">
        <v>941</v>
      </c>
      <c r="J295" t="str">
        <f>IF(ISBLANK(Table1[[#This Row],[PaidDate]]),"Unpaid",IF(Table1[[#This Row],[PaidDate]]&gt;Table1[[#This Row],[DueDate]],"Late",IF(Table1[[#This Row],[PaidDate]]&lt;Table1[[#This Row],[DueDate]],"Early","On Time")))</f>
        <v>Unpaid</v>
      </c>
      <c r="K295" t="str">
        <f ca="1">IF(AND(Table1[[#This Row],[Status]]&lt;&gt;"Paid",TODAY()&gt;Table1[[#This Row],[DueDate]]),"Overdue","OK")</f>
        <v>Overdue</v>
      </c>
    </row>
    <row r="296" spans="1:11" x14ac:dyDescent="0.3">
      <c r="A296" t="s">
        <v>1240</v>
      </c>
      <c r="B296" t="s">
        <v>966</v>
      </c>
      <c r="C296" s="1">
        <v>45617</v>
      </c>
      <c r="D296" s="1">
        <v>45647</v>
      </c>
      <c r="E296" s="2">
        <v>1060.77</v>
      </c>
      <c r="F296" t="s">
        <v>28</v>
      </c>
      <c r="G296" t="s">
        <v>951</v>
      </c>
      <c r="H296" s="1">
        <v>45647</v>
      </c>
      <c r="I296" t="s">
        <v>941</v>
      </c>
      <c r="J296" t="str">
        <f>IF(ISBLANK(Table1[[#This Row],[PaidDate]]),"Unpaid",IF(Table1[[#This Row],[PaidDate]]&gt;Table1[[#This Row],[DueDate]],"Late",IF(Table1[[#This Row],[PaidDate]]&lt;Table1[[#This Row],[DueDate]],"Early","On Time")))</f>
        <v>On Time</v>
      </c>
      <c r="K296" t="str">
        <f ca="1">IF(AND(Table1[[#This Row],[Status]]&lt;&gt;"Paid",TODAY()&gt;Table1[[#This Row],[DueDate]]),"Overdue","OK")</f>
        <v>OK</v>
      </c>
    </row>
    <row r="297" spans="1:11" x14ac:dyDescent="0.3">
      <c r="A297" t="s">
        <v>1241</v>
      </c>
      <c r="B297" t="s">
        <v>940</v>
      </c>
      <c r="C297" s="1">
        <v>45285</v>
      </c>
      <c r="D297" s="1">
        <v>45315</v>
      </c>
      <c r="E297" s="2">
        <v>4147.42</v>
      </c>
      <c r="F297" t="s">
        <v>28</v>
      </c>
      <c r="G297" t="s">
        <v>12</v>
      </c>
      <c r="I297" t="s">
        <v>941</v>
      </c>
      <c r="J297" t="str">
        <f>IF(ISBLANK(Table1[[#This Row],[PaidDate]]),"Unpaid",IF(Table1[[#This Row],[PaidDate]]&gt;Table1[[#This Row],[DueDate]],"Late",IF(Table1[[#This Row],[PaidDate]]&lt;Table1[[#This Row],[DueDate]],"Early","On Time")))</f>
        <v>Unpaid</v>
      </c>
      <c r="K297" t="str">
        <f ca="1">IF(AND(Table1[[#This Row],[Status]]&lt;&gt;"Paid",TODAY()&gt;Table1[[#This Row],[DueDate]]),"Overdue","OK")</f>
        <v>Overdue</v>
      </c>
    </row>
    <row r="298" spans="1:11" x14ac:dyDescent="0.3">
      <c r="A298" t="s">
        <v>1242</v>
      </c>
      <c r="B298" t="s">
        <v>946</v>
      </c>
      <c r="C298" s="1">
        <v>45206</v>
      </c>
      <c r="D298" s="1">
        <v>45236</v>
      </c>
      <c r="E298" s="2">
        <v>4406.58</v>
      </c>
      <c r="F298" t="s">
        <v>19</v>
      </c>
      <c r="G298" t="s">
        <v>951</v>
      </c>
      <c r="H298" s="1">
        <v>45236</v>
      </c>
      <c r="I298" t="s">
        <v>941</v>
      </c>
      <c r="J298" t="str">
        <f>IF(ISBLANK(Table1[[#This Row],[PaidDate]]),"Unpaid",IF(Table1[[#This Row],[PaidDate]]&gt;Table1[[#This Row],[DueDate]],"Late",IF(Table1[[#This Row],[PaidDate]]&lt;Table1[[#This Row],[DueDate]],"Early","On Time")))</f>
        <v>On Time</v>
      </c>
      <c r="K298" t="str">
        <f ca="1">IF(AND(Table1[[#This Row],[Status]]&lt;&gt;"Paid",TODAY()&gt;Table1[[#This Row],[DueDate]]),"Overdue","OK")</f>
        <v>OK</v>
      </c>
    </row>
    <row r="299" spans="1:11" x14ac:dyDescent="0.3">
      <c r="A299" t="s">
        <v>1243</v>
      </c>
      <c r="B299" t="s">
        <v>962</v>
      </c>
      <c r="C299" s="1">
        <v>45069</v>
      </c>
      <c r="D299" s="1">
        <v>45099</v>
      </c>
      <c r="E299" s="2">
        <v>3855.44</v>
      </c>
      <c r="F299" t="s">
        <v>26</v>
      </c>
      <c r="G299" t="s">
        <v>17</v>
      </c>
      <c r="I299" t="s">
        <v>941</v>
      </c>
      <c r="J299" t="str">
        <f>IF(ISBLANK(Table1[[#This Row],[PaidDate]]),"Unpaid",IF(Table1[[#This Row],[PaidDate]]&gt;Table1[[#This Row],[DueDate]],"Late",IF(Table1[[#This Row],[PaidDate]]&lt;Table1[[#This Row],[DueDate]],"Early","On Time")))</f>
        <v>Unpaid</v>
      </c>
      <c r="K299" t="str">
        <f ca="1">IF(AND(Table1[[#This Row],[Status]]&lt;&gt;"Paid",TODAY()&gt;Table1[[#This Row],[DueDate]]),"Overdue","OK")</f>
        <v>Overdue</v>
      </c>
    </row>
    <row r="300" spans="1:11" x14ac:dyDescent="0.3">
      <c r="A300" t="s">
        <v>1244</v>
      </c>
      <c r="B300" t="s">
        <v>946</v>
      </c>
      <c r="C300" s="1">
        <v>45773</v>
      </c>
      <c r="D300" s="1">
        <v>45803</v>
      </c>
      <c r="E300" s="2">
        <v>1239.49</v>
      </c>
      <c r="F300" t="s">
        <v>26</v>
      </c>
      <c r="G300" t="s">
        <v>17</v>
      </c>
      <c r="I300" t="s">
        <v>941</v>
      </c>
      <c r="J300" t="str">
        <f>IF(ISBLANK(Table1[[#This Row],[PaidDate]]),"Unpaid",IF(Table1[[#This Row],[PaidDate]]&gt;Table1[[#This Row],[DueDate]],"Late",IF(Table1[[#This Row],[PaidDate]]&lt;Table1[[#This Row],[DueDate]],"Early","On Time")))</f>
        <v>Unpaid</v>
      </c>
      <c r="K300" t="str">
        <f ca="1">IF(AND(Table1[[#This Row],[Status]]&lt;&gt;"Paid",TODAY()&gt;Table1[[#This Row],[DueDate]]),"Overdue","OK")</f>
        <v>Overdue</v>
      </c>
    </row>
    <row r="301" spans="1:11" x14ac:dyDescent="0.3">
      <c r="A301" t="s">
        <v>1245</v>
      </c>
      <c r="B301" t="s">
        <v>962</v>
      </c>
      <c r="C301" s="1">
        <v>45819</v>
      </c>
      <c r="D301" s="1">
        <v>45849</v>
      </c>
      <c r="E301" s="2">
        <v>4842.93</v>
      </c>
      <c r="F301" t="s">
        <v>28</v>
      </c>
      <c r="G301" t="s">
        <v>17</v>
      </c>
      <c r="I301" t="s">
        <v>941</v>
      </c>
      <c r="J301" t="str">
        <f>IF(ISBLANK(Table1[[#This Row],[PaidDate]]),"Unpaid",IF(Table1[[#This Row],[PaidDate]]&gt;Table1[[#This Row],[DueDate]],"Late",IF(Table1[[#This Row],[PaidDate]]&lt;Table1[[#This Row],[DueDate]],"Early","On Time")))</f>
        <v>Unpaid</v>
      </c>
      <c r="K301" t="str">
        <f ca="1">IF(AND(Table1[[#This Row],[Status]]&lt;&gt;"Paid",TODAY()&gt;Table1[[#This Row],[DueDate]]),"Overdue","OK")</f>
        <v>Overdue</v>
      </c>
    </row>
    <row r="302" spans="1:11" x14ac:dyDescent="0.3">
      <c r="A302" t="s">
        <v>1246</v>
      </c>
      <c r="B302" t="s">
        <v>940</v>
      </c>
      <c r="C302" s="1">
        <v>45833</v>
      </c>
      <c r="D302" s="1">
        <v>45863</v>
      </c>
      <c r="E302" s="2">
        <v>1477.77</v>
      </c>
      <c r="F302" t="s">
        <v>11</v>
      </c>
      <c r="G302" t="s">
        <v>17</v>
      </c>
      <c r="I302" t="s">
        <v>941</v>
      </c>
      <c r="J302" t="str">
        <f>IF(ISBLANK(Table1[[#This Row],[PaidDate]]),"Unpaid",IF(Table1[[#This Row],[PaidDate]]&gt;Table1[[#This Row],[DueDate]],"Late",IF(Table1[[#This Row],[PaidDate]]&lt;Table1[[#This Row],[DueDate]],"Early","On Time")))</f>
        <v>Unpaid</v>
      </c>
      <c r="K302" t="str">
        <f ca="1">IF(AND(Table1[[#This Row],[Status]]&lt;&gt;"Paid",TODAY()&gt;Table1[[#This Row],[DueDate]]),"Overdue","OK")</f>
        <v>Overdue</v>
      </c>
    </row>
    <row r="303" spans="1:11" x14ac:dyDescent="0.3">
      <c r="A303" t="s">
        <v>1247</v>
      </c>
      <c r="B303" t="s">
        <v>944</v>
      </c>
      <c r="C303" s="1">
        <v>45717</v>
      </c>
      <c r="D303" s="1">
        <v>45747</v>
      </c>
      <c r="E303" s="2">
        <v>4772.12</v>
      </c>
      <c r="F303" t="s">
        <v>11</v>
      </c>
      <c r="G303" t="s">
        <v>951</v>
      </c>
      <c r="H303" s="1">
        <v>45747</v>
      </c>
      <c r="I303" t="s">
        <v>941</v>
      </c>
      <c r="J303" t="str">
        <f>IF(ISBLANK(Table1[[#This Row],[PaidDate]]),"Unpaid",IF(Table1[[#This Row],[PaidDate]]&gt;Table1[[#This Row],[DueDate]],"Late",IF(Table1[[#This Row],[PaidDate]]&lt;Table1[[#This Row],[DueDate]],"Early","On Time")))</f>
        <v>On Time</v>
      </c>
      <c r="K303" t="str">
        <f ca="1">IF(AND(Table1[[#This Row],[Status]]&lt;&gt;"Paid",TODAY()&gt;Table1[[#This Row],[DueDate]]),"Overdue","OK")</f>
        <v>OK</v>
      </c>
    </row>
    <row r="304" spans="1:11" x14ac:dyDescent="0.3">
      <c r="A304" t="s">
        <v>1248</v>
      </c>
      <c r="B304" t="s">
        <v>966</v>
      </c>
      <c r="C304" s="1">
        <v>45035</v>
      </c>
      <c r="D304" s="1">
        <v>45065</v>
      </c>
      <c r="E304" s="2">
        <v>2860.03</v>
      </c>
      <c r="F304" t="s">
        <v>28</v>
      </c>
      <c r="G304" t="s">
        <v>951</v>
      </c>
      <c r="H304" s="1">
        <v>45065</v>
      </c>
      <c r="I304" t="s">
        <v>941</v>
      </c>
      <c r="J304" t="str">
        <f>IF(ISBLANK(Table1[[#This Row],[PaidDate]]),"Unpaid",IF(Table1[[#This Row],[PaidDate]]&gt;Table1[[#This Row],[DueDate]],"Late",IF(Table1[[#This Row],[PaidDate]]&lt;Table1[[#This Row],[DueDate]],"Early","On Time")))</f>
        <v>On Time</v>
      </c>
      <c r="K304" t="str">
        <f ca="1">IF(AND(Table1[[#This Row],[Status]]&lt;&gt;"Paid",TODAY()&gt;Table1[[#This Row],[DueDate]]),"Overdue","OK")</f>
        <v>OK</v>
      </c>
    </row>
    <row r="305" spans="1:11" x14ac:dyDescent="0.3">
      <c r="A305" t="s">
        <v>1249</v>
      </c>
      <c r="B305" t="s">
        <v>966</v>
      </c>
      <c r="C305" s="1">
        <v>45504</v>
      </c>
      <c r="D305" s="1">
        <v>45534</v>
      </c>
      <c r="E305" s="2">
        <v>1886.55</v>
      </c>
      <c r="F305" t="s">
        <v>28</v>
      </c>
      <c r="G305" t="s">
        <v>12</v>
      </c>
      <c r="I305" t="s">
        <v>941</v>
      </c>
      <c r="J305" t="str">
        <f>IF(ISBLANK(Table1[[#This Row],[PaidDate]]),"Unpaid",IF(Table1[[#This Row],[PaidDate]]&gt;Table1[[#This Row],[DueDate]],"Late",IF(Table1[[#This Row],[PaidDate]]&lt;Table1[[#This Row],[DueDate]],"Early","On Time")))</f>
        <v>Unpaid</v>
      </c>
      <c r="K305" t="str">
        <f ca="1">IF(AND(Table1[[#This Row],[Status]]&lt;&gt;"Paid",TODAY()&gt;Table1[[#This Row],[DueDate]]),"Overdue","OK")</f>
        <v>Overdue</v>
      </c>
    </row>
    <row r="306" spans="1:11" x14ac:dyDescent="0.3">
      <c r="A306" t="s">
        <v>1250</v>
      </c>
      <c r="B306" t="s">
        <v>940</v>
      </c>
      <c r="C306" s="1">
        <v>45449</v>
      </c>
      <c r="D306" s="1">
        <v>45479</v>
      </c>
      <c r="E306" s="2">
        <v>4336.49</v>
      </c>
      <c r="F306" t="s">
        <v>28</v>
      </c>
      <c r="G306" t="s">
        <v>17</v>
      </c>
      <c r="I306" t="s">
        <v>941</v>
      </c>
      <c r="J306" t="str">
        <f>IF(ISBLANK(Table1[[#This Row],[PaidDate]]),"Unpaid",IF(Table1[[#This Row],[PaidDate]]&gt;Table1[[#This Row],[DueDate]],"Late",IF(Table1[[#This Row],[PaidDate]]&lt;Table1[[#This Row],[DueDate]],"Early","On Time")))</f>
        <v>Unpaid</v>
      </c>
      <c r="K306" t="str">
        <f ca="1">IF(AND(Table1[[#This Row],[Status]]&lt;&gt;"Paid",TODAY()&gt;Table1[[#This Row],[DueDate]]),"Overdue","OK")</f>
        <v>Overdue</v>
      </c>
    </row>
    <row r="307" spans="1:11" x14ac:dyDescent="0.3">
      <c r="A307" t="s">
        <v>1251</v>
      </c>
      <c r="B307" t="s">
        <v>940</v>
      </c>
      <c r="C307" s="1">
        <v>45256</v>
      </c>
      <c r="D307" s="1">
        <v>45286</v>
      </c>
      <c r="E307" s="2">
        <v>4046.8</v>
      </c>
      <c r="F307" t="s">
        <v>11</v>
      </c>
      <c r="G307" t="s">
        <v>12</v>
      </c>
      <c r="I307" t="s">
        <v>941</v>
      </c>
      <c r="J307" t="str">
        <f>IF(ISBLANK(Table1[[#This Row],[PaidDate]]),"Unpaid",IF(Table1[[#This Row],[PaidDate]]&gt;Table1[[#This Row],[DueDate]],"Late",IF(Table1[[#This Row],[PaidDate]]&lt;Table1[[#This Row],[DueDate]],"Early","On Time")))</f>
        <v>Unpaid</v>
      </c>
      <c r="K307" t="str">
        <f ca="1">IF(AND(Table1[[#This Row],[Status]]&lt;&gt;"Paid",TODAY()&gt;Table1[[#This Row],[DueDate]]),"Overdue","OK")</f>
        <v>Overdue</v>
      </c>
    </row>
    <row r="308" spans="1:11" x14ac:dyDescent="0.3">
      <c r="A308" t="s">
        <v>1252</v>
      </c>
      <c r="B308" t="s">
        <v>940</v>
      </c>
      <c r="C308" s="1">
        <v>45787</v>
      </c>
      <c r="D308" s="1">
        <v>45817</v>
      </c>
      <c r="E308" s="2">
        <v>3387.6</v>
      </c>
      <c r="F308" t="s">
        <v>28</v>
      </c>
      <c r="G308" t="s">
        <v>951</v>
      </c>
      <c r="H308" s="1">
        <v>45817</v>
      </c>
      <c r="I308" t="s">
        <v>941</v>
      </c>
      <c r="J308" t="str">
        <f>IF(ISBLANK(Table1[[#This Row],[PaidDate]]),"Unpaid",IF(Table1[[#This Row],[PaidDate]]&gt;Table1[[#This Row],[DueDate]],"Late",IF(Table1[[#This Row],[PaidDate]]&lt;Table1[[#This Row],[DueDate]],"Early","On Time")))</f>
        <v>On Time</v>
      </c>
      <c r="K308" t="str">
        <f ca="1">IF(AND(Table1[[#This Row],[Status]]&lt;&gt;"Paid",TODAY()&gt;Table1[[#This Row],[DueDate]]),"Overdue","OK")</f>
        <v>OK</v>
      </c>
    </row>
    <row r="309" spans="1:11" x14ac:dyDescent="0.3">
      <c r="A309" t="s">
        <v>1253</v>
      </c>
      <c r="B309" t="s">
        <v>962</v>
      </c>
      <c r="C309" s="1">
        <v>45679</v>
      </c>
      <c r="D309" s="1">
        <v>45709</v>
      </c>
      <c r="E309" s="2">
        <v>4207.8599999999997</v>
      </c>
      <c r="F309" t="s">
        <v>16</v>
      </c>
      <c r="G309" t="s">
        <v>17</v>
      </c>
      <c r="I309" t="s">
        <v>941</v>
      </c>
      <c r="J309" t="str">
        <f>IF(ISBLANK(Table1[[#This Row],[PaidDate]]),"Unpaid",IF(Table1[[#This Row],[PaidDate]]&gt;Table1[[#This Row],[DueDate]],"Late",IF(Table1[[#This Row],[PaidDate]]&lt;Table1[[#This Row],[DueDate]],"Early","On Time")))</f>
        <v>Unpaid</v>
      </c>
      <c r="K309" t="str">
        <f ca="1">IF(AND(Table1[[#This Row],[Status]]&lt;&gt;"Paid",TODAY()&gt;Table1[[#This Row],[DueDate]]),"Overdue","OK")</f>
        <v>Overdue</v>
      </c>
    </row>
    <row r="310" spans="1:11" x14ac:dyDescent="0.3">
      <c r="A310" t="s">
        <v>1254</v>
      </c>
      <c r="B310" t="s">
        <v>966</v>
      </c>
      <c r="C310" s="1">
        <v>45320</v>
      </c>
      <c r="D310" s="1">
        <v>45350</v>
      </c>
      <c r="E310" s="2">
        <v>2784.29</v>
      </c>
      <c r="F310" t="s">
        <v>26</v>
      </c>
      <c r="G310" t="s">
        <v>17</v>
      </c>
      <c r="I310" t="s">
        <v>941</v>
      </c>
      <c r="J310" t="str">
        <f>IF(ISBLANK(Table1[[#This Row],[PaidDate]]),"Unpaid",IF(Table1[[#This Row],[PaidDate]]&gt;Table1[[#This Row],[DueDate]],"Late",IF(Table1[[#This Row],[PaidDate]]&lt;Table1[[#This Row],[DueDate]],"Early","On Time")))</f>
        <v>Unpaid</v>
      </c>
      <c r="K310" t="str">
        <f ca="1">IF(AND(Table1[[#This Row],[Status]]&lt;&gt;"Paid",TODAY()&gt;Table1[[#This Row],[DueDate]]),"Overdue","OK")</f>
        <v>Overdue</v>
      </c>
    </row>
    <row r="311" spans="1:11" x14ac:dyDescent="0.3">
      <c r="A311" t="s">
        <v>1255</v>
      </c>
      <c r="B311" t="s">
        <v>966</v>
      </c>
      <c r="C311" s="1">
        <v>45576</v>
      </c>
      <c r="D311" s="1">
        <v>45606</v>
      </c>
      <c r="E311" s="2">
        <v>2721.22</v>
      </c>
      <c r="F311" t="s">
        <v>19</v>
      </c>
      <c r="G311" t="s">
        <v>12</v>
      </c>
      <c r="I311" t="s">
        <v>941</v>
      </c>
      <c r="J311" t="str">
        <f>IF(ISBLANK(Table1[[#This Row],[PaidDate]]),"Unpaid",IF(Table1[[#This Row],[PaidDate]]&gt;Table1[[#This Row],[DueDate]],"Late",IF(Table1[[#This Row],[PaidDate]]&lt;Table1[[#This Row],[DueDate]],"Early","On Time")))</f>
        <v>Unpaid</v>
      </c>
      <c r="K311" t="str">
        <f ca="1">IF(AND(Table1[[#This Row],[Status]]&lt;&gt;"Paid",TODAY()&gt;Table1[[#This Row],[DueDate]]),"Overdue","OK")</f>
        <v>Overdue</v>
      </c>
    </row>
    <row r="312" spans="1:11" x14ac:dyDescent="0.3">
      <c r="A312" t="s">
        <v>1256</v>
      </c>
      <c r="B312" t="s">
        <v>944</v>
      </c>
      <c r="C312" s="1">
        <v>44993</v>
      </c>
      <c r="D312" s="1">
        <v>45023</v>
      </c>
      <c r="E312" s="2">
        <v>1741.36</v>
      </c>
      <c r="F312" t="s">
        <v>26</v>
      </c>
      <c r="G312" t="s">
        <v>12</v>
      </c>
      <c r="I312" t="s">
        <v>941</v>
      </c>
      <c r="J312" t="str">
        <f>IF(ISBLANK(Table1[[#This Row],[PaidDate]]),"Unpaid",IF(Table1[[#This Row],[PaidDate]]&gt;Table1[[#This Row],[DueDate]],"Late",IF(Table1[[#This Row],[PaidDate]]&lt;Table1[[#This Row],[DueDate]],"Early","On Time")))</f>
        <v>Unpaid</v>
      </c>
      <c r="K312" t="str">
        <f ca="1">IF(AND(Table1[[#This Row],[Status]]&lt;&gt;"Paid",TODAY()&gt;Table1[[#This Row],[DueDate]]),"Overdue","OK")</f>
        <v>Overdue</v>
      </c>
    </row>
    <row r="313" spans="1:11" x14ac:dyDescent="0.3">
      <c r="A313" t="s">
        <v>1257</v>
      </c>
      <c r="B313" t="s">
        <v>966</v>
      </c>
      <c r="C313" s="1">
        <v>45465</v>
      </c>
      <c r="D313" s="1">
        <v>45495</v>
      </c>
      <c r="E313" s="2">
        <v>4981.4399999999996</v>
      </c>
      <c r="F313" t="s">
        <v>11</v>
      </c>
      <c r="G313" t="s">
        <v>951</v>
      </c>
      <c r="H313" s="1">
        <v>45495</v>
      </c>
      <c r="I313" t="s">
        <v>941</v>
      </c>
      <c r="J313" t="str">
        <f>IF(ISBLANK(Table1[[#This Row],[PaidDate]]),"Unpaid",IF(Table1[[#This Row],[PaidDate]]&gt;Table1[[#This Row],[DueDate]],"Late",IF(Table1[[#This Row],[PaidDate]]&lt;Table1[[#This Row],[DueDate]],"Early","On Time")))</f>
        <v>On Time</v>
      </c>
      <c r="K313" t="str">
        <f ca="1">IF(AND(Table1[[#This Row],[Status]]&lt;&gt;"Paid",TODAY()&gt;Table1[[#This Row],[DueDate]]),"Overdue","OK")</f>
        <v>OK</v>
      </c>
    </row>
    <row r="314" spans="1:11" x14ac:dyDescent="0.3">
      <c r="A314" t="s">
        <v>1258</v>
      </c>
      <c r="B314" t="s">
        <v>946</v>
      </c>
      <c r="C314" s="1">
        <v>45062</v>
      </c>
      <c r="D314" s="1">
        <v>45092</v>
      </c>
      <c r="E314" s="2">
        <v>2244.6799999999998</v>
      </c>
      <c r="F314" t="s">
        <v>16</v>
      </c>
      <c r="G314" t="s">
        <v>17</v>
      </c>
      <c r="I314" t="s">
        <v>941</v>
      </c>
      <c r="J314" t="str">
        <f>IF(ISBLANK(Table1[[#This Row],[PaidDate]]),"Unpaid",IF(Table1[[#This Row],[PaidDate]]&gt;Table1[[#This Row],[DueDate]],"Late",IF(Table1[[#This Row],[PaidDate]]&lt;Table1[[#This Row],[DueDate]],"Early","On Time")))</f>
        <v>Unpaid</v>
      </c>
      <c r="K314" t="str">
        <f ca="1">IF(AND(Table1[[#This Row],[Status]]&lt;&gt;"Paid",TODAY()&gt;Table1[[#This Row],[DueDate]]),"Overdue","OK")</f>
        <v>Overdue</v>
      </c>
    </row>
    <row r="315" spans="1:11" x14ac:dyDescent="0.3">
      <c r="A315" t="s">
        <v>1259</v>
      </c>
      <c r="B315" t="s">
        <v>940</v>
      </c>
      <c r="C315" s="1">
        <v>45567</v>
      </c>
      <c r="D315" s="1">
        <v>45597</v>
      </c>
      <c r="E315" s="2">
        <v>660.06</v>
      </c>
      <c r="F315" t="s">
        <v>28</v>
      </c>
      <c r="G315" t="s">
        <v>951</v>
      </c>
      <c r="H315" s="1">
        <v>45597</v>
      </c>
      <c r="I315" t="s">
        <v>941</v>
      </c>
      <c r="J315" t="str">
        <f>IF(ISBLANK(Table1[[#This Row],[PaidDate]]),"Unpaid",IF(Table1[[#This Row],[PaidDate]]&gt;Table1[[#This Row],[DueDate]],"Late",IF(Table1[[#This Row],[PaidDate]]&lt;Table1[[#This Row],[DueDate]],"Early","On Time")))</f>
        <v>On Time</v>
      </c>
      <c r="K315" t="str">
        <f ca="1">IF(AND(Table1[[#This Row],[Status]]&lt;&gt;"Paid",TODAY()&gt;Table1[[#This Row],[DueDate]]),"Overdue","OK")</f>
        <v>OK</v>
      </c>
    </row>
    <row r="316" spans="1:11" x14ac:dyDescent="0.3">
      <c r="A316" t="s">
        <v>1260</v>
      </c>
      <c r="B316" t="s">
        <v>962</v>
      </c>
      <c r="C316" s="1">
        <v>45722</v>
      </c>
      <c r="D316" s="1">
        <v>45752</v>
      </c>
      <c r="E316" s="2">
        <v>2932.27</v>
      </c>
      <c r="F316" t="s">
        <v>28</v>
      </c>
      <c r="G316" t="s">
        <v>951</v>
      </c>
      <c r="H316" s="1">
        <v>45752</v>
      </c>
      <c r="I316" t="s">
        <v>941</v>
      </c>
      <c r="J316" t="str">
        <f>IF(ISBLANK(Table1[[#This Row],[PaidDate]]),"Unpaid",IF(Table1[[#This Row],[PaidDate]]&gt;Table1[[#This Row],[DueDate]],"Late",IF(Table1[[#This Row],[PaidDate]]&lt;Table1[[#This Row],[DueDate]],"Early","On Time")))</f>
        <v>On Time</v>
      </c>
      <c r="K316" t="str">
        <f ca="1">IF(AND(Table1[[#This Row],[Status]]&lt;&gt;"Paid",TODAY()&gt;Table1[[#This Row],[DueDate]]),"Overdue","OK")</f>
        <v>OK</v>
      </c>
    </row>
    <row r="317" spans="1:11" x14ac:dyDescent="0.3">
      <c r="A317" t="s">
        <v>1261</v>
      </c>
      <c r="B317" t="s">
        <v>962</v>
      </c>
      <c r="C317" s="1">
        <v>45511</v>
      </c>
      <c r="D317" s="1">
        <v>45541</v>
      </c>
      <c r="E317" s="2">
        <v>451.25</v>
      </c>
      <c r="F317" t="s">
        <v>19</v>
      </c>
      <c r="G317" t="s">
        <v>17</v>
      </c>
      <c r="I317" t="s">
        <v>941</v>
      </c>
      <c r="J317" t="str">
        <f>IF(ISBLANK(Table1[[#This Row],[PaidDate]]),"Unpaid",IF(Table1[[#This Row],[PaidDate]]&gt;Table1[[#This Row],[DueDate]],"Late",IF(Table1[[#This Row],[PaidDate]]&lt;Table1[[#This Row],[DueDate]],"Early","On Time")))</f>
        <v>Unpaid</v>
      </c>
      <c r="K317" t="str">
        <f ca="1">IF(AND(Table1[[#This Row],[Status]]&lt;&gt;"Paid",TODAY()&gt;Table1[[#This Row],[DueDate]]),"Overdue","OK")</f>
        <v>Overdue</v>
      </c>
    </row>
    <row r="318" spans="1:11" x14ac:dyDescent="0.3">
      <c r="A318" t="s">
        <v>1262</v>
      </c>
      <c r="B318" t="s">
        <v>944</v>
      </c>
      <c r="C318" s="1">
        <v>45838</v>
      </c>
      <c r="D318" s="1">
        <v>45868</v>
      </c>
      <c r="E318" s="2">
        <v>2665.5</v>
      </c>
      <c r="F318" t="s">
        <v>26</v>
      </c>
      <c r="G318" t="s">
        <v>12</v>
      </c>
      <c r="I318" t="s">
        <v>941</v>
      </c>
      <c r="J318" t="str">
        <f>IF(ISBLANK(Table1[[#This Row],[PaidDate]]),"Unpaid",IF(Table1[[#This Row],[PaidDate]]&gt;Table1[[#This Row],[DueDate]],"Late",IF(Table1[[#This Row],[PaidDate]]&lt;Table1[[#This Row],[DueDate]],"Early","On Time")))</f>
        <v>Unpaid</v>
      </c>
      <c r="K318" t="str">
        <f ca="1">IF(AND(Table1[[#This Row],[Status]]&lt;&gt;"Paid",TODAY()&gt;Table1[[#This Row],[DueDate]]),"Overdue","OK")</f>
        <v>Overdue</v>
      </c>
    </row>
    <row r="319" spans="1:11" x14ac:dyDescent="0.3">
      <c r="A319" t="s">
        <v>1263</v>
      </c>
      <c r="B319" t="s">
        <v>940</v>
      </c>
      <c r="C319" s="1">
        <v>45707</v>
      </c>
      <c r="D319" s="1">
        <v>45737</v>
      </c>
      <c r="E319" s="2">
        <v>1471.82</v>
      </c>
      <c r="F319" t="s">
        <v>11</v>
      </c>
      <c r="G319" t="s">
        <v>17</v>
      </c>
      <c r="I319" t="s">
        <v>941</v>
      </c>
      <c r="J319" t="str">
        <f>IF(ISBLANK(Table1[[#This Row],[PaidDate]]),"Unpaid",IF(Table1[[#This Row],[PaidDate]]&gt;Table1[[#This Row],[DueDate]],"Late",IF(Table1[[#This Row],[PaidDate]]&lt;Table1[[#This Row],[DueDate]],"Early","On Time")))</f>
        <v>Unpaid</v>
      </c>
      <c r="K319" t="str">
        <f ca="1">IF(AND(Table1[[#This Row],[Status]]&lt;&gt;"Paid",TODAY()&gt;Table1[[#This Row],[DueDate]]),"Overdue","OK")</f>
        <v>Overdue</v>
      </c>
    </row>
    <row r="320" spans="1:11" x14ac:dyDescent="0.3">
      <c r="A320" t="s">
        <v>1264</v>
      </c>
      <c r="B320" t="s">
        <v>946</v>
      </c>
      <c r="C320" s="1">
        <v>45391</v>
      </c>
      <c r="D320" s="1">
        <v>45421</v>
      </c>
      <c r="E320" s="2">
        <v>1830.02</v>
      </c>
      <c r="F320" t="s">
        <v>19</v>
      </c>
      <c r="G320" t="s">
        <v>951</v>
      </c>
      <c r="H320" s="1">
        <v>45421</v>
      </c>
      <c r="I320" t="s">
        <v>941</v>
      </c>
      <c r="J320" t="str">
        <f>IF(ISBLANK(Table1[[#This Row],[PaidDate]]),"Unpaid",IF(Table1[[#This Row],[PaidDate]]&gt;Table1[[#This Row],[DueDate]],"Late",IF(Table1[[#This Row],[PaidDate]]&lt;Table1[[#This Row],[DueDate]],"Early","On Time")))</f>
        <v>On Time</v>
      </c>
      <c r="K320" t="str">
        <f ca="1">IF(AND(Table1[[#This Row],[Status]]&lt;&gt;"Paid",TODAY()&gt;Table1[[#This Row],[DueDate]]),"Overdue","OK")</f>
        <v>OK</v>
      </c>
    </row>
    <row r="321" spans="1:11" x14ac:dyDescent="0.3">
      <c r="A321" t="s">
        <v>1265</v>
      </c>
      <c r="B321" t="s">
        <v>946</v>
      </c>
      <c r="C321" s="1">
        <v>44979</v>
      </c>
      <c r="D321" s="1">
        <v>45009</v>
      </c>
      <c r="E321" s="2">
        <v>4995.3900000000003</v>
      </c>
      <c r="F321" t="s">
        <v>26</v>
      </c>
      <c r="G321" t="s">
        <v>12</v>
      </c>
      <c r="I321" t="s">
        <v>941</v>
      </c>
      <c r="J321" t="str">
        <f>IF(ISBLANK(Table1[[#This Row],[PaidDate]]),"Unpaid",IF(Table1[[#This Row],[PaidDate]]&gt;Table1[[#This Row],[DueDate]],"Late",IF(Table1[[#This Row],[PaidDate]]&lt;Table1[[#This Row],[DueDate]],"Early","On Time")))</f>
        <v>Unpaid</v>
      </c>
      <c r="K321" t="str">
        <f ca="1">IF(AND(Table1[[#This Row],[Status]]&lt;&gt;"Paid",TODAY()&gt;Table1[[#This Row],[DueDate]]),"Overdue","OK")</f>
        <v>Overdue</v>
      </c>
    </row>
    <row r="322" spans="1:11" x14ac:dyDescent="0.3">
      <c r="A322" t="s">
        <v>1266</v>
      </c>
      <c r="B322" t="s">
        <v>946</v>
      </c>
      <c r="C322" s="1">
        <v>45068</v>
      </c>
      <c r="D322" s="1">
        <v>45098</v>
      </c>
      <c r="E322" s="2">
        <v>4822.93</v>
      </c>
      <c r="F322" t="s">
        <v>28</v>
      </c>
      <c r="G322" t="s">
        <v>12</v>
      </c>
      <c r="I322" t="s">
        <v>941</v>
      </c>
      <c r="J322" t="str">
        <f>IF(ISBLANK(Table1[[#This Row],[PaidDate]]),"Unpaid",IF(Table1[[#This Row],[PaidDate]]&gt;Table1[[#This Row],[DueDate]],"Late",IF(Table1[[#This Row],[PaidDate]]&lt;Table1[[#This Row],[DueDate]],"Early","On Time")))</f>
        <v>Unpaid</v>
      </c>
      <c r="K322" t="str">
        <f ca="1">IF(AND(Table1[[#This Row],[Status]]&lt;&gt;"Paid",TODAY()&gt;Table1[[#This Row],[DueDate]]),"Overdue","OK")</f>
        <v>Overdue</v>
      </c>
    </row>
    <row r="323" spans="1:11" x14ac:dyDescent="0.3">
      <c r="A323" t="s">
        <v>1267</v>
      </c>
      <c r="B323" t="s">
        <v>940</v>
      </c>
      <c r="C323" s="1">
        <v>44928</v>
      </c>
      <c r="D323" s="1">
        <v>44958</v>
      </c>
      <c r="E323" s="2">
        <v>1174.97</v>
      </c>
      <c r="F323" t="s">
        <v>11</v>
      </c>
      <c r="G323" t="s">
        <v>951</v>
      </c>
      <c r="H323" s="1">
        <v>44958</v>
      </c>
      <c r="I323" t="s">
        <v>941</v>
      </c>
      <c r="J323" t="str">
        <f>IF(ISBLANK(Table1[[#This Row],[PaidDate]]),"Unpaid",IF(Table1[[#This Row],[PaidDate]]&gt;Table1[[#This Row],[DueDate]],"Late",IF(Table1[[#This Row],[PaidDate]]&lt;Table1[[#This Row],[DueDate]],"Early","On Time")))</f>
        <v>On Time</v>
      </c>
      <c r="K323" t="str">
        <f ca="1">IF(AND(Table1[[#This Row],[Status]]&lt;&gt;"Paid",TODAY()&gt;Table1[[#This Row],[DueDate]]),"Overdue","OK")</f>
        <v>OK</v>
      </c>
    </row>
    <row r="324" spans="1:11" x14ac:dyDescent="0.3">
      <c r="A324" t="s">
        <v>1268</v>
      </c>
      <c r="B324" t="s">
        <v>962</v>
      </c>
      <c r="C324" s="1">
        <v>45387</v>
      </c>
      <c r="D324" s="1">
        <v>45417</v>
      </c>
      <c r="E324" s="2">
        <v>1018.67</v>
      </c>
      <c r="F324" t="s">
        <v>16</v>
      </c>
      <c r="G324" t="s">
        <v>12</v>
      </c>
      <c r="I324" t="s">
        <v>941</v>
      </c>
      <c r="J324" t="str">
        <f>IF(ISBLANK(Table1[[#This Row],[PaidDate]]),"Unpaid",IF(Table1[[#This Row],[PaidDate]]&gt;Table1[[#This Row],[DueDate]],"Late",IF(Table1[[#This Row],[PaidDate]]&lt;Table1[[#This Row],[DueDate]],"Early","On Time")))</f>
        <v>Unpaid</v>
      </c>
      <c r="K324" t="str">
        <f ca="1">IF(AND(Table1[[#This Row],[Status]]&lt;&gt;"Paid",TODAY()&gt;Table1[[#This Row],[DueDate]]),"Overdue","OK")</f>
        <v>Overdue</v>
      </c>
    </row>
    <row r="325" spans="1:11" x14ac:dyDescent="0.3">
      <c r="A325" t="s">
        <v>1269</v>
      </c>
      <c r="B325" t="s">
        <v>966</v>
      </c>
      <c r="C325" s="1">
        <v>45528</v>
      </c>
      <c r="D325" s="1">
        <v>45558</v>
      </c>
      <c r="E325" s="2">
        <v>525.23</v>
      </c>
      <c r="F325" t="s">
        <v>28</v>
      </c>
      <c r="G325" t="s">
        <v>17</v>
      </c>
      <c r="I325" t="s">
        <v>941</v>
      </c>
      <c r="J325" t="str">
        <f>IF(ISBLANK(Table1[[#This Row],[PaidDate]]),"Unpaid",IF(Table1[[#This Row],[PaidDate]]&gt;Table1[[#This Row],[DueDate]],"Late",IF(Table1[[#This Row],[PaidDate]]&lt;Table1[[#This Row],[DueDate]],"Early","On Time")))</f>
        <v>Unpaid</v>
      </c>
      <c r="K325" t="str">
        <f ca="1">IF(AND(Table1[[#This Row],[Status]]&lt;&gt;"Paid",TODAY()&gt;Table1[[#This Row],[DueDate]]),"Overdue","OK")</f>
        <v>Overdue</v>
      </c>
    </row>
    <row r="326" spans="1:11" x14ac:dyDescent="0.3">
      <c r="A326" t="s">
        <v>1270</v>
      </c>
      <c r="B326" t="s">
        <v>966</v>
      </c>
      <c r="C326" s="1">
        <v>45014</v>
      </c>
      <c r="D326" s="1">
        <v>45044</v>
      </c>
      <c r="E326" s="2">
        <v>4607.07</v>
      </c>
      <c r="F326" t="s">
        <v>11</v>
      </c>
      <c r="G326" t="s">
        <v>17</v>
      </c>
      <c r="I326" t="s">
        <v>941</v>
      </c>
      <c r="J326" t="str">
        <f>IF(ISBLANK(Table1[[#This Row],[PaidDate]]),"Unpaid",IF(Table1[[#This Row],[PaidDate]]&gt;Table1[[#This Row],[DueDate]],"Late",IF(Table1[[#This Row],[PaidDate]]&lt;Table1[[#This Row],[DueDate]],"Early","On Time")))</f>
        <v>Unpaid</v>
      </c>
      <c r="K326" t="str">
        <f ca="1">IF(AND(Table1[[#This Row],[Status]]&lt;&gt;"Paid",TODAY()&gt;Table1[[#This Row],[DueDate]]),"Overdue","OK")</f>
        <v>Overdue</v>
      </c>
    </row>
    <row r="327" spans="1:11" x14ac:dyDescent="0.3">
      <c r="A327" t="s">
        <v>1271</v>
      </c>
      <c r="B327" t="s">
        <v>940</v>
      </c>
      <c r="C327" s="1">
        <v>45054</v>
      </c>
      <c r="D327" s="1">
        <v>45084</v>
      </c>
      <c r="E327" s="2">
        <v>2792.15</v>
      </c>
      <c r="F327" t="s">
        <v>26</v>
      </c>
      <c r="G327" t="s">
        <v>951</v>
      </c>
      <c r="H327" s="1">
        <v>45084</v>
      </c>
      <c r="I327" t="s">
        <v>941</v>
      </c>
      <c r="J327" t="str">
        <f>IF(ISBLANK(Table1[[#This Row],[PaidDate]]),"Unpaid",IF(Table1[[#This Row],[PaidDate]]&gt;Table1[[#This Row],[DueDate]],"Late",IF(Table1[[#This Row],[PaidDate]]&lt;Table1[[#This Row],[DueDate]],"Early","On Time")))</f>
        <v>On Time</v>
      </c>
      <c r="K327" t="str">
        <f ca="1">IF(AND(Table1[[#This Row],[Status]]&lt;&gt;"Paid",TODAY()&gt;Table1[[#This Row],[DueDate]]),"Overdue","OK")</f>
        <v>OK</v>
      </c>
    </row>
    <row r="328" spans="1:11" x14ac:dyDescent="0.3">
      <c r="A328" t="s">
        <v>1272</v>
      </c>
      <c r="B328" t="s">
        <v>940</v>
      </c>
      <c r="C328" s="1">
        <v>45511</v>
      </c>
      <c r="D328" s="1">
        <v>45541</v>
      </c>
      <c r="E328" s="2">
        <v>3719.04</v>
      </c>
      <c r="F328" t="s">
        <v>19</v>
      </c>
      <c r="G328" t="s">
        <v>17</v>
      </c>
      <c r="I328" t="s">
        <v>941</v>
      </c>
      <c r="J328" t="str">
        <f>IF(ISBLANK(Table1[[#This Row],[PaidDate]]),"Unpaid",IF(Table1[[#This Row],[PaidDate]]&gt;Table1[[#This Row],[DueDate]],"Late",IF(Table1[[#This Row],[PaidDate]]&lt;Table1[[#This Row],[DueDate]],"Early","On Time")))</f>
        <v>Unpaid</v>
      </c>
      <c r="K328" t="str">
        <f ca="1">IF(AND(Table1[[#This Row],[Status]]&lt;&gt;"Paid",TODAY()&gt;Table1[[#This Row],[DueDate]]),"Overdue","OK")</f>
        <v>Overdue</v>
      </c>
    </row>
    <row r="329" spans="1:11" x14ac:dyDescent="0.3">
      <c r="A329" t="s">
        <v>1273</v>
      </c>
      <c r="B329" t="s">
        <v>944</v>
      </c>
      <c r="C329" s="1">
        <v>45576</v>
      </c>
      <c r="D329" s="1">
        <v>45606</v>
      </c>
      <c r="E329" s="2">
        <v>4169.05</v>
      </c>
      <c r="F329" t="s">
        <v>16</v>
      </c>
      <c r="G329" t="s">
        <v>951</v>
      </c>
      <c r="H329" s="1">
        <v>45606</v>
      </c>
      <c r="I329" t="s">
        <v>941</v>
      </c>
      <c r="J329" t="str">
        <f>IF(ISBLANK(Table1[[#This Row],[PaidDate]]),"Unpaid",IF(Table1[[#This Row],[PaidDate]]&gt;Table1[[#This Row],[DueDate]],"Late",IF(Table1[[#This Row],[PaidDate]]&lt;Table1[[#This Row],[DueDate]],"Early","On Time")))</f>
        <v>On Time</v>
      </c>
      <c r="K329" t="str">
        <f ca="1">IF(AND(Table1[[#This Row],[Status]]&lt;&gt;"Paid",TODAY()&gt;Table1[[#This Row],[DueDate]]),"Overdue","OK")</f>
        <v>OK</v>
      </c>
    </row>
    <row r="330" spans="1:11" x14ac:dyDescent="0.3">
      <c r="A330" t="s">
        <v>1274</v>
      </c>
      <c r="B330" t="s">
        <v>962</v>
      </c>
      <c r="C330" s="1">
        <v>45643</v>
      </c>
      <c r="D330" s="1">
        <v>45673</v>
      </c>
      <c r="E330" s="2">
        <v>1405.35</v>
      </c>
      <c r="F330" t="s">
        <v>28</v>
      </c>
      <c r="G330" t="s">
        <v>17</v>
      </c>
      <c r="I330" t="s">
        <v>941</v>
      </c>
      <c r="J330" t="str">
        <f>IF(ISBLANK(Table1[[#This Row],[PaidDate]]),"Unpaid",IF(Table1[[#This Row],[PaidDate]]&gt;Table1[[#This Row],[DueDate]],"Late",IF(Table1[[#This Row],[PaidDate]]&lt;Table1[[#This Row],[DueDate]],"Early","On Time")))</f>
        <v>Unpaid</v>
      </c>
      <c r="K330" t="str">
        <f ca="1">IF(AND(Table1[[#This Row],[Status]]&lt;&gt;"Paid",TODAY()&gt;Table1[[#This Row],[DueDate]]),"Overdue","OK")</f>
        <v>Overdue</v>
      </c>
    </row>
    <row r="331" spans="1:11" x14ac:dyDescent="0.3">
      <c r="A331" t="s">
        <v>1275</v>
      </c>
      <c r="B331" t="s">
        <v>962</v>
      </c>
      <c r="C331" s="1">
        <v>45401</v>
      </c>
      <c r="D331" s="1">
        <v>45431</v>
      </c>
      <c r="E331" s="2">
        <v>4512.4399999999996</v>
      </c>
      <c r="F331" t="s">
        <v>28</v>
      </c>
      <c r="G331" t="s">
        <v>12</v>
      </c>
      <c r="I331" t="s">
        <v>941</v>
      </c>
      <c r="J331" t="str">
        <f>IF(ISBLANK(Table1[[#This Row],[PaidDate]]),"Unpaid",IF(Table1[[#This Row],[PaidDate]]&gt;Table1[[#This Row],[DueDate]],"Late",IF(Table1[[#This Row],[PaidDate]]&lt;Table1[[#This Row],[DueDate]],"Early","On Time")))</f>
        <v>Unpaid</v>
      </c>
      <c r="K331" t="str">
        <f ca="1">IF(AND(Table1[[#This Row],[Status]]&lt;&gt;"Paid",TODAY()&gt;Table1[[#This Row],[DueDate]]),"Overdue","OK")</f>
        <v>Overdue</v>
      </c>
    </row>
    <row r="332" spans="1:11" x14ac:dyDescent="0.3">
      <c r="A332" t="s">
        <v>1276</v>
      </c>
      <c r="B332" t="s">
        <v>946</v>
      </c>
      <c r="C332" s="1">
        <v>45395</v>
      </c>
      <c r="D332" s="1">
        <v>45425</v>
      </c>
      <c r="E332" s="2">
        <v>1855.47</v>
      </c>
      <c r="F332" t="s">
        <v>16</v>
      </c>
      <c r="G332" t="s">
        <v>17</v>
      </c>
      <c r="I332" t="s">
        <v>941</v>
      </c>
      <c r="J332" t="str">
        <f>IF(ISBLANK(Table1[[#This Row],[PaidDate]]),"Unpaid",IF(Table1[[#This Row],[PaidDate]]&gt;Table1[[#This Row],[DueDate]],"Late",IF(Table1[[#This Row],[PaidDate]]&lt;Table1[[#This Row],[DueDate]],"Early","On Time")))</f>
        <v>Unpaid</v>
      </c>
      <c r="K332" t="str">
        <f ca="1">IF(AND(Table1[[#This Row],[Status]]&lt;&gt;"Paid",TODAY()&gt;Table1[[#This Row],[DueDate]]),"Overdue","OK")</f>
        <v>Overdue</v>
      </c>
    </row>
    <row r="333" spans="1:11" x14ac:dyDescent="0.3">
      <c r="A333" t="s">
        <v>1277</v>
      </c>
      <c r="B333" t="s">
        <v>944</v>
      </c>
      <c r="C333" s="1">
        <v>45633</v>
      </c>
      <c r="D333" s="1">
        <v>45663</v>
      </c>
      <c r="E333" s="2">
        <v>1596.9</v>
      </c>
      <c r="F333" t="s">
        <v>26</v>
      </c>
      <c r="G333" t="s">
        <v>951</v>
      </c>
      <c r="H333" s="1">
        <v>45663</v>
      </c>
      <c r="I333" t="s">
        <v>941</v>
      </c>
      <c r="J333" t="str">
        <f>IF(ISBLANK(Table1[[#This Row],[PaidDate]]),"Unpaid",IF(Table1[[#This Row],[PaidDate]]&gt;Table1[[#This Row],[DueDate]],"Late",IF(Table1[[#This Row],[PaidDate]]&lt;Table1[[#This Row],[DueDate]],"Early","On Time")))</f>
        <v>On Time</v>
      </c>
      <c r="K333" t="str">
        <f ca="1">IF(AND(Table1[[#This Row],[Status]]&lt;&gt;"Paid",TODAY()&gt;Table1[[#This Row],[DueDate]]),"Overdue","OK")</f>
        <v>OK</v>
      </c>
    </row>
    <row r="334" spans="1:11" x14ac:dyDescent="0.3">
      <c r="A334" t="s">
        <v>1278</v>
      </c>
      <c r="B334" t="s">
        <v>944</v>
      </c>
      <c r="C334" s="1">
        <v>44949</v>
      </c>
      <c r="D334" s="1">
        <v>44979</v>
      </c>
      <c r="E334" s="2">
        <v>176.54</v>
      </c>
      <c r="F334" t="s">
        <v>26</v>
      </c>
      <c r="G334" t="s">
        <v>951</v>
      </c>
      <c r="H334" s="1">
        <v>44979</v>
      </c>
      <c r="I334" t="s">
        <v>941</v>
      </c>
      <c r="J334" t="str">
        <f>IF(ISBLANK(Table1[[#This Row],[PaidDate]]),"Unpaid",IF(Table1[[#This Row],[PaidDate]]&gt;Table1[[#This Row],[DueDate]],"Late",IF(Table1[[#This Row],[PaidDate]]&lt;Table1[[#This Row],[DueDate]],"Early","On Time")))</f>
        <v>On Time</v>
      </c>
      <c r="K334" t="str">
        <f ca="1">IF(AND(Table1[[#This Row],[Status]]&lt;&gt;"Paid",TODAY()&gt;Table1[[#This Row],[DueDate]]),"Overdue","OK")</f>
        <v>OK</v>
      </c>
    </row>
    <row r="335" spans="1:11" x14ac:dyDescent="0.3">
      <c r="A335" t="s">
        <v>1279</v>
      </c>
      <c r="B335" t="s">
        <v>946</v>
      </c>
      <c r="C335" s="1">
        <v>45705</v>
      </c>
      <c r="D335" s="1">
        <v>45735</v>
      </c>
      <c r="E335" s="2">
        <v>1225.82</v>
      </c>
      <c r="F335" t="s">
        <v>26</v>
      </c>
      <c r="G335" t="s">
        <v>17</v>
      </c>
      <c r="I335" t="s">
        <v>941</v>
      </c>
      <c r="J335" t="str">
        <f>IF(ISBLANK(Table1[[#This Row],[PaidDate]]),"Unpaid",IF(Table1[[#This Row],[PaidDate]]&gt;Table1[[#This Row],[DueDate]],"Late",IF(Table1[[#This Row],[PaidDate]]&lt;Table1[[#This Row],[DueDate]],"Early","On Time")))</f>
        <v>Unpaid</v>
      </c>
      <c r="K335" t="str">
        <f ca="1">IF(AND(Table1[[#This Row],[Status]]&lt;&gt;"Paid",TODAY()&gt;Table1[[#This Row],[DueDate]]),"Overdue","OK")</f>
        <v>Overdue</v>
      </c>
    </row>
    <row r="336" spans="1:11" x14ac:dyDescent="0.3">
      <c r="A336" t="s">
        <v>1280</v>
      </c>
      <c r="B336" t="s">
        <v>940</v>
      </c>
      <c r="C336" s="1">
        <v>45321</v>
      </c>
      <c r="D336" s="1">
        <v>45351</v>
      </c>
      <c r="E336" s="2">
        <v>355.21</v>
      </c>
      <c r="F336" t="s">
        <v>26</v>
      </c>
      <c r="G336" t="s">
        <v>17</v>
      </c>
      <c r="I336" t="s">
        <v>941</v>
      </c>
      <c r="J336" t="str">
        <f>IF(ISBLANK(Table1[[#This Row],[PaidDate]]),"Unpaid",IF(Table1[[#This Row],[PaidDate]]&gt;Table1[[#This Row],[DueDate]],"Late",IF(Table1[[#This Row],[PaidDate]]&lt;Table1[[#This Row],[DueDate]],"Early","On Time")))</f>
        <v>Unpaid</v>
      </c>
      <c r="K336" t="str">
        <f ca="1">IF(AND(Table1[[#This Row],[Status]]&lt;&gt;"Paid",TODAY()&gt;Table1[[#This Row],[DueDate]]),"Overdue","OK")</f>
        <v>Overdue</v>
      </c>
    </row>
    <row r="337" spans="1:11" x14ac:dyDescent="0.3">
      <c r="A337" t="s">
        <v>1281</v>
      </c>
      <c r="B337" t="s">
        <v>962</v>
      </c>
      <c r="C337" s="1">
        <v>45736</v>
      </c>
      <c r="D337" s="1">
        <v>45766</v>
      </c>
      <c r="E337" s="2">
        <v>4628.8599999999997</v>
      </c>
      <c r="F337" t="s">
        <v>16</v>
      </c>
      <c r="G337" t="s">
        <v>951</v>
      </c>
      <c r="H337" s="1">
        <v>45766</v>
      </c>
      <c r="I337" t="s">
        <v>941</v>
      </c>
      <c r="J337" t="str">
        <f>IF(ISBLANK(Table1[[#This Row],[PaidDate]]),"Unpaid",IF(Table1[[#This Row],[PaidDate]]&gt;Table1[[#This Row],[DueDate]],"Late",IF(Table1[[#This Row],[PaidDate]]&lt;Table1[[#This Row],[DueDate]],"Early","On Time")))</f>
        <v>On Time</v>
      </c>
      <c r="K337" t="str">
        <f ca="1">IF(AND(Table1[[#This Row],[Status]]&lt;&gt;"Paid",TODAY()&gt;Table1[[#This Row],[DueDate]]),"Overdue","OK")</f>
        <v>OK</v>
      </c>
    </row>
    <row r="338" spans="1:11" x14ac:dyDescent="0.3">
      <c r="A338" t="s">
        <v>1282</v>
      </c>
      <c r="B338" t="s">
        <v>966</v>
      </c>
      <c r="C338" s="1">
        <v>45268</v>
      </c>
      <c r="D338" s="1">
        <v>45298</v>
      </c>
      <c r="E338" s="2">
        <v>2845.8</v>
      </c>
      <c r="F338" t="s">
        <v>16</v>
      </c>
      <c r="G338" t="s">
        <v>12</v>
      </c>
      <c r="I338" t="s">
        <v>941</v>
      </c>
      <c r="J338" t="str">
        <f>IF(ISBLANK(Table1[[#This Row],[PaidDate]]),"Unpaid",IF(Table1[[#This Row],[PaidDate]]&gt;Table1[[#This Row],[DueDate]],"Late",IF(Table1[[#This Row],[PaidDate]]&lt;Table1[[#This Row],[DueDate]],"Early","On Time")))</f>
        <v>Unpaid</v>
      </c>
      <c r="K338" t="str">
        <f ca="1">IF(AND(Table1[[#This Row],[Status]]&lt;&gt;"Paid",TODAY()&gt;Table1[[#This Row],[DueDate]]),"Overdue","OK")</f>
        <v>Overdue</v>
      </c>
    </row>
    <row r="339" spans="1:11" x14ac:dyDescent="0.3">
      <c r="A339" t="s">
        <v>1283</v>
      </c>
      <c r="B339" t="s">
        <v>946</v>
      </c>
      <c r="C339" s="1">
        <v>45810</v>
      </c>
      <c r="D339" s="1">
        <v>45840</v>
      </c>
      <c r="E339" s="2">
        <v>1566.29</v>
      </c>
      <c r="F339" t="s">
        <v>16</v>
      </c>
      <c r="G339" t="s">
        <v>17</v>
      </c>
      <c r="I339" t="s">
        <v>941</v>
      </c>
      <c r="J339" t="str">
        <f>IF(ISBLANK(Table1[[#This Row],[PaidDate]]),"Unpaid",IF(Table1[[#This Row],[PaidDate]]&gt;Table1[[#This Row],[DueDate]],"Late",IF(Table1[[#This Row],[PaidDate]]&lt;Table1[[#This Row],[DueDate]],"Early","On Time")))</f>
        <v>Unpaid</v>
      </c>
      <c r="K339" t="str">
        <f ca="1">IF(AND(Table1[[#This Row],[Status]]&lt;&gt;"Paid",TODAY()&gt;Table1[[#This Row],[DueDate]]),"Overdue","OK")</f>
        <v>Overdue</v>
      </c>
    </row>
    <row r="340" spans="1:11" x14ac:dyDescent="0.3">
      <c r="A340" t="s">
        <v>1284</v>
      </c>
      <c r="B340" t="s">
        <v>962</v>
      </c>
      <c r="C340" s="1">
        <v>45235</v>
      </c>
      <c r="D340" s="1">
        <v>45265</v>
      </c>
      <c r="E340" s="2">
        <v>4917.53</v>
      </c>
      <c r="F340" t="s">
        <v>16</v>
      </c>
      <c r="G340" t="s">
        <v>951</v>
      </c>
      <c r="H340" s="1">
        <v>45265</v>
      </c>
      <c r="I340" t="s">
        <v>941</v>
      </c>
      <c r="J340" t="str">
        <f>IF(ISBLANK(Table1[[#This Row],[PaidDate]]),"Unpaid",IF(Table1[[#This Row],[PaidDate]]&gt;Table1[[#This Row],[DueDate]],"Late",IF(Table1[[#This Row],[PaidDate]]&lt;Table1[[#This Row],[DueDate]],"Early","On Time")))</f>
        <v>On Time</v>
      </c>
      <c r="K340" t="str">
        <f ca="1">IF(AND(Table1[[#This Row],[Status]]&lt;&gt;"Paid",TODAY()&gt;Table1[[#This Row],[DueDate]]),"Overdue","OK")</f>
        <v>OK</v>
      </c>
    </row>
    <row r="341" spans="1:11" x14ac:dyDescent="0.3">
      <c r="A341" t="s">
        <v>1285</v>
      </c>
      <c r="B341" t="s">
        <v>966</v>
      </c>
      <c r="C341" s="1">
        <v>45282</v>
      </c>
      <c r="D341" s="1">
        <v>45312</v>
      </c>
      <c r="E341" s="2">
        <v>2748.45</v>
      </c>
      <c r="F341" t="s">
        <v>19</v>
      </c>
      <c r="G341" t="s">
        <v>17</v>
      </c>
      <c r="I341" t="s">
        <v>941</v>
      </c>
      <c r="J341" t="str">
        <f>IF(ISBLANK(Table1[[#This Row],[PaidDate]]),"Unpaid",IF(Table1[[#This Row],[PaidDate]]&gt;Table1[[#This Row],[DueDate]],"Late",IF(Table1[[#This Row],[PaidDate]]&lt;Table1[[#This Row],[DueDate]],"Early","On Time")))</f>
        <v>Unpaid</v>
      </c>
      <c r="K341" t="str">
        <f ca="1">IF(AND(Table1[[#This Row],[Status]]&lt;&gt;"Paid",TODAY()&gt;Table1[[#This Row],[DueDate]]),"Overdue","OK")</f>
        <v>Overdue</v>
      </c>
    </row>
    <row r="342" spans="1:11" x14ac:dyDescent="0.3">
      <c r="A342" t="s">
        <v>1286</v>
      </c>
      <c r="B342" t="s">
        <v>962</v>
      </c>
      <c r="C342" s="1">
        <v>45672</v>
      </c>
      <c r="D342" s="1">
        <v>45702</v>
      </c>
      <c r="E342" s="2">
        <v>2910.56</v>
      </c>
      <c r="F342" t="s">
        <v>28</v>
      </c>
      <c r="G342" t="s">
        <v>951</v>
      </c>
      <c r="H342" s="1">
        <v>45702</v>
      </c>
      <c r="I342" t="s">
        <v>941</v>
      </c>
      <c r="J342" t="str">
        <f>IF(ISBLANK(Table1[[#This Row],[PaidDate]]),"Unpaid",IF(Table1[[#This Row],[PaidDate]]&gt;Table1[[#This Row],[DueDate]],"Late",IF(Table1[[#This Row],[PaidDate]]&lt;Table1[[#This Row],[DueDate]],"Early","On Time")))</f>
        <v>On Time</v>
      </c>
      <c r="K342" t="str">
        <f ca="1">IF(AND(Table1[[#This Row],[Status]]&lt;&gt;"Paid",TODAY()&gt;Table1[[#This Row],[DueDate]]),"Overdue","OK")</f>
        <v>OK</v>
      </c>
    </row>
    <row r="343" spans="1:11" x14ac:dyDescent="0.3">
      <c r="A343" t="s">
        <v>1287</v>
      </c>
      <c r="B343" t="s">
        <v>946</v>
      </c>
      <c r="C343" s="1">
        <v>45831</v>
      </c>
      <c r="D343" s="1">
        <v>45861</v>
      </c>
      <c r="E343" s="2">
        <v>728.89</v>
      </c>
      <c r="F343" t="s">
        <v>11</v>
      </c>
      <c r="G343" t="s">
        <v>12</v>
      </c>
      <c r="I343" t="s">
        <v>941</v>
      </c>
      <c r="J343" t="str">
        <f>IF(ISBLANK(Table1[[#This Row],[PaidDate]]),"Unpaid",IF(Table1[[#This Row],[PaidDate]]&gt;Table1[[#This Row],[DueDate]],"Late",IF(Table1[[#This Row],[PaidDate]]&lt;Table1[[#This Row],[DueDate]],"Early","On Time")))</f>
        <v>Unpaid</v>
      </c>
      <c r="K343" t="str">
        <f ca="1">IF(AND(Table1[[#This Row],[Status]]&lt;&gt;"Paid",TODAY()&gt;Table1[[#This Row],[DueDate]]),"Overdue","OK")</f>
        <v>Overdue</v>
      </c>
    </row>
    <row r="344" spans="1:11" x14ac:dyDescent="0.3">
      <c r="A344" t="s">
        <v>1288</v>
      </c>
      <c r="B344" t="s">
        <v>940</v>
      </c>
      <c r="C344" s="1">
        <v>44981</v>
      </c>
      <c r="D344" s="1">
        <v>45011</v>
      </c>
      <c r="E344" s="2">
        <v>1790.61</v>
      </c>
      <c r="F344" t="s">
        <v>11</v>
      </c>
      <c r="G344" t="s">
        <v>12</v>
      </c>
      <c r="I344" t="s">
        <v>941</v>
      </c>
      <c r="J344" t="str">
        <f>IF(ISBLANK(Table1[[#This Row],[PaidDate]]),"Unpaid",IF(Table1[[#This Row],[PaidDate]]&gt;Table1[[#This Row],[DueDate]],"Late",IF(Table1[[#This Row],[PaidDate]]&lt;Table1[[#This Row],[DueDate]],"Early","On Time")))</f>
        <v>Unpaid</v>
      </c>
      <c r="K344" t="str">
        <f ca="1">IF(AND(Table1[[#This Row],[Status]]&lt;&gt;"Paid",TODAY()&gt;Table1[[#This Row],[DueDate]]),"Overdue","OK")</f>
        <v>Overdue</v>
      </c>
    </row>
    <row r="345" spans="1:11" x14ac:dyDescent="0.3">
      <c r="A345" t="s">
        <v>1289</v>
      </c>
      <c r="B345" t="s">
        <v>962</v>
      </c>
      <c r="C345" s="1">
        <v>45358</v>
      </c>
      <c r="D345" s="1">
        <v>45388</v>
      </c>
      <c r="E345" s="2">
        <v>3085.28</v>
      </c>
      <c r="F345" t="s">
        <v>19</v>
      </c>
      <c r="G345" t="s">
        <v>951</v>
      </c>
      <c r="H345" s="1">
        <v>45388</v>
      </c>
      <c r="I345" t="s">
        <v>941</v>
      </c>
      <c r="J345" t="str">
        <f>IF(ISBLANK(Table1[[#This Row],[PaidDate]]),"Unpaid",IF(Table1[[#This Row],[PaidDate]]&gt;Table1[[#This Row],[DueDate]],"Late",IF(Table1[[#This Row],[PaidDate]]&lt;Table1[[#This Row],[DueDate]],"Early","On Time")))</f>
        <v>On Time</v>
      </c>
      <c r="K345" t="str">
        <f ca="1">IF(AND(Table1[[#This Row],[Status]]&lt;&gt;"Paid",TODAY()&gt;Table1[[#This Row],[DueDate]]),"Overdue","OK")</f>
        <v>OK</v>
      </c>
    </row>
    <row r="346" spans="1:11" x14ac:dyDescent="0.3">
      <c r="A346" t="s">
        <v>1290</v>
      </c>
      <c r="B346" t="s">
        <v>944</v>
      </c>
      <c r="C346" s="1">
        <v>45154</v>
      </c>
      <c r="D346" s="1">
        <v>45184</v>
      </c>
      <c r="E346" s="2">
        <v>899.5</v>
      </c>
      <c r="F346" t="s">
        <v>19</v>
      </c>
      <c r="G346" t="s">
        <v>17</v>
      </c>
      <c r="I346" t="s">
        <v>941</v>
      </c>
      <c r="J346" t="str">
        <f>IF(ISBLANK(Table1[[#This Row],[PaidDate]]),"Unpaid",IF(Table1[[#This Row],[PaidDate]]&gt;Table1[[#This Row],[DueDate]],"Late",IF(Table1[[#This Row],[PaidDate]]&lt;Table1[[#This Row],[DueDate]],"Early","On Time")))</f>
        <v>Unpaid</v>
      </c>
      <c r="K346" t="str">
        <f ca="1">IF(AND(Table1[[#This Row],[Status]]&lt;&gt;"Paid",TODAY()&gt;Table1[[#This Row],[DueDate]]),"Overdue","OK")</f>
        <v>Overdue</v>
      </c>
    </row>
    <row r="347" spans="1:11" x14ac:dyDescent="0.3">
      <c r="A347" t="s">
        <v>1291</v>
      </c>
      <c r="B347" t="s">
        <v>962</v>
      </c>
      <c r="C347" s="1">
        <v>44937</v>
      </c>
      <c r="D347" s="1">
        <v>44967</v>
      </c>
      <c r="E347" s="2">
        <v>1797.02</v>
      </c>
      <c r="F347" t="s">
        <v>11</v>
      </c>
      <c r="G347" t="s">
        <v>17</v>
      </c>
      <c r="I347" t="s">
        <v>941</v>
      </c>
      <c r="J347" t="str">
        <f>IF(ISBLANK(Table1[[#This Row],[PaidDate]]),"Unpaid",IF(Table1[[#This Row],[PaidDate]]&gt;Table1[[#This Row],[DueDate]],"Late",IF(Table1[[#This Row],[PaidDate]]&lt;Table1[[#This Row],[DueDate]],"Early","On Time")))</f>
        <v>Unpaid</v>
      </c>
      <c r="K347" t="str">
        <f ca="1">IF(AND(Table1[[#This Row],[Status]]&lt;&gt;"Paid",TODAY()&gt;Table1[[#This Row],[DueDate]]),"Overdue","OK")</f>
        <v>Overdue</v>
      </c>
    </row>
    <row r="348" spans="1:11" x14ac:dyDescent="0.3">
      <c r="A348" t="s">
        <v>1292</v>
      </c>
      <c r="B348" t="s">
        <v>946</v>
      </c>
      <c r="C348" s="1">
        <v>45169</v>
      </c>
      <c r="D348" s="1">
        <v>45199</v>
      </c>
      <c r="E348" s="2">
        <v>4901.42</v>
      </c>
      <c r="F348" t="s">
        <v>26</v>
      </c>
      <c r="G348" t="s">
        <v>17</v>
      </c>
      <c r="I348" t="s">
        <v>941</v>
      </c>
      <c r="J348" t="str">
        <f>IF(ISBLANK(Table1[[#This Row],[PaidDate]]),"Unpaid",IF(Table1[[#This Row],[PaidDate]]&gt;Table1[[#This Row],[DueDate]],"Late",IF(Table1[[#This Row],[PaidDate]]&lt;Table1[[#This Row],[DueDate]],"Early","On Time")))</f>
        <v>Unpaid</v>
      </c>
      <c r="K348" t="str">
        <f ca="1">IF(AND(Table1[[#This Row],[Status]]&lt;&gt;"Paid",TODAY()&gt;Table1[[#This Row],[DueDate]]),"Overdue","OK")</f>
        <v>Overdue</v>
      </c>
    </row>
    <row r="349" spans="1:11" x14ac:dyDescent="0.3">
      <c r="A349" t="s">
        <v>1293</v>
      </c>
      <c r="B349" t="s">
        <v>962</v>
      </c>
      <c r="C349" s="1">
        <v>44962</v>
      </c>
      <c r="D349" s="1">
        <v>44992</v>
      </c>
      <c r="E349" s="2">
        <v>4612.1400000000003</v>
      </c>
      <c r="F349" t="s">
        <v>19</v>
      </c>
      <c r="G349" t="s">
        <v>951</v>
      </c>
      <c r="H349" s="1">
        <v>44992</v>
      </c>
      <c r="I349" t="s">
        <v>941</v>
      </c>
      <c r="J349" t="str">
        <f>IF(ISBLANK(Table1[[#This Row],[PaidDate]]),"Unpaid",IF(Table1[[#This Row],[PaidDate]]&gt;Table1[[#This Row],[DueDate]],"Late",IF(Table1[[#This Row],[PaidDate]]&lt;Table1[[#This Row],[DueDate]],"Early","On Time")))</f>
        <v>On Time</v>
      </c>
      <c r="K349" t="str">
        <f ca="1">IF(AND(Table1[[#This Row],[Status]]&lt;&gt;"Paid",TODAY()&gt;Table1[[#This Row],[DueDate]]),"Overdue","OK")</f>
        <v>OK</v>
      </c>
    </row>
    <row r="350" spans="1:11" x14ac:dyDescent="0.3">
      <c r="A350" t="s">
        <v>1294</v>
      </c>
      <c r="B350" t="s">
        <v>940</v>
      </c>
      <c r="C350" s="1">
        <v>45452</v>
      </c>
      <c r="D350" s="1">
        <v>45482</v>
      </c>
      <c r="E350" s="2">
        <v>3151.2</v>
      </c>
      <c r="F350" t="s">
        <v>26</v>
      </c>
      <c r="G350" t="s">
        <v>12</v>
      </c>
      <c r="I350" t="s">
        <v>941</v>
      </c>
      <c r="J350" t="str">
        <f>IF(ISBLANK(Table1[[#This Row],[PaidDate]]),"Unpaid",IF(Table1[[#This Row],[PaidDate]]&gt;Table1[[#This Row],[DueDate]],"Late",IF(Table1[[#This Row],[PaidDate]]&lt;Table1[[#This Row],[DueDate]],"Early","On Time")))</f>
        <v>Unpaid</v>
      </c>
      <c r="K350" t="str">
        <f ca="1">IF(AND(Table1[[#This Row],[Status]]&lt;&gt;"Paid",TODAY()&gt;Table1[[#This Row],[DueDate]]),"Overdue","OK")</f>
        <v>Overdue</v>
      </c>
    </row>
    <row r="351" spans="1:11" x14ac:dyDescent="0.3">
      <c r="A351" t="s">
        <v>1295</v>
      </c>
      <c r="B351" t="s">
        <v>962</v>
      </c>
      <c r="C351" s="1">
        <v>45372</v>
      </c>
      <c r="D351" s="1">
        <v>45402</v>
      </c>
      <c r="E351" s="2">
        <v>4219.03</v>
      </c>
      <c r="F351" t="s">
        <v>28</v>
      </c>
      <c r="G351" t="s">
        <v>951</v>
      </c>
      <c r="H351" s="1">
        <v>45402</v>
      </c>
      <c r="I351" t="s">
        <v>941</v>
      </c>
      <c r="J351" t="str">
        <f>IF(ISBLANK(Table1[[#This Row],[PaidDate]]),"Unpaid",IF(Table1[[#This Row],[PaidDate]]&gt;Table1[[#This Row],[DueDate]],"Late",IF(Table1[[#This Row],[PaidDate]]&lt;Table1[[#This Row],[DueDate]],"Early","On Time")))</f>
        <v>On Time</v>
      </c>
      <c r="K351" t="str">
        <f ca="1">IF(AND(Table1[[#This Row],[Status]]&lt;&gt;"Paid",TODAY()&gt;Table1[[#This Row],[DueDate]]),"Overdue","OK")</f>
        <v>OK</v>
      </c>
    </row>
    <row r="352" spans="1:11" x14ac:dyDescent="0.3">
      <c r="A352" t="s">
        <v>1296</v>
      </c>
      <c r="B352" t="s">
        <v>946</v>
      </c>
      <c r="C352" s="1">
        <v>45273</v>
      </c>
      <c r="D352" s="1">
        <v>45303</v>
      </c>
      <c r="E352" s="2">
        <v>4971.99</v>
      </c>
      <c r="F352" t="s">
        <v>16</v>
      </c>
      <c r="G352" t="s">
        <v>17</v>
      </c>
      <c r="I352" t="s">
        <v>941</v>
      </c>
      <c r="J352" t="str">
        <f>IF(ISBLANK(Table1[[#This Row],[PaidDate]]),"Unpaid",IF(Table1[[#This Row],[PaidDate]]&gt;Table1[[#This Row],[DueDate]],"Late",IF(Table1[[#This Row],[PaidDate]]&lt;Table1[[#This Row],[DueDate]],"Early","On Time")))</f>
        <v>Unpaid</v>
      </c>
      <c r="K352" t="str">
        <f ca="1">IF(AND(Table1[[#This Row],[Status]]&lt;&gt;"Paid",TODAY()&gt;Table1[[#This Row],[DueDate]]),"Overdue","OK")</f>
        <v>Overdue</v>
      </c>
    </row>
    <row r="353" spans="1:11" x14ac:dyDescent="0.3">
      <c r="A353" t="s">
        <v>1297</v>
      </c>
      <c r="B353" t="s">
        <v>944</v>
      </c>
      <c r="C353" s="1">
        <v>45281</v>
      </c>
      <c r="D353" s="1">
        <v>45311</v>
      </c>
      <c r="E353" s="2">
        <v>3366.62</v>
      </c>
      <c r="F353" t="s">
        <v>19</v>
      </c>
      <c r="G353" t="s">
        <v>951</v>
      </c>
      <c r="H353" s="1">
        <v>45311</v>
      </c>
      <c r="I353" t="s">
        <v>941</v>
      </c>
      <c r="J353" t="str">
        <f>IF(ISBLANK(Table1[[#This Row],[PaidDate]]),"Unpaid",IF(Table1[[#This Row],[PaidDate]]&gt;Table1[[#This Row],[DueDate]],"Late",IF(Table1[[#This Row],[PaidDate]]&lt;Table1[[#This Row],[DueDate]],"Early","On Time")))</f>
        <v>On Time</v>
      </c>
      <c r="K353" t="str">
        <f ca="1">IF(AND(Table1[[#This Row],[Status]]&lt;&gt;"Paid",TODAY()&gt;Table1[[#This Row],[DueDate]]),"Overdue","OK")</f>
        <v>OK</v>
      </c>
    </row>
    <row r="354" spans="1:11" x14ac:dyDescent="0.3">
      <c r="A354" t="s">
        <v>1298</v>
      </c>
      <c r="B354" t="s">
        <v>966</v>
      </c>
      <c r="C354" s="1">
        <v>45735</v>
      </c>
      <c r="D354" s="1">
        <v>45765</v>
      </c>
      <c r="E354" s="2">
        <v>499.9</v>
      </c>
      <c r="F354" t="s">
        <v>26</v>
      </c>
      <c r="G354" t="s">
        <v>951</v>
      </c>
      <c r="H354" s="1">
        <v>45765</v>
      </c>
      <c r="I354" t="s">
        <v>941</v>
      </c>
      <c r="J354" t="str">
        <f>IF(ISBLANK(Table1[[#This Row],[PaidDate]]),"Unpaid",IF(Table1[[#This Row],[PaidDate]]&gt;Table1[[#This Row],[DueDate]],"Late",IF(Table1[[#This Row],[PaidDate]]&lt;Table1[[#This Row],[DueDate]],"Early","On Time")))</f>
        <v>On Time</v>
      </c>
      <c r="K354" t="str">
        <f ca="1">IF(AND(Table1[[#This Row],[Status]]&lt;&gt;"Paid",TODAY()&gt;Table1[[#This Row],[DueDate]]),"Overdue","OK")</f>
        <v>OK</v>
      </c>
    </row>
    <row r="355" spans="1:11" x14ac:dyDescent="0.3">
      <c r="A355" t="s">
        <v>1299</v>
      </c>
      <c r="B355" t="s">
        <v>944</v>
      </c>
      <c r="C355" s="1">
        <v>45197</v>
      </c>
      <c r="D355" s="1">
        <v>45227</v>
      </c>
      <c r="E355" s="2">
        <v>4834.01</v>
      </c>
      <c r="F355" t="s">
        <v>19</v>
      </c>
      <c r="G355" t="s">
        <v>951</v>
      </c>
      <c r="H355" s="1">
        <v>45227</v>
      </c>
      <c r="I355" t="s">
        <v>941</v>
      </c>
      <c r="J355" t="str">
        <f>IF(ISBLANK(Table1[[#This Row],[PaidDate]]),"Unpaid",IF(Table1[[#This Row],[PaidDate]]&gt;Table1[[#This Row],[DueDate]],"Late",IF(Table1[[#This Row],[PaidDate]]&lt;Table1[[#This Row],[DueDate]],"Early","On Time")))</f>
        <v>On Time</v>
      </c>
      <c r="K355" t="str">
        <f ca="1">IF(AND(Table1[[#This Row],[Status]]&lt;&gt;"Paid",TODAY()&gt;Table1[[#This Row],[DueDate]]),"Overdue","OK")</f>
        <v>OK</v>
      </c>
    </row>
    <row r="356" spans="1:11" x14ac:dyDescent="0.3">
      <c r="A356" t="s">
        <v>1300</v>
      </c>
      <c r="B356" t="s">
        <v>966</v>
      </c>
      <c r="C356" s="1">
        <v>45027</v>
      </c>
      <c r="D356" s="1">
        <v>45057</v>
      </c>
      <c r="E356" s="2">
        <v>1132.31</v>
      </c>
      <c r="F356" t="s">
        <v>11</v>
      </c>
      <c r="G356" t="s">
        <v>12</v>
      </c>
      <c r="I356" t="s">
        <v>941</v>
      </c>
      <c r="J356" t="str">
        <f>IF(ISBLANK(Table1[[#This Row],[PaidDate]]),"Unpaid",IF(Table1[[#This Row],[PaidDate]]&gt;Table1[[#This Row],[DueDate]],"Late",IF(Table1[[#This Row],[PaidDate]]&lt;Table1[[#This Row],[DueDate]],"Early","On Time")))</f>
        <v>Unpaid</v>
      </c>
      <c r="K356" t="str">
        <f ca="1">IF(AND(Table1[[#This Row],[Status]]&lt;&gt;"Paid",TODAY()&gt;Table1[[#This Row],[DueDate]]),"Overdue","OK")</f>
        <v>Overdue</v>
      </c>
    </row>
    <row r="357" spans="1:11" x14ac:dyDescent="0.3">
      <c r="A357" t="s">
        <v>1301</v>
      </c>
      <c r="B357" t="s">
        <v>966</v>
      </c>
      <c r="C357" s="1">
        <v>45797</v>
      </c>
      <c r="D357" s="1">
        <v>45827</v>
      </c>
      <c r="E357" s="2">
        <v>239.21</v>
      </c>
      <c r="F357" t="s">
        <v>16</v>
      </c>
      <c r="G357" t="s">
        <v>12</v>
      </c>
      <c r="I357" t="s">
        <v>941</v>
      </c>
      <c r="J357" t="str">
        <f>IF(ISBLANK(Table1[[#This Row],[PaidDate]]),"Unpaid",IF(Table1[[#This Row],[PaidDate]]&gt;Table1[[#This Row],[DueDate]],"Late",IF(Table1[[#This Row],[PaidDate]]&lt;Table1[[#This Row],[DueDate]],"Early","On Time")))</f>
        <v>Unpaid</v>
      </c>
      <c r="K357" t="str">
        <f ca="1">IF(AND(Table1[[#This Row],[Status]]&lt;&gt;"Paid",TODAY()&gt;Table1[[#This Row],[DueDate]]),"Overdue","OK")</f>
        <v>Overdue</v>
      </c>
    </row>
    <row r="358" spans="1:11" x14ac:dyDescent="0.3">
      <c r="A358" t="s">
        <v>1302</v>
      </c>
      <c r="B358" t="s">
        <v>940</v>
      </c>
      <c r="C358" s="1">
        <v>45190</v>
      </c>
      <c r="D358" s="1">
        <v>45220</v>
      </c>
      <c r="E358" s="2">
        <v>1990.65</v>
      </c>
      <c r="F358" t="s">
        <v>16</v>
      </c>
      <c r="G358" t="s">
        <v>17</v>
      </c>
      <c r="I358" t="s">
        <v>941</v>
      </c>
      <c r="J358" t="str">
        <f>IF(ISBLANK(Table1[[#This Row],[PaidDate]]),"Unpaid",IF(Table1[[#This Row],[PaidDate]]&gt;Table1[[#This Row],[DueDate]],"Late",IF(Table1[[#This Row],[PaidDate]]&lt;Table1[[#This Row],[DueDate]],"Early","On Time")))</f>
        <v>Unpaid</v>
      </c>
      <c r="K358" t="str">
        <f ca="1">IF(AND(Table1[[#This Row],[Status]]&lt;&gt;"Paid",TODAY()&gt;Table1[[#This Row],[DueDate]]),"Overdue","OK")</f>
        <v>Overdue</v>
      </c>
    </row>
    <row r="359" spans="1:11" x14ac:dyDescent="0.3">
      <c r="A359" t="s">
        <v>1303</v>
      </c>
      <c r="B359" t="s">
        <v>940</v>
      </c>
      <c r="C359" s="1">
        <v>45160</v>
      </c>
      <c r="D359" s="1">
        <v>45190</v>
      </c>
      <c r="E359" s="2">
        <v>4029.65</v>
      </c>
      <c r="F359" t="s">
        <v>26</v>
      </c>
      <c r="G359" t="s">
        <v>951</v>
      </c>
      <c r="H359" s="1">
        <v>45190</v>
      </c>
      <c r="I359" t="s">
        <v>941</v>
      </c>
      <c r="J359" t="str">
        <f>IF(ISBLANK(Table1[[#This Row],[PaidDate]]),"Unpaid",IF(Table1[[#This Row],[PaidDate]]&gt;Table1[[#This Row],[DueDate]],"Late",IF(Table1[[#This Row],[PaidDate]]&lt;Table1[[#This Row],[DueDate]],"Early","On Time")))</f>
        <v>On Time</v>
      </c>
      <c r="K359" t="str">
        <f ca="1">IF(AND(Table1[[#This Row],[Status]]&lt;&gt;"Paid",TODAY()&gt;Table1[[#This Row],[DueDate]]),"Overdue","OK")</f>
        <v>OK</v>
      </c>
    </row>
    <row r="360" spans="1:11" x14ac:dyDescent="0.3">
      <c r="A360" t="s">
        <v>1304</v>
      </c>
      <c r="B360" t="s">
        <v>944</v>
      </c>
      <c r="C360" s="1">
        <v>45545</v>
      </c>
      <c r="D360" s="1">
        <v>45575</v>
      </c>
      <c r="E360" s="2">
        <v>1667.66</v>
      </c>
      <c r="F360" t="s">
        <v>28</v>
      </c>
      <c r="G360" t="s">
        <v>17</v>
      </c>
      <c r="I360" t="s">
        <v>941</v>
      </c>
      <c r="J360" t="str">
        <f>IF(ISBLANK(Table1[[#This Row],[PaidDate]]),"Unpaid",IF(Table1[[#This Row],[PaidDate]]&gt;Table1[[#This Row],[DueDate]],"Late",IF(Table1[[#This Row],[PaidDate]]&lt;Table1[[#This Row],[DueDate]],"Early","On Time")))</f>
        <v>Unpaid</v>
      </c>
      <c r="K360" t="str">
        <f ca="1">IF(AND(Table1[[#This Row],[Status]]&lt;&gt;"Paid",TODAY()&gt;Table1[[#This Row],[DueDate]]),"Overdue","OK")</f>
        <v>Overdue</v>
      </c>
    </row>
    <row r="361" spans="1:11" x14ac:dyDescent="0.3">
      <c r="A361" t="s">
        <v>1305</v>
      </c>
      <c r="B361" t="s">
        <v>944</v>
      </c>
      <c r="C361" s="1">
        <v>45325</v>
      </c>
      <c r="D361" s="1">
        <v>45355</v>
      </c>
      <c r="E361" s="2">
        <v>687.7</v>
      </c>
      <c r="F361" t="s">
        <v>28</v>
      </c>
      <c r="G361" t="s">
        <v>17</v>
      </c>
      <c r="I361" t="s">
        <v>941</v>
      </c>
      <c r="J361" t="str">
        <f>IF(ISBLANK(Table1[[#This Row],[PaidDate]]),"Unpaid",IF(Table1[[#This Row],[PaidDate]]&gt;Table1[[#This Row],[DueDate]],"Late",IF(Table1[[#This Row],[PaidDate]]&lt;Table1[[#This Row],[DueDate]],"Early","On Time")))</f>
        <v>Unpaid</v>
      </c>
      <c r="K361" t="str">
        <f ca="1">IF(AND(Table1[[#This Row],[Status]]&lt;&gt;"Paid",TODAY()&gt;Table1[[#This Row],[DueDate]]),"Overdue","OK")</f>
        <v>Overdue</v>
      </c>
    </row>
    <row r="362" spans="1:11" x14ac:dyDescent="0.3">
      <c r="A362" t="s">
        <v>1306</v>
      </c>
      <c r="B362" t="s">
        <v>962</v>
      </c>
      <c r="C362" s="1">
        <v>45174</v>
      </c>
      <c r="D362" s="1">
        <v>45204</v>
      </c>
      <c r="E362" s="2">
        <v>1555.59</v>
      </c>
      <c r="F362" t="s">
        <v>11</v>
      </c>
      <c r="G362" t="s">
        <v>951</v>
      </c>
      <c r="H362" s="1">
        <v>45204</v>
      </c>
      <c r="I362" t="s">
        <v>941</v>
      </c>
      <c r="J362" t="str">
        <f>IF(ISBLANK(Table1[[#This Row],[PaidDate]]),"Unpaid",IF(Table1[[#This Row],[PaidDate]]&gt;Table1[[#This Row],[DueDate]],"Late",IF(Table1[[#This Row],[PaidDate]]&lt;Table1[[#This Row],[DueDate]],"Early","On Time")))</f>
        <v>On Time</v>
      </c>
      <c r="K362" t="str">
        <f ca="1">IF(AND(Table1[[#This Row],[Status]]&lt;&gt;"Paid",TODAY()&gt;Table1[[#This Row],[DueDate]]),"Overdue","OK")</f>
        <v>OK</v>
      </c>
    </row>
    <row r="363" spans="1:11" x14ac:dyDescent="0.3">
      <c r="A363" t="s">
        <v>1307</v>
      </c>
      <c r="B363" t="s">
        <v>940</v>
      </c>
      <c r="C363" s="1">
        <v>45298</v>
      </c>
      <c r="D363" s="1">
        <v>45328</v>
      </c>
      <c r="E363" s="2">
        <v>937.69</v>
      </c>
      <c r="F363" t="s">
        <v>28</v>
      </c>
      <c r="G363" t="s">
        <v>951</v>
      </c>
      <c r="H363" s="1">
        <v>45328</v>
      </c>
      <c r="I363" t="s">
        <v>941</v>
      </c>
      <c r="J363" t="str">
        <f>IF(ISBLANK(Table1[[#This Row],[PaidDate]]),"Unpaid",IF(Table1[[#This Row],[PaidDate]]&gt;Table1[[#This Row],[DueDate]],"Late",IF(Table1[[#This Row],[PaidDate]]&lt;Table1[[#This Row],[DueDate]],"Early","On Time")))</f>
        <v>On Time</v>
      </c>
      <c r="K363" t="str">
        <f ca="1">IF(AND(Table1[[#This Row],[Status]]&lt;&gt;"Paid",TODAY()&gt;Table1[[#This Row],[DueDate]]),"Overdue","OK")</f>
        <v>OK</v>
      </c>
    </row>
    <row r="364" spans="1:11" x14ac:dyDescent="0.3">
      <c r="A364" t="s">
        <v>1308</v>
      </c>
      <c r="B364" t="s">
        <v>946</v>
      </c>
      <c r="C364" s="1">
        <v>45307</v>
      </c>
      <c r="D364" s="1">
        <v>45337</v>
      </c>
      <c r="E364" s="2">
        <v>2005.72</v>
      </c>
      <c r="F364" t="s">
        <v>11</v>
      </c>
      <c r="G364" t="s">
        <v>951</v>
      </c>
      <c r="H364" s="1">
        <v>45337</v>
      </c>
      <c r="I364" t="s">
        <v>941</v>
      </c>
      <c r="J364" t="str">
        <f>IF(ISBLANK(Table1[[#This Row],[PaidDate]]),"Unpaid",IF(Table1[[#This Row],[PaidDate]]&gt;Table1[[#This Row],[DueDate]],"Late",IF(Table1[[#This Row],[PaidDate]]&lt;Table1[[#This Row],[DueDate]],"Early","On Time")))</f>
        <v>On Time</v>
      </c>
      <c r="K364" t="str">
        <f ca="1">IF(AND(Table1[[#This Row],[Status]]&lt;&gt;"Paid",TODAY()&gt;Table1[[#This Row],[DueDate]]),"Overdue","OK")</f>
        <v>OK</v>
      </c>
    </row>
    <row r="365" spans="1:11" x14ac:dyDescent="0.3">
      <c r="A365" t="s">
        <v>1309</v>
      </c>
      <c r="B365" t="s">
        <v>940</v>
      </c>
      <c r="C365" s="1">
        <v>45306</v>
      </c>
      <c r="D365" s="1">
        <v>45336</v>
      </c>
      <c r="E365" s="2">
        <v>4353.25</v>
      </c>
      <c r="F365" t="s">
        <v>26</v>
      </c>
      <c r="G365" t="s">
        <v>951</v>
      </c>
      <c r="H365" s="1">
        <v>45336</v>
      </c>
      <c r="I365" t="s">
        <v>941</v>
      </c>
      <c r="J365" t="str">
        <f>IF(ISBLANK(Table1[[#This Row],[PaidDate]]),"Unpaid",IF(Table1[[#This Row],[PaidDate]]&gt;Table1[[#This Row],[DueDate]],"Late",IF(Table1[[#This Row],[PaidDate]]&lt;Table1[[#This Row],[DueDate]],"Early","On Time")))</f>
        <v>On Time</v>
      </c>
      <c r="K365" t="str">
        <f ca="1">IF(AND(Table1[[#This Row],[Status]]&lt;&gt;"Paid",TODAY()&gt;Table1[[#This Row],[DueDate]]),"Overdue","OK")</f>
        <v>OK</v>
      </c>
    </row>
    <row r="366" spans="1:11" x14ac:dyDescent="0.3">
      <c r="A366" t="s">
        <v>1310</v>
      </c>
      <c r="B366" t="s">
        <v>940</v>
      </c>
      <c r="C366" s="1">
        <v>45653</v>
      </c>
      <c r="D366" s="1">
        <v>45683</v>
      </c>
      <c r="E366" s="2">
        <v>2122.23</v>
      </c>
      <c r="F366" t="s">
        <v>28</v>
      </c>
      <c r="G366" t="s">
        <v>17</v>
      </c>
      <c r="I366" t="s">
        <v>941</v>
      </c>
      <c r="J366" t="str">
        <f>IF(ISBLANK(Table1[[#This Row],[PaidDate]]),"Unpaid",IF(Table1[[#This Row],[PaidDate]]&gt;Table1[[#This Row],[DueDate]],"Late",IF(Table1[[#This Row],[PaidDate]]&lt;Table1[[#This Row],[DueDate]],"Early","On Time")))</f>
        <v>Unpaid</v>
      </c>
      <c r="K366" t="str">
        <f ca="1">IF(AND(Table1[[#This Row],[Status]]&lt;&gt;"Paid",TODAY()&gt;Table1[[#This Row],[DueDate]]),"Overdue","OK")</f>
        <v>Overdue</v>
      </c>
    </row>
    <row r="367" spans="1:11" x14ac:dyDescent="0.3">
      <c r="A367" t="s">
        <v>1311</v>
      </c>
      <c r="B367" t="s">
        <v>966</v>
      </c>
      <c r="C367" s="1">
        <v>45756</v>
      </c>
      <c r="D367" s="1">
        <v>45786</v>
      </c>
      <c r="E367" s="2">
        <v>3957.87</v>
      </c>
      <c r="F367" t="s">
        <v>26</v>
      </c>
      <c r="G367" t="s">
        <v>12</v>
      </c>
      <c r="I367" t="s">
        <v>941</v>
      </c>
      <c r="J367" t="str">
        <f>IF(ISBLANK(Table1[[#This Row],[PaidDate]]),"Unpaid",IF(Table1[[#This Row],[PaidDate]]&gt;Table1[[#This Row],[DueDate]],"Late",IF(Table1[[#This Row],[PaidDate]]&lt;Table1[[#This Row],[DueDate]],"Early","On Time")))</f>
        <v>Unpaid</v>
      </c>
      <c r="K367" t="str">
        <f ca="1">IF(AND(Table1[[#This Row],[Status]]&lt;&gt;"Paid",TODAY()&gt;Table1[[#This Row],[DueDate]]),"Overdue","OK")</f>
        <v>Overdue</v>
      </c>
    </row>
    <row r="368" spans="1:11" x14ac:dyDescent="0.3">
      <c r="A368" t="s">
        <v>1312</v>
      </c>
      <c r="B368" t="s">
        <v>940</v>
      </c>
      <c r="C368" s="1">
        <v>45495</v>
      </c>
      <c r="D368" s="1">
        <v>45525</v>
      </c>
      <c r="E368" s="2">
        <v>3266.74</v>
      </c>
      <c r="F368" t="s">
        <v>28</v>
      </c>
      <c r="G368" t="s">
        <v>12</v>
      </c>
      <c r="I368" t="s">
        <v>941</v>
      </c>
      <c r="J368" t="str">
        <f>IF(ISBLANK(Table1[[#This Row],[PaidDate]]),"Unpaid",IF(Table1[[#This Row],[PaidDate]]&gt;Table1[[#This Row],[DueDate]],"Late",IF(Table1[[#This Row],[PaidDate]]&lt;Table1[[#This Row],[DueDate]],"Early","On Time")))</f>
        <v>Unpaid</v>
      </c>
      <c r="K368" t="str">
        <f ca="1">IF(AND(Table1[[#This Row],[Status]]&lt;&gt;"Paid",TODAY()&gt;Table1[[#This Row],[DueDate]]),"Overdue","OK")</f>
        <v>Overdue</v>
      </c>
    </row>
    <row r="369" spans="1:11" x14ac:dyDescent="0.3">
      <c r="A369" t="s">
        <v>1313</v>
      </c>
      <c r="B369" t="s">
        <v>966</v>
      </c>
      <c r="C369" s="1">
        <v>45411</v>
      </c>
      <c r="D369" s="1">
        <v>45441</v>
      </c>
      <c r="E369" s="2">
        <v>4729.29</v>
      </c>
      <c r="F369" t="s">
        <v>28</v>
      </c>
      <c r="G369" t="s">
        <v>12</v>
      </c>
      <c r="I369" t="s">
        <v>941</v>
      </c>
      <c r="J369" t="str">
        <f>IF(ISBLANK(Table1[[#This Row],[PaidDate]]),"Unpaid",IF(Table1[[#This Row],[PaidDate]]&gt;Table1[[#This Row],[DueDate]],"Late",IF(Table1[[#This Row],[PaidDate]]&lt;Table1[[#This Row],[DueDate]],"Early","On Time")))</f>
        <v>Unpaid</v>
      </c>
      <c r="K369" t="str">
        <f ca="1">IF(AND(Table1[[#This Row],[Status]]&lt;&gt;"Paid",TODAY()&gt;Table1[[#This Row],[DueDate]]),"Overdue","OK")</f>
        <v>Overdue</v>
      </c>
    </row>
    <row r="370" spans="1:11" x14ac:dyDescent="0.3">
      <c r="A370" t="s">
        <v>1314</v>
      </c>
      <c r="B370" t="s">
        <v>946</v>
      </c>
      <c r="C370" s="1">
        <v>45731</v>
      </c>
      <c r="D370" s="1">
        <v>45761</v>
      </c>
      <c r="E370" s="2">
        <v>1404.93</v>
      </c>
      <c r="F370" t="s">
        <v>28</v>
      </c>
      <c r="G370" t="s">
        <v>12</v>
      </c>
      <c r="I370" t="s">
        <v>941</v>
      </c>
      <c r="J370" t="str">
        <f>IF(ISBLANK(Table1[[#This Row],[PaidDate]]),"Unpaid",IF(Table1[[#This Row],[PaidDate]]&gt;Table1[[#This Row],[DueDate]],"Late",IF(Table1[[#This Row],[PaidDate]]&lt;Table1[[#This Row],[DueDate]],"Early","On Time")))</f>
        <v>Unpaid</v>
      </c>
      <c r="K370" t="str">
        <f ca="1">IF(AND(Table1[[#This Row],[Status]]&lt;&gt;"Paid",TODAY()&gt;Table1[[#This Row],[DueDate]]),"Overdue","OK")</f>
        <v>Overdue</v>
      </c>
    </row>
    <row r="371" spans="1:11" x14ac:dyDescent="0.3">
      <c r="A371" t="s">
        <v>1315</v>
      </c>
      <c r="B371" t="s">
        <v>966</v>
      </c>
      <c r="C371" s="1">
        <v>45631</v>
      </c>
      <c r="D371" s="1">
        <v>45661</v>
      </c>
      <c r="E371" s="2">
        <v>2397.5100000000002</v>
      </c>
      <c r="F371" t="s">
        <v>26</v>
      </c>
      <c r="G371" t="s">
        <v>12</v>
      </c>
      <c r="I371" t="s">
        <v>941</v>
      </c>
      <c r="J371" t="str">
        <f>IF(ISBLANK(Table1[[#This Row],[PaidDate]]),"Unpaid",IF(Table1[[#This Row],[PaidDate]]&gt;Table1[[#This Row],[DueDate]],"Late",IF(Table1[[#This Row],[PaidDate]]&lt;Table1[[#This Row],[DueDate]],"Early","On Time")))</f>
        <v>Unpaid</v>
      </c>
      <c r="K371" t="str">
        <f ca="1">IF(AND(Table1[[#This Row],[Status]]&lt;&gt;"Paid",TODAY()&gt;Table1[[#This Row],[DueDate]]),"Overdue","OK")</f>
        <v>Overdue</v>
      </c>
    </row>
    <row r="372" spans="1:11" x14ac:dyDescent="0.3">
      <c r="A372" t="s">
        <v>1316</v>
      </c>
      <c r="B372" t="s">
        <v>966</v>
      </c>
      <c r="C372" s="1">
        <v>45005</v>
      </c>
      <c r="D372" s="1">
        <v>45035</v>
      </c>
      <c r="E372" s="2">
        <v>3324.14</v>
      </c>
      <c r="F372" t="s">
        <v>28</v>
      </c>
      <c r="G372" t="s">
        <v>951</v>
      </c>
      <c r="H372" s="1">
        <v>45035</v>
      </c>
      <c r="I372" t="s">
        <v>941</v>
      </c>
      <c r="J372" t="str">
        <f>IF(ISBLANK(Table1[[#This Row],[PaidDate]]),"Unpaid",IF(Table1[[#This Row],[PaidDate]]&gt;Table1[[#This Row],[DueDate]],"Late",IF(Table1[[#This Row],[PaidDate]]&lt;Table1[[#This Row],[DueDate]],"Early","On Time")))</f>
        <v>On Time</v>
      </c>
      <c r="K372" t="str">
        <f ca="1">IF(AND(Table1[[#This Row],[Status]]&lt;&gt;"Paid",TODAY()&gt;Table1[[#This Row],[DueDate]]),"Overdue","OK")</f>
        <v>OK</v>
      </c>
    </row>
    <row r="373" spans="1:11" x14ac:dyDescent="0.3">
      <c r="A373" t="s">
        <v>1317</v>
      </c>
      <c r="B373" t="s">
        <v>962</v>
      </c>
      <c r="C373" s="1">
        <v>45290</v>
      </c>
      <c r="D373" s="1">
        <v>45320</v>
      </c>
      <c r="E373" s="2">
        <v>4000.08</v>
      </c>
      <c r="F373" t="s">
        <v>19</v>
      </c>
      <c r="G373" t="s">
        <v>17</v>
      </c>
      <c r="I373" t="s">
        <v>941</v>
      </c>
      <c r="J373" t="str">
        <f>IF(ISBLANK(Table1[[#This Row],[PaidDate]]),"Unpaid",IF(Table1[[#This Row],[PaidDate]]&gt;Table1[[#This Row],[DueDate]],"Late",IF(Table1[[#This Row],[PaidDate]]&lt;Table1[[#This Row],[DueDate]],"Early","On Time")))</f>
        <v>Unpaid</v>
      </c>
      <c r="K373" t="str">
        <f ca="1">IF(AND(Table1[[#This Row],[Status]]&lt;&gt;"Paid",TODAY()&gt;Table1[[#This Row],[DueDate]]),"Overdue","OK")</f>
        <v>Overdue</v>
      </c>
    </row>
    <row r="374" spans="1:11" x14ac:dyDescent="0.3">
      <c r="A374" t="s">
        <v>1318</v>
      </c>
      <c r="B374" t="s">
        <v>962</v>
      </c>
      <c r="C374" s="1">
        <v>45788</v>
      </c>
      <c r="D374" s="1">
        <v>45818</v>
      </c>
      <c r="E374" s="2">
        <v>692.78</v>
      </c>
      <c r="F374" t="s">
        <v>16</v>
      </c>
      <c r="G374" t="s">
        <v>951</v>
      </c>
      <c r="H374" s="1">
        <v>45818</v>
      </c>
      <c r="I374" t="s">
        <v>941</v>
      </c>
      <c r="J374" t="str">
        <f>IF(ISBLANK(Table1[[#This Row],[PaidDate]]),"Unpaid",IF(Table1[[#This Row],[PaidDate]]&gt;Table1[[#This Row],[DueDate]],"Late",IF(Table1[[#This Row],[PaidDate]]&lt;Table1[[#This Row],[DueDate]],"Early","On Time")))</f>
        <v>On Time</v>
      </c>
      <c r="K374" t="str">
        <f ca="1">IF(AND(Table1[[#This Row],[Status]]&lt;&gt;"Paid",TODAY()&gt;Table1[[#This Row],[DueDate]]),"Overdue","OK")</f>
        <v>OK</v>
      </c>
    </row>
    <row r="375" spans="1:11" x14ac:dyDescent="0.3">
      <c r="A375" t="s">
        <v>1319</v>
      </c>
      <c r="B375" t="s">
        <v>946</v>
      </c>
      <c r="C375" s="1">
        <v>45066</v>
      </c>
      <c r="D375" s="1">
        <v>45096</v>
      </c>
      <c r="E375" s="2">
        <v>485.69</v>
      </c>
      <c r="F375" t="s">
        <v>16</v>
      </c>
      <c r="G375" t="s">
        <v>12</v>
      </c>
      <c r="I375" t="s">
        <v>941</v>
      </c>
      <c r="J375" t="str">
        <f>IF(ISBLANK(Table1[[#This Row],[PaidDate]]),"Unpaid",IF(Table1[[#This Row],[PaidDate]]&gt;Table1[[#This Row],[DueDate]],"Late",IF(Table1[[#This Row],[PaidDate]]&lt;Table1[[#This Row],[DueDate]],"Early","On Time")))</f>
        <v>Unpaid</v>
      </c>
      <c r="K375" t="str">
        <f ca="1">IF(AND(Table1[[#This Row],[Status]]&lt;&gt;"Paid",TODAY()&gt;Table1[[#This Row],[DueDate]]),"Overdue","OK")</f>
        <v>Overdue</v>
      </c>
    </row>
    <row r="376" spans="1:11" x14ac:dyDescent="0.3">
      <c r="A376" t="s">
        <v>1320</v>
      </c>
      <c r="B376" t="s">
        <v>966</v>
      </c>
      <c r="C376" s="1">
        <v>45168</v>
      </c>
      <c r="D376" s="1">
        <v>45198</v>
      </c>
      <c r="E376" s="2">
        <v>2956.85</v>
      </c>
      <c r="F376" t="s">
        <v>16</v>
      </c>
      <c r="G376" t="s">
        <v>951</v>
      </c>
      <c r="H376" s="1">
        <v>45198</v>
      </c>
      <c r="I376" t="s">
        <v>941</v>
      </c>
      <c r="J376" t="str">
        <f>IF(ISBLANK(Table1[[#This Row],[PaidDate]]),"Unpaid",IF(Table1[[#This Row],[PaidDate]]&gt;Table1[[#This Row],[DueDate]],"Late",IF(Table1[[#This Row],[PaidDate]]&lt;Table1[[#This Row],[DueDate]],"Early","On Time")))</f>
        <v>On Time</v>
      </c>
      <c r="K376" t="str">
        <f ca="1">IF(AND(Table1[[#This Row],[Status]]&lt;&gt;"Paid",TODAY()&gt;Table1[[#This Row],[DueDate]]),"Overdue","OK")</f>
        <v>OK</v>
      </c>
    </row>
    <row r="377" spans="1:11" x14ac:dyDescent="0.3">
      <c r="A377" t="s">
        <v>1321</v>
      </c>
      <c r="B377" t="s">
        <v>944</v>
      </c>
      <c r="C377" s="1">
        <v>45233</v>
      </c>
      <c r="D377" s="1">
        <v>45263</v>
      </c>
      <c r="E377" s="2">
        <v>2455.2600000000002</v>
      </c>
      <c r="F377" t="s">
        <v>26</v>
      </c>
      <c r="G377" t="s">
        <v>12</v>
      </c>
      <c r="I377" t="s">
        <v>941</v>
      </c>
      <c r="J377" t="str">
        <f>IF(ISBLANK(Table1[[#This Row],[PaidDate]]),"Unpaid",IF(Table1[[#This Row],[PaidDate]]&gt;Table1[[#This Row],[DueDate]],"Late",IF(Table1[[#This Row],[PaidDate]]&lt;Table1[[#This Row],[DueDate]],"Early","On Time")))</f>
        <v>Unpaid</v>
      </c>
      <c r="K377" t="str">
        <f ca="1">IF(AND(Table1[[#This Row],[Status]]&lt;&gt;"Paid",TODAY()&gt;Table1[[#This Row],[DueDate]]),"Overdue","OK")</f>
        <v>Overdue</v>
      </c>
    </row>
    <row r="378" spans="1:11" x14ac:dyDescent="0.3">
      <c r="A378" t="s">
        <v>1322</v>
      </c>
      <c r="B378" t="s">
        <v>946</v>
      </c>
      <c r="C378" s="1">
        <v>44958</v>
      </c>
      <c r="D378" s="1">
        <v>44988</v>
      </c>
      <c r="E378" s="2">
        <v>852.36</v>
      </c>
      <c r="F378" t="s">
        <v>26</v>
      </c>
      <c r="G378" t="s">
        <v>951</v>
      </c>
      <c r="H378" s="1">
        <v>44988</v>
      </c>
      <c r="I378" t="s">
        <v>941</v>
      </c>
      <c r="J378" t="str">
        <f>IF(ISBLANK(Table1[[#This Row],[PaidDate]]),"Unpaid",IF(Table1[[#This Row],[PaidDate]]&gt;Table1[[#This Row],[DueDate]],"Late",IF(Table1[[#This Row],[PaidDate]]&lt;Table1[[#This Row],[DueDate]],"Early","On Time")))</f>
        <v>On Time</v>
      </c>
      <c r="K378" t="str">
        <f ca="1">IF(AND(Table1[[#This Row],[Status]]&lt;&gt;"Paid",TODAY()&gt;Table1[[#This Row],[DueDate]]),"Overdue","OK")</f>
        <v>OK</v>
      </c>
    </row>
    <row r="379" spans="1:11" x14ac:dyDescent="0.3">
      <c r="A379" t="s">
        <v>1323</v>
      </c>
      <c r="B379" t="s">
        <v>966</v>
      </c>
      <c r="C379" s="1">
        <v>45129</v>
      </c>
      <c r="D379" s="1">
        <v>45159</v>
      </c>
      <c r="E379" s="2">
        <v>4885.47</v>
      </c>
      <c r="F379" t="s">
        <v>16</v>
      </c>
      <c r="G379" t="s">
        <v>12</v>
      </c>
      <c r="I379" t="s">
        <v>941</v>
      </c>
      <c r="J379" t="str">
        <f>IF(ISBLANK(Table1[[#This Row],[PaidDate]]),"Unpaid",IF(Table1[[#This Row],[PaidDate]]&gt;Table1[[#This Row],[DueDate]],"Late",IF(Table1[[#This Row],[PaidDate]]&lt;Table1[[#This Row],[DueDate]],"Early","On Time")))</f>
        <v>Unpaid</v>
      </c>
      <c r="K379" t="str">
        <f ca="1">IF(AND(Table1[[#This Row],[Status]]&lt;&gt;"Paid",TODAY()&gt;Table1[[#This Row],[DueDate]]),"Overdue","OK")</f>
        <v>Overdue</v>
      </c>
    </row>
    <row r="380" spans="1:11" x14ac:dyDescent="0.3">
      <c r="A380" t="s">
        <v>1324</v>
      </c>
      <c r="B380" t="s">
        <v>966</v>
      </c>
      <c r="C380" s="1">
        <v>45521</v>
      </c>
      <c r="D380" s="1">
        <v>45551</v>
      </c>
      <c r="E380" s="2">
        <v>3332.33</v>
      </c>
      <c r="F380" t="s">
        <v>11</v>
      </c>
      <c r="G380" t="s">
        <v>17</v>
      </c>
      <c r="I380" t="s">
        <v>941</v>
      </c>
      <c r="J380" t="str">
        <f>IF(ISBLANK(Table1[[#This Row],[PaidDate]]),"Unpaid",IF(Table1[[#This Row],[PaidDate]]&gt;Table1[[#This Row],[DueDate]],"Late",IF(Table1[[#This Row],[PaidDate]]&lt;Table1[[#This Row],[DueDate]],"Early","On Time")))</f>
        <v>Unpaid</v>
      </c>
      <c r="K380" t="str">
        <f ca="1">IF(AND(Table1[[#This Row],[Status]]&lt;&gt;"Paid",TODAY()&gt;Table1[[#This Row],[DueDate]]),"Overdue","OK")</f>
        <v>Overdue</v>
      </c>
    </row>
    <row r="381" spans="1:11" x14ac:dyDescent="0.3">
      <c r="A381" t="s">
        <v>1325</v>
      </c>
      <c r="B381" t="s">
        <v>966</v>
      </c>
      <c r="C381" s="1">
        <v>45170</v>
      </c>
      <c r="D381" s="1">
        <v>45200</v>
      </c>
      <c r="E381" s="2">
        <v>431.39</v>
      </c>
      <c r="F381" t="s">
        <v>11</v>
      </c>
      <c r="G381" t="s">
        <v>951</v>
      </c>
      <c r="H381" s="1">
        <v>45200</v>
      </c>
      <c r="I381" t="s">
        <v>941</v>
      </c>
      <c r="J381" t="str">
        <f>IF(ISBLANK(Table1[[#This Row],[PaidDate]]),"Unpaid",IF(Table1[[#This Row],[PaidDate]]&gt;Table1[[#This Row],[DueDate]],"Late",IF(Table1[[#This Row],[PaidDate]]&lt;Table1[[#This Row],[DueDate]],"Early","On Time")))</f>
        <v>On Time</v>
      </c>
      <c r="K381" t="str">
        <f ca="1">IF(AND(Table1[[#This Row],[Status]]&lt;&gt;"Paid",TODAY()&gt;Table1[[#This Row],[DueDate]]),"Overdue","OK")</f>
        <v>OK</v>
      </c>
    </row>
    <row r="382" spans="1:11" x14ac:dyDescent="0.3">
      <c r="A382" t="s">
        <v>1326</v>
      </c>
      <c r="B382" t="s">
        <v>940</v>
      </c>
      <c r="C382" s="1">
        <v>45363</v>
      </c>
      <c r="D382" s="1">
        <v>45393</v>
      </c>
      <c r="E382" s="2">
        <v>2201.16</v>
      </c>
      <c r="F382" t="s">
        <v>19</v>
      </c>
      <c r="G382" t="s">
        <v>17</v>
      </c>
      <c r="I382" t="s">
        <v>941</v>
      </c>
      <c r="J382" t="str">
        <f>IF(ISBLANK(Table1[[#This Row],[PaidDate]]),"Unpaid",IF(Table1[[#This Row],[PaidDate]]&gt;Table1[[#This Row],[DueDate]],"Late",IF(Table1[[#This Row],[PaidDate]]&lt;Table1[[#This Row],[DueDate]],"Early","On Time")))</f>
        <v>Unpaid</v>
      </c>
      <c r="K382" t="str">
        <f ca="1">IF(AND(Table1[[#This Row],[Status]]&lt;&gt;"Paid",TODAY()&gt;Table1[[#This Row],[DueDate]]),"Overdue","OK")</f>
        <v>Overdue</v>
      </c>
    </row>
    <row r="383" spans="1:11" x14ac:dyDescent="0.3">
      <c r="A383" t="s">
        <v>1327</v>
      </c>
      <c r="B383" t="s">
        <v>962</v>
      </c>
      <c r="C383" s="1">
        <v>45552</v>
      </c>
      <c r="D383" s="1">
        <v>45582</v>
      </c>
      <c r="E383" s="2">
        <v>726.32</v>
      </c>
      <c r="F383" t="s">
        <v>19</v>
      </c>
      <c r="G383" t="s">
        <v>951</v>
      </c>
      <c r="H383" s="1">
        <v>45582</v>
      </c>
      <c r="I383" t="s">
        <v>941</v>
      </c>
      <c r="J383" t="str">
        <f>IF(ISBLANK(Table1[[#This Row],[PaidDate]]),"Unpaid",IF(Table1[[#This Row],[PaidDate]]&gt;Table1[[#This Row],[DueDate]],"Late",IF(Table1[[#This Row],[PaidDate]]&lt;Table1[[#This Row],[DueDate]],"Early","On Time")))</f>
        <v>On Time</v>
      </c>
      <c r="K383" t="str">
        <f ca="1">IF(AND(Table1[[#This Row],[Status]]&lt;&gt;"Paid",TODAY()&gt;Table1[[#This Row],[DueDate]]),"Overdue","OK")</f>
        <v>OK</v>
      </c>
    </row>
    <row r="384" spans="1:11" x14ac:dyDescent="0.3">
      <c r="A384" t="s">
        <v>1328</v>
      </c>
      <c r="B384" t="s">
        <v>966</v>
      </c>
      <c r="C384" s="1">
        <v>45329</v>
      </c>
      <c r="D384" s="1">
        <v>45359</v>
      </c>
      <c r="E384" s="2">
        <v>4541.1000000000004</v>
      </c>
      <c r="F384" t="s">
        <v>28</v>
      </c>
      <c r="G384" t="s">
        <v>12</v>
      </c>
      <c r="I384" t="s">
        <v>941</v>
      </c>
      <c r="J384" t="str">
        <f>IF(ISBLANK(Table1[[#This Row],[PaidDate]]),"Unpaid",IF(Table1[[#This Row],[PaidDate]]&gt;Table1[[#This Row],[DueDate]],"Late",IF(Table1[[#This Row],[PaidDate]]&lt;Table1[[#This Row],[DueDate]],"Early","On Time")))</f>
        <v>Unpaid</v>
      </c>
      <c r="K384" t="str">
        <f ca="1">IF(AND(Table1[[#This Row],[Status]]&lt;&gt;"Paid",TODAY()&gt;Table1[[#This Row],[DueDate]]),"Overdue","OK")</f>
        <v>Overdue</v>
      </c>
    </row>
    <row r="385" spans="1:11" x14ac:dyDescent="0.3">
      <c r="A385" t="s">
        <v>1329</v>
      </c>
      <c r="B385" t="s">
        <v>944</v>
      </c>
      <c r="C385" s="1">
        <v>45797</v>
      </c>
      <c r="D385" s="1">
        <v>45827</v>
      </c>
      <c r="E385" s="2">
        <v>249.48</v>
      </c>
      <c r="F385" t="s">
        <v>26</v>
      </c>
      <c r="G385" t="s">
        <v>951</v>
      </c>
      <c r="H385" s="1">
        <v>45827</v>
      </c>
      <c r="I385" t="s">
        <v>941</v>
      </c>
      <c r="J385" t="str">
        <f>IF(ISBLANK(Table1[[#This Row],[PaidDate]]),"Unpaid",IF(Table1[[#This Row],[PaidDate]]&gt;Table1[[#This Row],[DueDate]],"Late",IF(Table1[[#This Row],[PaidDate]]&lt;Table1[[#This Row],[DueDate]],"Early","On Time")))</f>
        <v>On Time</v>
      </c>
      <c r="K385" t="str">
        <f ca="1">IF(AND(Table1[[#This Row],[Status]]&lt;&gt;"Paid",TODAY()&gt;Table1[[#This Row],[DueDate]]),"Overdue","OK")</f>
        <v>OK</v>
      </c>
    </row>
    <row r="386" spans="1:11" x14ac:dyDescent="0.3">
      <c r="A386" t="s">
        <v>1330</v>
      </c>
      <c r="B386" t="s">
        <v>940</v>
      </c>
      <c r="C386" s="1">
        <v>45284</v>
      </c>
      <c r="D386" s="1">
        <v>45314</v>
      </c>
      <c r="E386" s="2">
        <v>3005.5</v>
      </c>
      <c r="F386" t="s">
        <v>16</v>
      </c>
      <c r="G386" t="s">
        <v>17</v>
      </c>
      <c r="I386" t="s">
        <v>941</v>
      </c>
      <c r="J386" t="str">
        <f>IF(ISBLANK(Table1[[#This Row],[PaidDate]]),"Unpaid",IF(Table1[[#This Row],[PaidDate]]&gt;Table1[[#This Row],[DueDate]],"Late",IF(Table1[[#This Row],[PaidDate]]&lt;Table1[[#This Row],[DueDate]],"Early","On Time")))</f>
        <v>Unpaid</v>
      </c>
      <c r="K386" t="str">
        <f ca="1">IF(AND(Table1[[#This Row],[Status]]&lt;&gt;"Paid",TODAY()&gt;Table1[[#This Row],[DueDate]]),"Overdue","OK")</f>
        <v>Overdue</v>
      </c>
    </row>
    <row r="387" spans="1:11" x14ac:dyDescent="0.3">
      <c r="A387" t="s">
        <v>1331</v>
      </c>
      <c r="B387" t="s">
        <v>966</v>
      </c>
      <c r="C387" s="1">
        <v>44930</v>
      </c>
      <c r="D387" s="1">
        <v>44960</v>
      </c>
      <c r="E387" s="2">
        <v>1857.96</v>
      </c>
      <c r="F387" t="s">
        <v>16</v>
      </c>
      <c r="G387" t="s">
        <v>951</v>
      </c>
      <c r="H387" s="1">
        <v>44960</v>
      </c>
      <c r="I387" t="s">
        <v>941</v>
      </c>
      <c r="J387" t="str">
        <f>IF(ISBLANK(Table1[[#This Row],[PaidDate]]),"Unpaid",IF(Table1[[#This Row],[PaidDate]]&gt;Table1[[#This Row],[DueDate]],"Late",IF(Table1[[#This Row],[PaidDate]]&lt;Table1[[#This Row],[DueDate]],"Early","On Time")))</f>
        <v>On Time</v>
      </c>
      <c r="K387" t="str">
        <f ca="1">IF(AND(Table1[[#This Row],[Status]]&lt;&gt;"Paid",TODAY()&gt;Table1[[#This Row],[DueDate]]),"Overdue","OK")</f>
        <v>OK</v>
      </c>
    </row>
    <row r="388" spans="1:11" x14ac:dyDescent="0.3">
      <c r="A388" t="s">
        <v>1332</v>
      </c>
      <c r="B388" t="s">
        <v>966</v>
      </c>
      <c r="C388" s="1">
        <v>45616</v>
      </c>
      <c r="D388" s="1">
        <v>45646</v>
      </c>
      <c r="E388" s="2">
        <v>915.02</v>
      </c>
      <c r="F388" t="s">
        <v>28</v>
      </c>
      <c r="G388" t="s">
        <v>17</v>
      </c>
      <c r="I388" t="s">
        <v>941</v>
      </c>
      <c r="J388" t="str">
        <f>IF(ISBLANK(Table1[[#This Row],[PaidDate]]),"Unpaid",IF(Table1[[#This Row],[PaidDate]]&gt;Table1[[#This Row],[DueDate]],"Late",IF(Table1[[#This Row],[PaidDate]]&lt;Table1[[#This Row],[DueDate]],"Early","On Time")))</f>
        <v>Unpaid</v>
      </c>
      <c r="K388" t="str">
        <f ca="1">IF(AND(Table1[[#This Row],[Status]]&lt;&gt;"Paid",TODAY()&gt;Table1[[#This Row],[DueDate]]),"Overdue","OK")</f>
        <v>Overdue</v>
      </c>
    </row>
    <row r="389" spans="1:11" x14ac:dyDescent="0.3">
      <c r="A389" t="s">
        <v>1333</v>
      </c>
      <c r="B389" t="s">
        <v>940</v>
      </c>
      <c r="C389" s="1">
        <v>45480</v>
      </c>
      <c r="D389" s="1">
        <v>45510</v>
      </c>
      <c r="E389" s="2">
        <v>4101.55</v>
      </c>
      <c r="F389" t="s">
        <v>19</v>
      </c>
      <c r="G389" t="s">
        <v>17</v>
      </c>
      <c r="I389" t="s">
        <v>941</v>
      </c>
      <c r="J389" t="str">
        <f>IF(ISBLANK(Table1[[#This Row],[PaidDate]]),"Unpaid",IF(Table1[[#This Row],[PaidDate]]&gt;Table1[[#This Row],[DueDate]],"Late",IF(Table1[[#This Row],[PaidDate]]&lt;Table1[[#This Row],[DueDate]],"Early","On Time")))</f>
        <v>Unpaid</v>
      </c>
      <c r="K389" t="str">
        <f ca="1">IF(AND(Table1[[#This Row],[Status]]&lt;&gt;"Paid",TODAY()&gt;Table1[[#This Row],[DueDate]]),"Overdue","OK")</f>
        <v>Overdue</v>
      </c>
    </row>
    <row r="390" spans="1:11" x14ac:dyDescent="0.3">
      <c r="A390" t="s">
        <v>1334</v>
      </c>
      <c r="B390" t="s">
        <v>962</v>
      </c>
      <c r="C390" s="1">
        <v>45272</v>
      </c>
      <c r="D390" s="1">
        <v>45302</v>
      </c>
      <c r="E390" s="2">
        <v>4184.6499999999996</v>
      </c>
      <c r="F390" t="s">
        <v>16</v>
      </c>
      <c r="G390" t="s">
        <v>12</v>
      </c>
      <c r="I390" t="s">
        <v>941</v>
      </c>
      <c r="J390" t="str">
        <f>IF(ISBLANK(Table1[[#This Row],[PaidDate]]),"Unpaid",IF(Table1[[#This Row],[PaidDate]]&gt;Table1[[#This Row],[DueDate]],"Late",IF(Table1[[#This Row],[PaidDate]]&lt;Table1[[#This Row],[DueDate]],"Early","On Time")))</f>
        <v>Unpaid</v>
      </c>
      <c r="K390" t="str">
        <f ca="1">IF(AND(Table1[[#This Row],[Status]]&lt;&gt;"Paid",TODAY()&gt;Table1[[#This Row],[DueDate]]),"Overdue","OK")</f>
        <v>Overdue</v>
      </c>
    </row>
    <row r="391" spans="1:11" x14ac:dyDescent="0.3">
      <c r="A391" t="s">
        <v>1335</v>
      </c>
      <c r="B391" t="s">
        <v>946</v>
      </c>
      <c r="C391" s="1">
        <v>45408</v>
      </c>
      <c r="D391" s="1">
        <v>45438</v>
      </c>
      <c r="E391" s="2">
        <v>4769.93</v>
      </c>
      <c r="F391" t="s">
        <v>26</v>
      </c>
      <c r="G391" t="s">
        <v>17</v>
      </c>
      <c r="I391" t="s">
        <v>941</v>
      </c>
      <c r="J391" t="str">
        <f>IF(ISBLANK(Table1[[#This Row],[PaidDate]]),"Unpaid",IF(Table1[[#This Row],[PaidDate]]&gt;Table1[[#This Row],[DueDate]],"Late",IF(Table1[[#This Row],[PaidDate]]&lt;Table1[[#This Row],[DueDate]],"Early","On Time")))</f>
        <v>Unpaid</v>
      </c>
      <c r="K391" t="str">
        <f ca="1">IF(AND(Table1[[#This Row],[Status]]&lt;&gt;"Paid",TODAY()&gt;Table1[[#This Row],[DueDate]]),"Overdue","OK")</f>
        <v>Overdue</v>
      </c>
    </row>
    <row r="392" spans="1:11" x14ac:dyDescent="0.3">
      <c r="A392" t="s">
        <v>1336</v>
      </c>
      <c r="B392" t="s">
        <v>962</v>
      </c>
      <c r="C392" s="1">
        <v>45387</v>
      </c>
      <c r="D392" s="1">
        <v>45417</v>
      </c>
      <c r="E392" s="2">
        <v>3082.55</v>
      </c>
      <c r="F392" t="s">
        <v>28</v>
      </c>
      <c r="G392" t="s">
        <v>12</v>
      </c>
      <c r="I392" t="s">
        <v>941</v>
      </c>
      <c r="J392" t="str">
        <f>IF(ISBLANK(Table1[[#This Row],[PaidDate]]),"Unpaid",IF(Table1[[#This Row],[PaidDate]]&gt;Table1[[#This Row],[DueDate]],"Late",IF(Table1[[#This Row],[PaidDate]]&lt;Table1[[#This Row],[DueDate]],"Early","On Time")))</f>
        <v>Unpaid</v>
      </c>
      <c r="K392" t="str">
        <f ca="1">IF(AND(Table1[[#This Row],[Status]]&lt;&gt;"Paid",TODAY()&gt;Table1[[#This Row],[DueDate]]),"Overdue","OK")</f>
        <v>Overdue</v>
      </c>
    </row>
    <row r="393" spans="1:11" x14ac:dyDescent="0.3">
      <c r="A393" t="s">
        <v>1337</v>
      </c>
      <c r="B393" t="s">
        <v>944</v>
      </c>
      <c r="C393" s="1">
        <v>45237</v>
      </c>
      <c r="D393" s="1">
        <v>45267</v>
      </c>
      <c r="E393" s="2">
        <v>4720.7700000000004</v>
      </c>
      <c r="F393" t="s">
        <v>11</v>
      </c>
      <c r="G393" t="s">
        <v>951</v>
      </c>
      <c r="H393" s="1">
        <v>45267</v>
      </c>
      <c r="I393" t="s">
        <v>941</v>
      </c>
      <c r="J393" t="str">
        <f>IF(ISBLANK(Table1[[#This Row],[PaidDate]]),"Unpaid",IF(Table1[[#This Row],[PaidDate]]&gt;Table1[[#This Row],[DueDate]],"Late",IF(Table1[[#This Row],[PaidDate]]&lt;Table1[[#This Row],[DueDate]],"Early","On Time")))</f>
        <v>On Time</v>
      </c>
      <c r="K393" t="str">
        <f ca="1">IF(AND(Table1[[#This Row],[Status]]&lt;&gt;"Paid",TODAY()&gt;Table1[[#This Row],[DueDate]]),"Overdue","OK")</f>
        <v>OK</v>
      </c>
    </row>
    <row r="394" spans="1:11" x14ac:dyDescent="0.3">
      <c r="A394" t="s">
        <v>1338</v>
      </c>
      <c r="B394" t="s">
        <v>944</v>
      </c>
      <c r="C394" s="1">
        <v>45436</v>
      </c>
      <c r="D394" s="1">
        <v>45466</v>
      </c>
      <c r="E394" s="2">
        <v>4645.08</v>
      </c>
      <c r="F394" t="s">
        <v>28</v>
      </c>
      <c r="G394" t="s">
        <v>17</v>
      </c>
      <c r="I394" t="s">
        <v>941</v>
      </c>
      <c r="J394" t="str">
        <f>IF(ISBLANK(Table1[[#This Row],[PaidDate]]),"Unpaid",IF(Table1[[#This Row],[PaidDate]]&gt;Table1[[#This Row],[DueDate]],"Late",IF(Table1[[#This Row],[PaidDate]]&lt;Table1[[#This Row],[DueDate]],"Early","On Time")))</f>
        <v>Unpaid</v>
      </c>
      <c r="K394" t="str">
        <f ca="1">IF(AND(Table1[[#This Row],[Status]]&lt;&gt;"Paid",TODAY()&gt;Table1[[#This Row],[DueDate]]),"Overdue","OK")</f>
        <v>Overdue</v>
      </c>
    </row>
    <row r="395" spans="1:11" x14ac:dyDescent="0.3">
      <c r="A395" t="s">
        <v>1339</v>
      </c>
      <c r="B395" t="s">
        <v>944</v>
      </c>
      <c r="C395" s="1">
        <v>45464</v>
      </c>
      <c r="D395" s="1">
        <v>45494</v>
      </c>
      <c r="E395" s="2">
        <v>2488.5</v>
      </c>
      <c r="F395" t="s">
        <v>11</v>
      </c>
      <c r="G395" t="s">
        <v>17</v>
      </c>
      <c r="I395" t="s">
        <v>941</v>
      </c>
      <c r="J395" t="str">
        <f>IF(ISBLANK(Table1[[#This Row],[PaidDate]]),"Unpaid",IF(Table1[[#This Row],[PaidDate]]&gt;Table1[[#This Row],[DueDate]],"Late",IF(Table1[[#This Row],[PaidDate]]&lt;Table1[[#This Row],[DueDate]],"Early","On Time")))</f>
        <v>Unpaid</v>
      </c>
      <c r="K395" t="str">
        <f ca="1">IF(AND(Table1[[#This Row],[Status]]&lt;&gt;"Paid",TODAY()&gt;Table1[[#This Row],[DueDate]]),"Overdue","OK")</f>
        <v>Overdue</v>
      </c>
    </row>
    <row r="396" spans="1:11" x14ac:dyDescent="0.3">
      <c r="A396" t="s">
        <v>1340</v>
      </c>
      <c r="B396" t="s">
        <v>962</v>
      </c>
      <c r="C396" s="1">
        <v>45308</v>
      </c>
      <c r="D396" s="1">
        <v>45338</v>
      </c>
      <c r="E396" s="2">
        <v>4687.1499999999996</v>
      </c>
      <c r="F396" t="s">
        <v>26</v>
      </c>
      <c r="G396" t="s">
        <v>12</v>
      </c>
      <c r="I396" t="s">
        <v>941</v>
      </c>
      <c r="J396" t="str">
        <f>IF(ISBLANK(Table1[[#This Row],[PaidDate]]),"Unpaid",IF(Table1[[#This Row],[PaidDate]]&gt;Table1[[#This Row],[DueDate]],"Late",IF(Table1[[#This Row],[PaidDate]]&lt;Table1[[#This Row],[DueDate]],"Early","On Time")))</f>
        <v>Unpaid</v>
      </c>
      <c r="K396" t="str">
        <f ca="1">IF(AND(Table1[[#This Row],[Status]]&lt;&gt;"Paid",TODAY()&gt;Table1[[#This Row],[DueDate]]),"Overdue","OK")</f>
        <v>Overdue</v>
      </c>
    </row>
    <row r="397" spans="1:11" x14ac:dyDescent="0.3">
      <c r="A397" t="s">
        <v>1341</v>
      </c>
      <c r="B397" t="s">
        <v>962</v>
      </c>
      <c r="C397" s="1">
        <v>45227</v>
      </c>
      <c r="D397" s="1">
        <v>45257</v>
      </c>
      <c r="E397" s="2">
        <v>3299.79</v>
      </c>
      <c r="F397" t="s">
        <v>11</v>
      </c>
      <c r="G397" t="s">
        <v>17</v>
      </c>
      <c r="I397" t="s">
        <v>941</v>
      </c>
      <c r="J397" t="str">
        <f>IF(ISBLANK(Table1[[#This Row],[PaidDate]]),"Unpaid",IF(Table1[[#This Row],[PaidDate]]&gt;Table1[[#This Row],[DueDate]],"Late",IF(Table1[[#This Row],[PaidDate]]&lt;Table1[[#This Row],[DueDate]],"Early","On Time")))</f>
        <v>Unpaid</v>
      </c>
      <c r="K397" t="str">
        <f ca="1">IF(AND(Table1[[#This Row],[Status]]&lt;&gt;"Paid",TODAY()&gt;Table1[[#This Row],[DueDate]]),"Overdue","OK")</f>
        <v>Overdue</v>
      </c>
    </row>
    <row r="398" spans="1:11" x14ac:dyDescent="0.3">
      <c r="A398" t="s">
        <v>1342</v>
      </c>
      <c r="B398" t="s">
        <v>944</v>
      </c>
      <c r="C398" s="1">
        <v>45541</v>
      </c>
      <c r="D398" s="1">
        <v>45571</v>
      </c>
      <c r="E398" s="2">
        <v>1150.1099999999999</v>
      </c>
      <c r="F398" t="s">
        <v>19</v>
      </c>
      <c r="G398" t="s">
        <v>951</v>
      </c>
      <c r="H398" s="1">
        <v>45571</v>
      </c>
      <c r="I398" t="s">
        <v>941</v>
      </c>
      <c r="J398" t="str">
        <f>IF(ISBLANK(Table1[[#This Row],[PaidDate]]),"Unpaid",IF(Table1[[#This Row],[PaidDate]]&gt;Table1[[#This Row],[DueDate]],"Late",IF(Table1[[#This Row],[PaidDate]]&lt;Table1[[#This Row],[DueDate]],"Early","On Time")))</f>
        <v>On Time</v>
      </c>
      <c r="K398" t="str">
        <f ca="1">IF(AND(Table1[[#This Row],[Status]]&lt;&gt;"Paid",TODAY()&gt;Table1[[#This Row],[DueDate]]),"Overdue","OK")</f>
        <v>OK</v>
      </c>
    </row>
    <row r="399" spans="1:11" x14ac:dyDescent="0.3">
      <c r="A399" t="s">
        <v>1343</v>
      </c>
      <c r="B399" t="s">
        <v>962</v>
      </c>
      <c r="C399" s="1">
        <v>45329</v>
      </c>
      <c r="D399" s="1">
        <v>45359</v>
      </c>
      <c r="E399" s="2">
        <v>1440.98</v>
      </c>
      <c r="F399" t="s">
        <v>26</v>
      </c>
      <c r="G399" t="s">
        <v>17</v>
      </c>
      <c r="I399" t="s">
        <v>941</v>
      </c>
      <c r="J399" t="str">
        <f>IF(ISBLANK(Table1[[#This Row],[PaidDate]]),"Unpaid",IF(Table1[[#This Row],[PaidDate]]&gt;Table1[[#This Row],[DueDate]],"Late",IF(Table1[[#This Row],[PaidDate]]&lt;Table1[[#This Row],[DueDate]],"Early","On Time")))</f>
        <v>Unpaid</v>
      </c>
      <c r="K399" t="str">
        <f ca="1">IF(AND(Table1[[#This Row],[Status]]&lt;&gt;"Paid",TODAY()&gt;Table1[[#This Row],[DueDate]]),"Overdue","OK")</f>
        <v>Overdue</v>
      </c>
    </row>
    <row r="400" spans="1:11" x14ac:dyDescent="0.3">
      <c r="A400" t="s">
        <v>1344</v>
      </c>
      <c r="B400" t="s">
        <v>946</v>
      </c>
      <c r="C400" s="1">
        <v>45012</v>
      </c>
      <c r="D400" s="1">
        <v>45042</v>
      </c>
      <c r="E400" s="2">
        <v>4705.1499999999996</v>
      </c>
      <c r="F400" t="s">
        <v>28</v>
      </c>
      <c r="G400" t="s">
        <v>951</v>
      </c>
      <c r="H400" s="1">
        <v>45042</v>
      </c>
      <c r="I400" t="s">
        <v>941</v>
      </c>
      <c r="J400" t="str">
        <f>IF(ISBLANK(Table1[[#This Row],[PaidDate]]),"Unpaid",IF(Table1[[#This Row],[PaidDate]]&gt;Table1[[#This Row],[DueDate]],"Late",IF(Table1[[#This Row],[PaidDate]]&lt;Table1[[#This Row],[DueDate]],"Early","On Time")))</f>
        <v>On Time</v>
      </c>
      <c r="K400" t="str">
        <f ca="1">IF(AND(Table1[[#This Row],[Status]]&lt;&gt;"Paid",TODAY()&gt;Table1[[#This Row],[DueDate]]),"Overdue","OK")</f>
        <v>OK</v>
      </c>
    </row>
    <row r="401" spans="1:11" x14ac:dyDescent="0.3">
      <c r="A401" t="s">
        <v>1345</v>
      </c>
      <c r="B401" t="s">
        <v>966</v>
      </c>
      <c r="C401" s="1">
        <v>45086</v>
      </c>
      <c r="D401" s="1">
        <v>45116</v>
      </c>
      <c r="E401" s="2">
        <v>4226.8900000000003</v>
      </c>
      <c r="F401" t="s">
        <v>28</v>
      </c>
      <c r="G401" t="s">
        <v>951</v>
      </c>
      <c r="H401" s="1">
        <v>45116</v>
      </c>
      <c r="I401" t="s">
        <v>941</v>
      </c>
      <c r="J401" t="str">
        <f>IF(ISBLANK(Table1[[#This Row],[PaidDate]]),"Unpaid",IF(Table1[[#This Row],[PaidDate]]&gt;Table1[[#This Row],[DueDate]],"Late",IF(Table1[[#This Row],[PaidDate]]&lt;Table1[[#This Row],[DueDate]],"Early","On Time")))</f>
        <v>On Time</v>
      </c>
      <c r="K401" t="str">
        <f ca="1">IF(AND(Table1[[#This Row],[Status]]&lt;&gt;"Paid",TODAY()&gt;Table1[[#This Row],[DueDate]]),"Overdue","OK")</f>
        <v>OK</v>
      </c>
    </row>
    <row r="402" spans="1:11" x14ac:dyDescent="0.3">
      <c r="A402" t="s">
        <v>1346</v>
      </c>
      <c r="B402" t="s">
        <v>962</v>
      </c>
      <c r="C402" s="1">
        <v>45776</v>
      </c>
      <c r="D402" s="1">
        <v>45806</v>
      </c>
      <c r="E402" s="2">
        <v>4706.16</v>
      </c>
      <c r="F402" t="s">
        <v>19</v>
      </c>
      <c r="G402" t="s">
        <v>951</v>
      </c>
      <c r="H402" s="1">
        <v>45806</v>
      </c>
      <c r="I402" t="s">
        <v>941</v>
      </c>
      <c r="J402" t="str">
        <f>IF(ISBLANK(Table1[[#This Row],[PaidDate]]),"Unpaid",IF(Table1[[#This Row],[PaidDate]]&gt;Table1[[#This Row],[DueDate]],"Late",IF(Table1[[#This Row],[PaidDate]]&lt;Table1[[#This Row],[DueDate]],"Early","On Time")))</f>
        <v>On Time</v>
      </c>
      <c r="K402" t="str">
        <f ca="1">IF(AND(Table1[[#This Row],[Status]]&lt;&gt;"Paid",TODAY()&gt;Table1[[#This Row],[DueDate]]),"Overdue","OK")</f>
        <v>OK</v>
      </c>
    </row>
    <row r="403" spans="1:11" x14ac:dyDescent="0.3">
      <c r="A403" t="s">
        <v>1347</v>
      </c>
      <c r="B403" t="s">
        <v>962</v>
      </c>
      <c r="C403" s="1">
        <v>45145</v>
      </c>
      <c r="D403" s="1">
        <v>45175</v>
      </c>
      <c r="E403" s="2">
        <v>4149.5200000000004</v>
      </c>
      <c r="F403" t="s">
        <v>11</v>
      </c>
      <c r="G403" t="s">
        <v>951</v>
      </c>
      <c r="H403" s="1">
        <v>45175</v>
      </c>
      <c r="I403" t="s">
        <v>941</v>
      </c>
      <c r="J403" t="str">
        <f>IF(ISBLANK(Table1[[#This Row],[PaidDate]]),"Unpaid",IF(Table1[[#This Row],[PaidDate]]&gt;Table1[[#This Row],[DueDate]],"Late",IF(Table1[[#This Row],[PaidDate]]&lt;Table1[[#This Row],[DueDate]],"Early","On Time")))</f>
        <v>On Time</v>
      </c>
      <c r="K403" t="str">
        <f ca="1">IF(AND(Table1[[#This Row],[Status]]&lt;&gt;"Paid",TODAY()&gt;Table1[[#This Row],[DueDate]]),"Overdue","OK")</f>
        <v>OK</v>
      </c>
    </row>
    <row r="404" spans="1:11" x14ac:dyDescent="0.3">
      <c r="A404" t="s">
        <v>1348</v>
      </c>
      <c r="B404" t="s">
        <v>944</v>
      </c>
      <c r="C404" s="1">
        <v>45286</v>
      </c>
      <c r="D404" s="1">
        <v>45316</v>
      </c>
      <c r="E404" s="2">
        <v>1586.89</v>
      </c>
      <c r="F404" t="s">
        <v>16</v>
      </c>
      <c r="G404" t="s">
        <v>12</v>
      </c>
      <c r="I404" t="s">
        <v>941</v>
      </c>
      <c r="J404" t="str">
        <f>IF(ISBLANK(Table1[[#This Row],[PaidDate]]),"Unpaid",IF(Table1[[#This Row],[PaidDate]]&gt;Table1[[#This Row],[DueDate]],"Late",IF(Table1[[#This Row],[PaidDate]]&lt;Table1[[#This Row],[DueDate]],"Early","On Time")))</f>
        <v>Unpaid</v>
      </c>
      <c r="K404" t="str">
        <f ca="1">IF(AND(Table1[[#This Row],[Status]]&lt;&gt;"Paid",TODAY()&gt;Table1[[#This Row],[DueDate]]),"Overdue","OK")</f>
        <v>Overdue</v>
      </c>
    </row>
    <row r="405" spans="1:11" x14ac:dyDescent="0.3">
      <c r="A405" t="s">
        <v>1349</v>
      </c>
      <c r="B405" t="s">
        <v>940</v>
      </c>
      <c r="C405" s="1">
        <v>45757</v>
      </c>
      <c r="D405" s="1">
        <v>45787</v>
      </c>
      <c r="E405" s="2">
        <v>2473.2600000000002</v>
      </c>
      <c r="F405" t="s">
        <v>11</v>
      </c>
      <c r="G405" t="s">
        <v>17</v>
      </c>
      <c r="I405" t="s">
        <v>941</v>
      </c>
      <c r="J405" t="str">
        <f>IF(ISBLANK(Table1[[#This Row],[PaidDate]]),"Unpaid",IF(Table1[[#This Row],[PaidDate]]&gt;Table1[[#This Row],[DueDate]],"Late",IF(Table1[[#This Row],[PaidDate]]&lt;Table1[[#This Row],[DueDate]],"Early","On Time")))</f>
        <v>Unpaid</v>
      </c>
      <c r="K405" t="str">
        <f ca="1">IF(AND(Table1[[#This Row],[Status]]&lt;&gt;"Paid",TODAY()&gt;Table1[[#This Row],[DueDate]]),"Overdue","OK")</f>
        <v>Overdue</v>
      </c>
    </row>
    <row r="406" spans="1:11" x14ac:dyDescent="0.3">
      <c r="A406" t="s">
        <v>1350</v>
      </c>
      <c r="B406" t="s">
        <v>940</v>
      </c>
      <c r="C406" s="1">
        <v>45577</v>
      </c>
      <c r="D406" s="1">
        <v>45607</v>
      </c>
      <c r="E406" s="2">
        <v>3115.36</v>
      </c>
      <c r="F406" t="s">
        <v>19</v>
      </c>
      <c r="G406" t="s">
        <v>17</v>
      </c>
      <c r="I406" t="s">
        <v>941</v>
      </c>
      <c r="J406" t="str">
        <f>IF(ISBLANK(Table1[[#This Row],[PaidDate]]),"Unpaid",IF(Table1[[#This Row],[PaidDate]]&gt;Table1[[#This Row],[DueDate]],"Late",IF(Table1[[#This Row],[PaidDate]]&lt;Table1[[#This Row],[DueDate]],"Early","On Time")))</f>
        <v>Unpaid</v>
      </c>
      <c r="K406" t="str">
        <f ca="1">IF(AND(Table1[[#This Row],[Status]]&lt;&gt;"Paid",TODAY()&gt;Table1[[#This Row],[DueDate]]),"Overdue","OK")</f>
        <v>Overdue</v>
      </c>
    </row>
    <row r="407" spans="1:11" x14ac:dyDescent="0.3">
      <c r="A407" t="s">
        <v>1351</v>
      </c>
      <c r="B407" t="s">
        <v>962</v>
      </c>
      <c r="C407" s="1">
        <v>45775</v>
      </c>
      <c r="D407" s="1">
        <v>45805</v>
      </c>
      <c r="E407" s="2">
        <v>2243.81</v>
      </c>
      <c r="F407" t="s">
        <v>28</v>
      </c>
      <c r="G407" t="s">
        <v>951</v>
      </c>
      <c r="H407" s="1">
        <v>45805</v>
      </c>
      <c r="I407" t="s">
        <v>941</v>
      </c>
      <c r="J407" t="str">
        <f>IF(ISBLANK(Table1[[#This Row],[PaidDate]]),"Unpaid",IF(Table1[[#This Row],[PaidDate]]&gt;Table1[[#This Row],[DueDate]],"Late",IF(Table1[[#This Row],[PaidDate]]&lt;Table1[[#This Row],[DueDate]],"Early","On Time")))</f>
        <v>On Time</v>
      </c>
      <c r="K407" t="str">
        <f ca="1">IF(AND(Table1[[#This Row],[Status]]&lt;&gt;"Paid",TODAY()&gt;Table1[[#This Row],[DueDate]]),"Overdue","OK")</f>
        <v>OK</v>
      </c>
    </row>
    <row r="408" spans="1:11" x14ac:dyDescent="0.3">
      <c r="A408" t="s">
        <v>1352</v>
      </c>
      <c r="B408" t="s">
        <v>944</v>
      </c>
      <c r="C408" s="1">
        <v>45729</v>
      </c>
      <c r="D408" s="1">
        <v>45759</v>
      </c>
      <c r="E408" s="2">
        <v>2764.23</v>
      </c>
      <c r="F408" t="s">
        <v>19</v>
      </c>
      <c r="G408" t="s">
        <v>12</v>
      </c>
      <c r="I408" t="s">
        <v>941</v>
      </c>
      <c r="J408" t="str">
        <f>IF(ISBLANK(Table1[[#This Row],[PaidDate]]),"Unpaid",IF(Table1[[#This Row],[PaidDate]]&gt;Table1[[#This Row],[DueDate]],"Late",IF(Table1[[#This Row],[PaidDate]]&lt;Table1[[#This Row],[DueDate]],"Early","On Time")))</f>
        <v>Unpaid</v>
      </c>
      <c r="K408" t="str">
        <f ca="1">IF(AND(Table1[[#This Row],[Status]]&lt;&gt;"Paid",TODAY()&gt;Table1[[#This Row],[DueDate]]),"Overdue","OK")</f>
        <v>Overdue</v>
      </c>
    </row>
    <row r="409" spans="1:11" x14ac:dyDescent="0.3">
      <c r="A409" t="s">
        <v>1353</v>
      </c>
      <c r="B409" t="s">
        <v>966</v>
      </c>
      <c r="C409" s="1">
        <v>45286</v>
      </c>
      <c r="D409" s="1">
        <v>45316</v>
      </c>
      <c r="E409" s="2">
        <v>4219.16</v>
      </c>
      <c r="F409" t="s">
        <v>11</v>
      </c>
      <c r="G409" t="s">
        <v>12</v>
      </c>
      <c r="I409" t="s">
        <v>941</v>
      </c>
      <c r="J409" t="str">
        <f>IF(ISBLANK(Table1[[#This Row],[PaidDate]]),"Unpaid",IF(Table1[[#This Row],[PaidDate]]&gt;Table1[[#This Row],[DueDate]],"Late",IF(Table1[[#This Row],[PaidDate]]&lt;Table1[[#This Row],[DueDate]],"Early","On Time")))</f>
        <v>Unpaid</v>
      </c>
      <c r="K409" t="str">
        <f ca="1">IF(AND(Table1[[#This Row],[Status]]&lt;&gt;"Paid",TODAY()&gt;Table1[[#This Row],[DueDate]]),"Overdue","OK")</f>
        <v>Overdue</v>
      </c>
    </row>
    <row r="410" spans="1:11" x14ac:dyDescent="0.3">
      <c r="A410" t="s">
        <v>1354</v>
      </c>
      <c r="B410" t="s">
        <v>962</v>
      </c>
      <c r="C410" s="1">
        <v>45430</v>
      </c>
      <c r="D410" s="1">
        <v>45460</v>
      </c>
      <c r="E410" s="2">
        <v>2719.44</v>
      </c>
      <c r="F410" t="s">
        <v>26</v>
      </c>
      <c r="G410" t="s">
        <v>17</v>
      </c>
      <c r="I410" t="s">
        <v>941</v>
      </c>
      <c r="J410" t="str">
        <f>IF(ISBLANK(Table1[[#This Row],[PaidDate]]),"Unpaid",IF(Table1[[#This Row],[PaidDate]]&gt;Table1[[#This Row],[DueDate]],"Late",IF(Table1[[#This Row],[PaidDate]]&lt;Table1[[#This Row],[DueDate]],"Early","On Time")))</f>
        <v>Unpaid</v>
      </c>
      <c r="K410" t="str">
        <f ca="1">IF(AND(Table1[[#This Row],[Status]]&lt;&gt;"Paid",TODAY()&gt;Table1[[#This Row],[DueDate]]),"Overdue","OK")</f>
        <v>Overdue</v>
      </c>
    </row>
    <row r="411" spans="1:11" x14ac:dyDescent="0.3">
      <c r="A411" t="s">
        <v>1355</v>
      </c>
      <c r="B411" t="s">
        <v>966</v>
      </c>
      <c r="C411" s="1">
        <v>45617</v>
      </c>
      <c r="D411" s="1">
        <v>45647</v>
      </c>
      <c r="E411" s="2">
        <v>3651.79</v>
      </c>
      <c r="F411" t="s">
        <v>26</v>
      </c>
      <c r="G411" t="s">
        <v>12</v>
      </c>
      <c r="I411" t="s">
        <v>941</v>
      </c>
      <c r="J411" t="str">
        <f>IF(ISBLANK(Table1[[#This Row],[PaidDate]]),"Unpaid",IF(Table1[[#This Row],[PaidDate]]&gt;Table1[[#This Row],[DueDate]],"Late",IF(Table1[[#This Row],[PaidDate]]&lt;Table1[[#This Row],[DueDate]],"Early","On Time")))</f>
        <v>Unpaid</v>
      </c>
      <c r="K411" t="str">
        <f ca="1">IF(AND(Table1[[#This Row],[Status]]&lt;&gt;"Paid",TODAY()&gt;Table1[[#This Row],[DueDate]]),"Overdue","OK")</f>
        <v>Overdue</v>
      </c>
    </row>
    <row r="412" spans="1:11" x14ac:dyDescent="0.3">
      <c r="A412" t="s">
        <v>1356</v>
      </c>
      <c r="B412" t="s">
        <v>962</v>
      </c>
      <c r="C412" s="1">
        <v>45358</v>
      </c>
      <c r="D412" s="1">
        <v>45388</v>
      </c>
      <c r="E412" s="2">
        <v>1247.3</v>
      </c>
      <c r="F412" t="s">
        <v>28</v>
      </c>
      <c r="G412" t="s">
        <v>951</v>
      </c>
      <c r="H412" s="1">
        <v>45388</v>
      </c>
      <c r="I412" t="s">
        <v>941</v>
      </c>
      <c r="J412" t="str">
        <f>IF(ISBLANK(Table1[[#This Row],[PaidDate]]),"Unpaid",IF(Table1[[#This Row],[PaidDate]]&gt;Table1[[#This Row],[DueDate]],"Late",IF(Table1[[#This Row],[PaidDate]]&lt;Table1[[#This Row],[DueDate]],"Early","On Time")))</f>
        <v>On Time</v>
      </c>
      <c r="K412" t="str">
        <f ca="1">IF(AND(Table1[[#This Row],[Status]]&lt;&gt;"Paid",TODAY()&gt;Table1[[#This Row],[DueDate]]),"Overdue","OK")</f>
        <v>OK</v>
      </c>
    </row>
    <row r="413" spans="1:11" x14ac:dyDescent="0.3">
      <c r="A413" t="s">
        <v>1357</v>
      </c>
      <c r="B413" t="s">
        <v>966</v>
      </c>
      <c r="C413" s="1">
        <v>45586</v>
      </c>
      <c r="D413" s="1">
        <v>45616</v>
      </c>
      <c r="E413" s="2">
        <v>1665.2</v>
      </c>
      <c r="F413" t="s">
        <v>28</v>
      </c>
      <c r="G413" t="s">
        <v>17</v>
      </c>
      <c r="I413" t="s">
        <v>941</v>
      </c>
      <c r="J413" t="str">
        <f>IF(ISBLANK(Table1[[#This Row],[PaidDate]]),"Unpaid",IF(Table1[[#This Row],[PaidDate]]&gt;Table1[[#This Row],[DueDate]],"Late",IF(Table1[[#This Row],[PaidDate]]&lt;Table1[[#This Row],[DueDate]],"Early","On Time")))</f>
        <v>Unpaid</v>
      </c>
      <c r="K413" t="str">
        <f ca="1">IF(AND(Table1[[#This Row],[Status]]&lt;&gt;"Paid",TODAY()&gt;Table1[[#This Row],[DueDate]]),"Overdue","OK")</f>
        <v>Overdue</v>
      </c>
    </row>
    <row r="414" spans="1:11" x14ac:dyDescent="0.3">
      <c r="A414" t="s">
        <v>1358</v>
      </c>
      <c r="B414" t="s">
        <v>940</v>
      </c>
      <c r="C414" s="1">
        <v>45769</v>
      </c>
      <c r="D414" s="1">
        <v>45799</v>
      </c>
      <c r="E414" s="2">
        <v>4157.1000000000004</v>
      </c>
      <c r="F414" t="s">
        <v>19</v>
      </c>
      <c r="G414" t="s">
        <v>12</v>
      </c>
      <c r="I414" t="s">
        <v>941</v>
      </c>
      <c r="J414" t="str">
        <f>IF(ISBLANK(Table1[[#This Row],[PaidDate]]),"Unpaid",IF(Table1[[#This Row],[PaidDate]]&gt;Table1[[#This Row],[DueDate]],"Late",IF(Table1[[#This Row],[PaidDate]]&lt;Table1[[#This Row],[DueDate]],"Early","On Time")))</f>
        <v>Unpaid</v>
      </c>
      <c r="K414" t="str">
        <f ca="1">IF(AND(Table1[[#This Row],[Status]]&lt;&gt;"Paid",TODAY()&gt;Table1[[#This Row],[DueDate]]),"Overdue","OK")</f>
        <v>Overdue</v>
      </c>
    </row>
    <row r="415" spans="1:11" x14ac:dyDescent="0.3">
      <c r="A415" t="s">
        <v>1359</v>
      </c>
      <c r="B415" t="s">
        <v>962</v>
      </c>
      <c r="C415" s="1">
        <v>45078</v>
      </c>
      <c r="D415" s="1">
        <v>45108</v>
      </c>
      <c r="E415" s="2">
        <v>4306.1000000000004</v>
      </c>
      <c r="F415" t="s">
        <v>26</v>
      </c>
      <c r="G415" t="s">
        <v>12</v>
      </c>
      <c r="I415" t="s">
        <v>941</v>
      </c>
      <c r="J415" t="str">
        <f>IF(ISBLANK(Table1[[#This Row],[PaidDate]]),"Unpaid",IF(Table1[[#This Row],[PaidDate]]&gt;Table1[[#This Row],[DueDate]],"Late",IF(Table1[[#This Row],[PaidDate]]&lt;Table1[[#This Row],[DueDate]],"Early","On Time")))</f>
        <v>Unpaid</v>
      </c>
      <c r="K415" t="str">
        <f ca="1">IF(AND(Table1[[#This Row],[Status]]&lt;&gt;"Paid",TODAY()&gt;Table1[[#This Row],[DueDate]]),"Overdue","OK")</f>
        <v>Overdue</v>
      </c>
    </row>
    <row r="416" spans="1:11" x14ac:dyDescent="0.3">
      <c r="A416" t="s">
        <v>1360</v>
      </c>
      <c r="B416" t="s">
        <v>946</v>
      </c>
      <c r="C416" s="1">
        <v>45549</v>
      </c>
      <c r="D416" s="1">
        <v>45579</v>
      </c>
      <c r="E416" s="2">
        <v>432.27</v>
      </c>
      <c r="F416" t="s">
        <v>28</v>
      </c>
      <c r="G416" t="s">
        <v>951</v>
      </c>
      <c r="H416" s="1">
        <v>45579</v>
      </c>
      <c r="I416" t="s">
        <v>941</v>
      </c>
      <c r="J416" t="str">
        <f>IF(ISBLANK(Table1[[#This Row],[PaidDate]]),"Unpaid",IF(Table1[[#This Row],[PaidDate]]&gt;Table1[[#This Row],[DueDate]],"Late",IF(Table1[[#This Row],[PaidDate]]&lt;Table1[[#This Row],[DueDate]],"Early","On Time")))</f>
        <v>On Time</v>
      </c>
      <c r="K416" t="str">
        <f ca="1">IF(AND(Table1[[#This Row],[Status]]&lt;&gt;"Paid",TODAY()&gt;Table1[[#This Row],[DueDate]]),"Overdue","OK")</f>
        <v>OK</v>
      </c>
    </row>
    <row r="417" spans="1:11" x14ac:dyDescent="0.3">
      <c r="A417" t="s">
        <v>1361</v>
      </c>
      <c r="B417" t="s">
        <v>940</v>
      </c>
      <c r="C417" s="1">
        <v>45260</v>
      </c>
      <c r="D417" s="1">
        <v>45290</v>
      </c>
      <c r="E417" s="2">
        <v>2075.2199999999998</v>
      </c>
      <c r="F417" t="s">
        <v>28</v>
      </c>
      <c r="G417" t="s">
        <v>12</v>
      </c>
      <c r="I417" t="s">
        <v>941</v>
      </c>
      <c r="J417" t="str">
        <f>IF(ISBLANK(Table1[[#This Row],[PaidDate]]),"Unpaid",IF(Table1[[#This Row],[PaidDate]]&gt;Table1[[#This Row],[DueDate]],"Late",IF(Table1[[#This Row],[PaidDate]]&lt;Table1[[#This Row],[DueDate]],"Early","On Time")))</f>
        <v>Unpaid</v>
      </c>
      <c r="K417" t="str">
        <f ca="1">IF(AND(Table1[[#This Row],[Status]]&lt;&gt;"Paid",TODAY()&gt;Table1[[#This Row],[DueDate]]),"Overdue","OK")</f>
        <v>Overdue</v>
      </c>
    </row>
    <row r="418" spans="1:11" x14ac:dyDescent="0.3">
      <c r="A418" t="s">
        <v>1362</v>
      </c>
      <c r="B418" t="s">
        <v>962</v>
      </c>
      <c r="C418" s="1">
        <v>44969</v>
      </c>
      <c r="D418" s="1">
        <v>44999</v>
      </c>
      <c r="E418" s="2">
        <v>2515.5700000000002</v>
      </c>
      <c r="F418" t="s">
        <v>19</v>
      </c>
      <c r="G418" t="s">
        <v>17</v>
      </c>
      <c r="I418" t="s">
        <v>941</v>
      </c>
      <c r="J418" t="str">
        <f>IF(ISBLANK(Table1[[#This Row],[PaidDate]]),"Unpaid",IF(Table1[[#This Row],[PaidDate]]&gt;Table1[[#This Row],[DueDate]],"Late",IF(Table1[[#This Row],[PaidDate]]&lt;Table1[[#This Row],[DueDate]],"Early","On Time")))</f>
        <v>Unpaid</v>
      </c>
      <c r="K418" t="str">
        <f ca="1">IF(AND(Table1[[#This Row],[Status]]&lt;&gt;"Paid",TODAY()&gt;Table1[[#This Row],[DueDate]]),"Overdue","OK")</f>
        <v>Overdue</v>
      </c>
    </row>
    <row r="419" spans="1:11" x14ac:dyDescent="0.3">
      <c r="A419" t="s">
        <v>1363</v>
      </c>
      <c r="B419" t="s">
        <v>962</v>
      </c>
      <c r="C419" s="1">
        <v>45265</v>
      </c>
      <c r="D419" s="1">
        <v>45295</v>
      </c>
      <c r="E419" s="2">
        <v>1960.15</v>
      </c>
      <c r="F419" t="s">
        <v>11</v>
      </c>
      <c r="G419" t="s">
        <v>12</v>
      </c>
      <c r="I419" t="s">
        <v>941</v>
      </c>
      <c r="J419" t="str">
        <f>IF(ISBLANK(Table1[[#This Row],[PaidDate]]),"Unpaid",IF(Table1[[#This Row],[PaidDate]]&gt;Table1[[#This Row],[DueDate]],"Late",IF(Table1[[#This Row],[PaidDate]]&lt;Table1[[#This Row],[DueDate]],"Early","On Time")))</f>
        <v>Unpaid</v>
      </c>
      <c r="K419" t="str">
        <f ca="1">IF(AND(Table1[[#This Row],[Status]]&lt;&gt;"Paid",TODAY()&gt;Table1[[#This Row],[DueDate]]),"Overdue","OK")</f>
        <v>Overdue</v>
      </c>
    </row>
    <row r="420" spans="1:11" x14ac:dyDescent="0.3">
      <c r="A420" t="s">
        <v>1364</v>
      </c>
      <c r="B420" t="s">
        <v>946</v>
      </c>
      <c r="C420" s="1">
        <v>45131</v>
      </c>
      <c r="D420" s="1">
        <v>45161</v>
      </c>
      <c r="E420" s="2">
        <v>3168.02</v>
      </c>
      <c r="F420" t="s">
        <v>28</v>
      </c>
      <c r="G420" t="s">
        <v>12</v>
      </c>
      <c r="I420" t="s">
        <v>941</v>
      </c>
      <c r="J420" t="str">
        <f>IF(ISBLANK(Table1[[#This Row],[PaidDate]]),"Unpaid",IF(Table1[[#This Row],[PaidDate]]&gt;Table1[[#This Row],[DueDate]],"Late",IF(Table1[[#This Row],[PaidDate]]&lt;Table1[[#This Row],[DueDate]],"Early","On Time")))</f>
        <v>Unpaid</v>
      </c>
      <c r="K420" t="str">
        <f ca="1">IF(AND(Table1[[#This Row],[Status]]&lt;&gt;"Paid",TODAY()&gt;Table1[[#This Row],[DueDate]]),"Overdue","OK")</f>
        <v>Overdue</v>
      </c>
    </row>
    <row r="421" spans="1:11" x14ac:dyDescent="0.3">
      <c r="A421" t="s">
        <v>1365</v>
      </c>
      <c r="B421" t="s">
        <v>966</v>
      </c>
      <c r="C421" s="1">
        <v>45077</v>
      </c>
      <c r="D421" s="1">
        <v>45107</v>
      </c>
      <c r="E421" s="2">
        <v>576.42999999999995</v>
      </c>
      <c r="F421" t="s">
        <v>11</v>
      </c>
      <c r="G421" t="s">
        <v>951</v>
      </c>
      <c r="H421" s="1">
        <v>45107</v>
      </c>
      <c r="I421" t="s">
        <v>941</v>
      </c>
      <c r="J421" t="str">
        <f>IF(ISBLANK(Table1[[#This Row],[PaidDate]]),"Unpaid",IF(Table1[[#This Row],[PaidDate]]&gt;Table1[[#This Row],[DueDate]],"Late",IF(Table1[[#This Row],[PaidDate]]&lt;Table1[[#This Row],[DueDate]],"Early","On Time")))</f>
        <v>On Time</v>
      </c>
      <c r="K421" t="str">
        <f ca="1">IF(AND(Table1[[#This Row],[Status]]&lt;&gt;"Paid",TODAY()&gt;Table1[[#This Row],[DueDate]]),"Overdue","OK")</f>
        <v>OK</v>
      </c>
    </row>
    <row r="422" spans="1:11" x14ac:dyDescent="0.3">
      <c r="A422" t="s">
        <v>1366</v>
      </c>
      <c r="B422" t="s">
        <v>962</v>
      </c>
      <c r="C422" s="1">
        <v>45670</v>
      </c>
      <c r="D422" s="1">
        <v>45700</v>
      </c>
      <c r="E422" s="2">
        <v>460.35</v>
      </c>
      <c r="F422" t="s">
        <v>11</v>
      </c>
      <c r="G422" t="s">
        <v>17</v>
      </c>
      <c r="I422" t="s">
        <v>941</v>
      </c>
      <c r="J422" t="str">
        <f>IF(ISBLANK(Table1[[#This Row],[PaidDate]]),"Unpaid",IF(Table1[[#This Row],[PaidDate]]&gt;Table1[[#This Row],[DueDate]],"Late",IF(Table1[[#This Row],[PaidDate]]&lt;Table1[[#This Row],[DueDate]],"Early","On Time")))</f>
        <v>Unpaid</v>
      </c>
      <c r="K422" t="str">
        <f ca="1">IF(AND(Table1[[#This Row],[Status]]&lt;&gt;"Paid",TODAY()&gt;Table1[[#This Row],[DueDate]]),"Overdue","OK")</f>
        <v>Overdue</v>
      </c>
    </row>
    <row r="423" spans="1:11" x14ac:dyDescent="0.3">
      <c r="A423" t="s">
        <v>1367</v>
      </c>
      <c r="B423" t="s">
        <v>962</v>
      </c>
      <c r="C423" s="1">
        <v>45704</v>
      </c>
      <c r="D423" s="1">
        <v>45734</v>
      </c>
      <c r="E423" s="2">
        <v>2305.42</v>
      </c>
      <c r="F423" t="s">
        <v>11</v>
      </c>
      <c r="G423" t="s">
        <v>17</v>
      </c>
      <c r="I423" t="s">
        <v>941</v>
      </c>
      <c r="J423" t="str">
        <f>IF(ISBLANK(Table1[[#This Row],[PaidDate]]),"Unpaid",IF(Table1[[#This Row],[PaidDate]]&gt;Table1[[#This Row],[DueDate]],"Late",IF(Table1[[#This Row],[PaidDate]]&lt;Table1[[#This Row],[DueDate]],"Early","On Time")))</f>
        <v>Unpaid</v>
      </c>
      <c r="K423" t="str">
        <f ca="1">IF(AND(Table1[[#This Row],[Status]]&lt;&gt;"Paid",TODAY()&gt;Table1[[#This Row],[DueDate]]),"Overdue","OK")</f>
        <v>Overdue</v>
      </c>
    </row>
    <row r="424" spans="1:11" x14ac:dyDescent="0.3">
      <c r="A424" t="s">
        <v>1368</v>
      </c>
      <c r="B424" t="s">
        <v>946</v>
      </c>
      <c r="C424" s="1">
        <v>45276</v>
      </c>
      <c r="D424" s="1">
        <v>45306</v>
      </c>
      <c r="E424" s="2">
        <v>2623.62</v>
      </c>
      <c r="F424" t="s">
        <v>19</v>
      </c>
      <c r="G424" t="s">
        <v>12</v>
      </c>
      <c r="I424" t="s">
        <v>941</v>
      </c>
      <c r="J424" t="str">
        <f>IF(ISBLANK(Table1[[#This Row],[PaidDate]]),"Unpaid",IF(Table1[[#This Row],[PaidDate]]&gt;Table1[[#This Row],[DueDate]],"Late",IF(Table1[[#This Row],[PaidDate]]&lt;Table1[[#This Row],[DueDate]],"Early","On Time")))</f>
        <v>Unpaid</v>
      </c>
      <c r="K424" t="str">
        <f ca="1">IF(AND(Table1[[#This Row],[Status]]&lt;&gt;"Paid",TODAY()&gt;Table1[[#This Row],[DueDate]]),"Overdue","OK")</f>
        <v>Overdue</v>
      </c>
    </row>
    <row r="425" spans="1:11" x14ac:dyDescent="0.3">
      <c r="A425" t="s">
        <v>1369</v>
      </c>
      <c r="B425" t="s">
        <v>944</v>
      </c>
      <c r="C425" s="1">
        <v>45342</v>
      </c>
      <c r="D425" s="1">
        <v>45372</v>
      </c>
      <c r="E425" s="2">
        <v>1571.77</v>
      </c>
      <c r="F425" t="s">
        <v>16</v>
      </c>
      <c r="G425" t="s">
        <v>17</v>
      </c>
      <c r="I425" t="s">
        <v>941</v>
      </c>
      <c r="J425" t="str">
        <f>IF(ISBLANK(Table1[[#This Row],[PaidDate]]),"Unpaid",IF(Table1[[#This Row],[PaidDate]]&gt;Table1[[#This Row],[DueDate]],"Late",IF(Table1[[#This Row],[PaidDate]]&lt;Table1[[#This Row],[DueDate]],"Early","On Time")))</f>
        <v>Unpaid</v>
      </c>
      <c r="K425" t="str">
        <f ca="1">IF(AND(Table1[[#This Row],[Status]]&lt;&gt;"Paid",TODAY()&gt;Table1[[#This Row],[DueDate]]),"Overdue","OK")</f>
        <v>Overdue</v>
      </c>
    </row>
    <row r="426" spans="1:11" x14ac:dyDescent="0.3">
      <c r="A426" t="s">
        <v>1370</v>
      </c>
      <c r="B426" t="s">
        <v>944</v>
      </c>
      <c r="C426" s="1">
        <v>45061</v>
      </c>
      <c r="D426" s="1">
        <v>45091</v>
      </c>
      <c r="E426" s="2">
        <v>4241.5600000000004</v>
      </c>
      <c r="F426" t="s">
        <v>26</v>
      </c>
      <c r="G426" t="s">
        <v>17</v>
      </c>
      <c r="I426" t="s">
        <v>941</v>
      </c>
      <c r="J426" t="str">
        <f>IF(ISBLANK(Table1[[#This Row],[PaidDate]]),"Unpaid",IF(Table1[[#This Row],[PaidDate]]&gt;Table1[[#This Row],[DueDate]],"Late",IF(Table1[[#This Row],[PaidDate]]&lt;Table1[[#This Row],[DueDate]],"Early","On Time")))</f>
        <v>Unpaid</v>
      </c>
      <c r="K426" t="str">
        <f ca="1">IF(AND(Table1[[#This Row],[Status]]&lt;&gt;"Paid",TODAY()&gt;Table1[[#This Row],[DueDate]]),"Overdue","OK")</f>
        <v>Overdue</v>
      </c>
    </row>
    <row r="427" spans="1:11" x14ac:dyDescent="0.3">
      <c r="A427" t="s">
        <v>1371</v>
      </c>
      <c r="B427" t="s">
        <v>940</v>
      </c>
      <c r="C427" s="1">
        <v>45086</v>
      </c>
      <c r="D427" s="1">
        <v>45116</v>
      </c>
      <c r="E427" s="2">
        <v>3066.36</v>
      </c>
      <c r="F427" t="s">
        <v>26</v>
      </c>
      <c r="G427" t="s">
        <v>951</v>
      </c>
      <c r="H427" s="1">
        <v>45116</v>
      </c>
      <c r="I427" t="s">
        <v>941</v>
      </c>
      <c r="J427" t="str">
        <f>IF(ISBLANK(Table1[[#This Row],[PaidDate]]),"Unpaid",IF(Table1[[#This Row],[PaidDate]]&gt;Table1[[#This Row],[DueDate]],"Late",IF(Table1[[#This Row],[PaidDate]]&lt;Table1[[#This Row],[DueDate]],"Early","On Time")))</f>
        <v>On Time</v>
      </c>
      <c r="K427" t="str">
        <f ca="1">IF(AND(Table1[[#This Row],[Status]]&lt;&gt;"Paid",TODAY()&gt;Table1[[#This Row],[DueDate]]),"Overdue","OK")</f>
        <v>OK</v>
      </c>
    </row>
    <row r="428" spans="1:11" x14ac:dyDescent="0.3">
      <c r="A428" t="s">
        <v>1372</v>
      </c>
      <c r="B428" t="s">
        <v>946</v>
      </c>
      <c r="C428" s="1">
        <v>45653</v>
      </c>
      <c r="D428" s="1">
        <v>45683</v>
      </c>
      <c r="E428" s="2">
        <v>1623.29</v>
      </c>
      <c r="F428" t="s">
        <v>28</v>
      </c>
      <c r="G428" t="s">
        <v>12</v>
      </c>
      <c r="I428" t="s">
        <v>941</v>
      </c>
      <c r="J428" t="str">
        <f>IF(ISBLANK(Table1[[#This Row],[PaidDate]]),"Unpaid",IF(Table1[[#This Row],[PaidDate]]&gt;Table1[[#This Row],[DueDate]],"Late",IF(Table1[[#This Row],[PaidDate]]&lt;Table1[[#This Row],[DueDate]],"Early","On Time")))</f>
        <v>Unpaid</v>
      </c>
      <c r="K428" t="str">
        <f ca="1">IF(AND(Table1[[#This Row],[Status]]&lt;&gt;"Paid",TODAY()&gt;Table1[[#This Row],[DueDate]]),"Overdue","OK")</f>
        <v>Overdue</v>
      </c>
    </row>
    <row r="429" spans="1:11" x14ac:dyDescent="0.3">
      <c r="A429" t="s">
        <v>1373</v>
      </c>
      <c r="B429" t="s">
        <v>940</v>
      </c>
      <c r="C429" s="1">
        <v>45115</v>
      </c>
      <c r="D429" s="1">
        <v>45145</v>
      </c>
      <c r="E429" s="2">
        <v>4738.84</v>
      </c>
      <c r="F429" t="s">
        <v>11</v>
      </c>
      <c r="G429" t="s">
        <v>12</v>
      </c>
      <c r="I429" t="s">
        <v>941</v>
      </c>
      <c r="J429" t="str">
        <f>IF(ISBLANK(Table1[[#This Row],[PaidDate]]),"Unpaid",IF(Table1[[#This Row],[PaidDate]]&gt;Table1[[#This Row],[DueDate]],"Late",IF(Table1[[#This Row],[PaidDate]]&lt;Table1[[#This Row],[DueDate]],"Early","On Time")))</f>
        <v>Unpaid</v>
      </c>
      <c r="K429" t="str">
        <f ca="1">IF(AND(Table1[[#This Row],[Status]]&lt;&gt;"Paid",TODAY()&gt;Table1[[#This Row],[DueDate]]),"Overdue","OK")</f>
        <v>Overdue</v>
      </c>
    </row>
    <row r="430" spans="1:11" x14ac:dyDescent="0.3">
      <c r="A430" t="s">
        <v>1374</v>
      </c>
      <c r="B430" t="s">
        <v>940</v>
      </c>
      <c r="C430" s="1">
        <v>45179</v>
      </c>
      <c r="D430" s="1">
        <v>45209</v>
      </c>
      <c r="E430" s="2">
        <v>2769.92</v>
      </c>
      <c r="F430" t="s">
        <v>26</v>
      </c>
      <c r="G430" t="s">
        <v>12</v>
      </c>
      <c r="I430" t="s">
        <v>941</v>
      </c>
      <c r="J430" t="str">
        <f>IF(ISBLANK(Table1[[#This Row],[PaidDate]]),"Unpaid",IF(Table1[[#This Row],[PaidDate]]&gt;Table1[[#This Row],[DueDate]],"Late",IF(Table1[[#This Row],[PaidDate]]&lt;Table1[[#This Row],[DueDate]],"Early","On Time")))</f>
        <v>Unpaid</v>
      </c>
      <c r="K430" t="str">
        <f ca="1">IF(AND(Table1[[#This Row],[Status]]&lt;&gt;"Paid",TODAY()&gt;Table1[[#This Row],[DueDate]]),"Overdue","OK")</f>
        <v>Overdue</v>
      </c>
    </row>
    <row r="431" spans="1:11" x14ac:dyDescent="0.3">
      <c r="A431" t="s">
        <v>1375</v>
      </c>
      <c r="B431" t="s">
        <v>940</v>
      </c>
      <c r="C431" s="1">
        <v>45641</v>
      </c>
      <c r="D431" s="1">
        <v>45671</v>
      </c>
      <c r="E431" s="2">
        <v>2883.34</v>
      </c>
      <c r="F431" t="s">
        <v>19</v>
      </c>
      <c r="G431" t="s">
        <v>17</v>
      </c>
      <c r="I431" t="s">
        <v>941</v>
      </c>
      <c r="J431" t="str">
        <f>IF(ISBLANK(Table1[[#This Row],[PaidDate]]),"Unpaid",IF(Table1[[#This Row],[PaidDate]]&gt;Table1[[#This Row],[DueDate]],"Late",IF(Table1[[#This Row],[PaidDate]]&lt;Table1[[#This Row],[DueDate]],"Early","On Time")))</f>
        <v>Unpaid</v>
      </c>
      <c r="K431" t="str">
        <f ca="1">IF(AND(Table1[[#This Row],[Status]]&lt;&gt;"Paid",TODAY()&gt;Table1[[#This Row],[DueDate]]),"Overdue","OK")</f>
        <v>Overdue</v>
      </c>
    </row>
    <row r="432" spans="1:11" x14ac:dyDescent="0.3">
      <c r="A432" t="s">
        <v>1376</v>
      </c>
      <c r="B432" t="s">
        <v>946</v>
      </c>
      <c r="C432" s="1">
        <v>45447</v>
      </c>
      <c r="D432" s="1">
        <v>45477</v>
      </c>
      <c r="E432" s="2">
        <v>2334.1799999999998</v>
      </c>
      <c r="F432" t="s">
        <v>28</v>
      </c>
      <c r="G432" t="s">
        <v>17</v>
      </c>
      <c r="I432" t="s">
        <v>941</v>
      </c>
      <c r="J432" t="str">
        <f>IF(ISBLANK(Table1[[#This Row],[PaidDate]]),"Unpaid",IF(Table1[[#This Row],[PaidDate]]&gt;Table1[[#This Row],[DueDate]],"Late",IF(Table1[[#This Row],[PaidDate]]&lt;Table1[[#This Row],[DueDate]],"Early","On Time")))</f>
        <v>Unpaid</v>
      </c>
      <c r="K432" t="str">
        <f ca="1">IF(AND(Table1[[#This Row],[Status]]&lt;&gt;"Paid",TODAY()&gt;Table1[[#This Row],[DueDate]]),"Overdue","OK")</f>
        <v>Overdue</v>
      </c>
    </row>
    <row r="433" spans="1:11" x14ac:dyDescent="0.3">
      <c r="A433" t="s">
        <v>1377</v>
      </c>
      <c r="B433" t="s">
        <v>966</v>
      </c>
      <c r="C433" s="1">
        <v>45219</v>
      </c>
      <c r="D433" s="1">
        <v>45249</v>
      </c>
      <c r="E433" s="2">
        <v>3148.17</v>
      </c>
      <c r="F433" t="s">
        <v>11</v>
      </c>
      <c r="G433" t="s">
        <v>17</v>
      </c>
      <c r="I433" t="s">
        <v>941</v>
      </c>
      <c r="J433" t="str">
        <f>IF(ISBLANK(Table1[[#This Row],[PaidDate]]),"Unpaid",IF(Table1[[#This Row],[PaidDate]]&gt;Table1[[#This Row],[DueDate]],"Late",IF(Table1[[#This Row],[PaidDate]]&lt;Table1[[#This Row],[DueDate]],"Early","On Time")))</f>
        <v>Unpaid</v>
      </c>
      <c r="K433" t="str">
        <f ca="1">IF(AND(Table1[[#This Row],[Status]]&lt;&gt;"Paid",TODAY()&gt;Table1[[#This Row],[DueDate]]),"Overdue","OK")</f>
        <v>Overdue</v>
      </c>
    </row>
    <row r="434" spans="1:11" x14ac:dyDescent="0.3">
      <c r="A434" t="s">
        <v>1378</v>
      </c>
      <c r="B434" t="s">
        <v>966</v>
      </c>
      <c r="C434" s="1">
        <v>45573</v>
      </c>
      <c r="D434" s="1">
        <v>45603</v>
      </c>
      <c r="E434" s="2">
        <v>1378.14</v>
      </c>
      <c r="F434" t="s">
        <v>19</v>
      </c>
      <c r="G434" t="s">
        <v>951</v>
      </c>
      <c r="H434" s="1">
        <v>45603</v>
      </c>
      <c r="I434" t="s">
        <v>941</v>
      </c>
      <c r="J434" t="str">
        <f>IF(ISBLANK(Table1[[#This Row],[PaidDate]]),"Unpaid",IF(Table1[[#This Row],[PaidDate]]&gt;Table1[[#This Row],[DueDate]],"Late",IF(Table1[[#This Row],[PaidDate]]&lt;Table1[[#This Row],[DueDate]],"Early","On Time")))</f>
        <v>On Time</v>
      </c>
      <c r="K434" t="str">
        <f ca="1">IF(AND(Table1[[#This Row],[Status]]&lt;&gt;"Paid",TODAY()&gt;Table1[[#This Row],[DueDate]]),"Overdue","OK")</f>
        <v>OK</v>
      </c>
    </row>
    <row r="435" spans="1:11" x14ac:dyDescent="0.3">
      <c r="A435" t="s">
        <v>1379</v>
      </c>
      <c r="B435" t="s">
        <v>962</v>
      </c>
      <c r="C435" s="1">
        <v>45699</v>
      </c>
      <c r="D435" s="1">
        <v>45729</v>
      </c>
      <c r="E435" s="2">
        <v>275.33999999999997</v>
      </c>
      <c r="F435" t="s">
        <v>19</v>
      </c>
      <c r="G435" t="s">
        <v>17</v>
      </c>
      <c r="I435" t="s">
        <v>941</v>
      </c>
      <c r="J435" t="str">
        <f>IF(ISBLANK(Table1[[#This Row],[PaidDate]]),"Unpaid",IF(Table1[[#This Row],[PaidDate]]&gt;Table1[[#This Row],[DueDate]],"Late",IF(Table1[[#This Row],[PaidDate]]&lt;Table1[[#This Row],[DueDate]],"Early","On Time")))</f>
        <v>Unpaid</v>
      </c>
      <c r="K435" t="str">
        <f ca="1">IF(AND(Table1[[#This Row],[Status]]&lt;&gt;"Paid",TODAY()&gt;Table1[[#This Row],[DueDate]]),"Overdue","OK")</f>
        <v>Overdue</v>
      </c>
    </row>
    <row r="436" spans="1:11" x14ac:dyDescent="0.3">
      <c r="A436" t="s">
        <v>1380</v>
      </c>
      <c r="B436" t="s">
        <v>940</v>
      </c>
      <c r="C436" s="1">
        <v>45016</v>
      </c>
      <c r="D436" s="1">
        <v>45046</v>
      </c>
      <c r="E436" s="2">
        <v>2274.14</v>
      </c>
      <c r="F436" t="s">
        <v>16</v>
      </c>
      <c r="G436" t="s">
        <v>12</v>
      </c>
      <c r="I436" t="s">
        <v>941</v>
      </c>
      <c r="J436" t="str">
        <f>IF(ISBLANK(Table1[[#This Row],[PaidDate]]),"Unpaid",IF(Table1[[#This Row],[PaidDate]]&gt;Table1[[#This Row],[DueDate]],"Late",IF(Table1[[#This Row],[PaidDate]]&lt;Table1[[#This Row],[DueDate]],"Early","On Time")))</f>
        <v>Unpaid</v>
      </c>
      <c r="K436" t="str">
        <f ca="1">IF(AND(Table1[[#This Row],[Status]]&lt;&gt;"Paid",TODAY()&gt;Table1[[#This Row],[DueDate]]),"Overdue","OK")</f>
        <v>Overdue</v>
      </c>
    </row>
    <row r="437" spans="1:11" x14ac:dyDescent="0.3">
      <c r="A437" t="s">
        <v>1381</v>
      </c>
      <c r="B437" t="s">
        <v>962</v>
      </c>
      <c r="C437" s="1">
        <v>45181</v>
      </c>
      <c r="D437" s="1">
        <v>45211</v>
      </c>
      <c r="E437" s="2">
        <v>800.97</v>
      </c>
      <c r="F437" t="s">
        <v>26</v>
      </c>
      <c r="G437" t="s">
        <v>951</v>
      </c>
      <c r="H437" s="1">
        <v>45211</v>
      </c>
      <c r="I437" t="s">
        <v>941</v>
      </c>
      <c r="J437" t="str">
        <f>IF(ISBLANK(Table1[[#This Row],[PaidDate]]),"Unpaid",IF(Table1[[#This Row],[PaidDate]]&gt;Table1[[#This Row],[DueDate]],"Late",IF(Table1[[#This Row],[PaidDate]]&lt;Table1[[#This Row],[DueDate]],"Early","On Time")))</f>
        <v>On Time</v>
      </c>
      <c r="K437" t="str">
        <f ca="1">IF(AND(Table1[[#This Row],[Status]]&lt;&gt;"Paid",TODAY()&gt;Table1[[#This Row],[DueDate]]),"Overdue","OK")</f>
        <v>OK</v>
      </c>
    </row>
    <row r="438" spans="1:11" x14ac:dyDescent="0.3">
      <c r="A438" t="s">
        <v>1382</v>
      </c>
      <c r="B438" t="s">
        <v>946</v>
      </c>
      <c r="C438" s="1">
        <v>44964</v>
      </c>
      <c r="D438" s="1">
        <v>44994</v>
      </c>
      <c r="E438" s="2">
        <v>2595.11</v>
      </c>
      <c r="F438" t="s">
        <v>28</v>
      </c>
      <c r="G438" t="s">
        <v>17</v>
      </c>
      <c r="I438" t="s">
        <v>941</v>
      </c>
      <c r="J438" t="str">
        <f>IF(ISBLANK(Table1[[#This Row],[PaidDate]]),"Unpaid",IF(Table1[[#This Row],[PaidDate]]&gt;Table1[[#This Row],[DueDate]],"Late",IF(Table1[[#This Row],[PaidDate]]&lt;Table1[[#This Row],[DueDate]],"Early","On Time")))</f>
        <v>Unpaid</v>
      </c>
      <c r="K438" t="str">
        <f ca="1">IF(AND(Table1[[#This Row],[Status]]&lt;&gt;"Paid",TODAY()&gt;Table1[[#This Row],[DueDate]]),"Overdue","OK")</f>
        <v>Overdue</v>
      </c>
    </row>
    <row r="439" spans="1:11" x14ac:dyDescent="0.3">
      <c r="A439" t="s">
        <v>1383</v>
      </c>
      <c r="B439" t="s">
        <v>962</v>
      </c>
      <c r="C439" s="1">
        <v>45210</v>
      </c>
      <c r="D439" s="1">
        <v>45240</v>
      </c>
      <c r="E439" s="2">
        <v>4967.66</v>
      </c>
      <c r="F439" t="s">
        <v>11</v>
      </c>
      <c r="G439" t="s">
        <v>951</v>
      </c>
      <c r="H439" s="1">
        <v>45240</v>
      </c>
      <c r="I439" t="s">
        <v>941</v>
      </c>
      <c r="J439" t="str">
        <f>IF(ISBLANK(Table1[[#This Row],[PaidDate]]),"Unpaid",IF(Table1[[#This Row],[PaidDate]]&gt;Table1[[#This Row],[DueDate]],"Late",IF(Table1[[#This Row],[PaidDate]]&lt;Table1[[#This Row],[DueDate]],"Early","On Time")))</f>
        <v>On Time</v>
      </c>
      <c r="K439" t="str">
        <f ca="1">IF(AND(Table1[[#This Row],[Status]]&lt;&gt;"Paid",TODAY()&gt;Table1[[#This Row],[DueDate]]),"Overdue","OK")</f>
        <v>OK</v>
      </c>
    </row>
    <row r="440" spans="1:11" x14ac:dyDescent="0.3">
      <c r="A440" t="s">
        <v>1384</v>
      </c>
      <c r="B440" t="s">
        <v>940</v>
      </c>
      <c r="C440" s="1">
        <v>45361</v>
      </c>
      <c r="D440" s="1">
        <v>45391</v>
      </c>
      <c r="E440" s="2">
        <v>523.04999999999995</v>
      </c>
      <c r="F440" t="s">
        <v>16</v>
      </c>
      <c r="G440" t="s">
        <v>17</v>
      </c>
      <c r="I440" t="s">
        <v>941</v>
      </c>
      <c r="J440" t="str">
        <f>IF(ISBLANK(Table1[[#This Row],[PaidDate]]),"Unpaid",IF(Table1[[#This Row],[PaidDate]]&gt;Table1[[#This Row],[DueDate]],"Late",IF(Table1[[#This Row],[PaidDate]]&lt;Table1[[#This Row],[DueDate]],"Early","On Time")))</f>
        <v>Unpaid</v>
      </c>
      <c r="K440" t="str">
        <f ca="1">IF(AND(Table1[[#This Row],[Status]]&lt;&gt;"Paid",TODAY()&gt;Table1[[#This Row],[DueDate]]),"Overdue","OK")</f>
        <v>Overdue</v>
      </c>
    </row>
    <row r="441" spans="1:11" x14ac:dyDescent="0.3">
      <c r="A441" t="s">
        <v>1385</v>
      </c>
      <c r="B441" t="s">
        <v>946</v>
      </c>
      <c r="C441" s="1">
        <v>45075</v>
      </c>
      <c r="D441" s="1">
        <v>45105</v>
      </c>
      <c r="E441" s="2">
        <v>3485.01</v>
      </c>
      <c r="F441" t="s">
        <v>16</v>
      </c>
      <c r="G441" t="s">
        <v>951</v>
      </c>
      <c r="H441" s="1">
        <v>45105</v>
      </c>
      <c r="I441" t="s">
        <v>941</v>
      </c>
      <c r="J441" t="str">
        <f>IF(ISBLANK(Table1[[#This Row],[PaidDate]]),"Unpaid",IF(Table1[[#This Row],[PaidDate]]&gt;Table1[[#This Row],[DueDate]],"Late",IF(Table1[[#This Row],[PaidDate]]&lt;Table1[[#This Row],[DueDate]],"Early","On Time")))</f>
        <v>On Time</v>
      </c>
      <c r="K441" t="str">
        <f ca="1">IF(AND(Table1[[#This Row],[Status]]&lt;&gt;"Paid",TODAY()&gt;Table1[[#This Row],[DueDate]]),"Overdue","OK")</f>
        <v>OK</v>
      </c>
    </row>
    <row r="442" spans="1:11" x14ac:dyDescent="0.3">
      <c r="A442" t="s">
        <v>1386</v>
      </c>
      <c r="B442" t="s">
        <v>944</v>
      </c>
      <c r="C442" s="1">
        <v>44961</v>
      </c>
      <c r="D442" s="1">
        <v>44991</v>
      </c>
      <c r="E442" s="2">
        <v>2251.04</v>
      </c>
      <c r="F442" t="s">
        <v>16</v>
      </c>
      <c r="G442" t="s">
        <v>951</v>
      </c>
      <c r="H442" s="1">
        <v>44991</v>
      </c>
      <c r="I442" t="s">
        <v>941</v>
      </c>
      <c r="J442" t="str">
        <f>IF(ISBLANK(Table1[[#This Row],[PaidDate]]),"Unpaid",IF(Table1[[#This Row],[PaidDate]]&gt;Table1[[#This Row],[DueDate]],"Late",IF(Table1[[#This Row],[PaidDate]]&lt;Table1[[#This Row],[DueDate]],"Early","On Time")))</f>
        <v>On Time</v>
      </c>
      <c r="K442" t="str">
        <f ca="1">IF(AND(Table1[[#This Row],[Status]]&lt;&gt;"Paid",TODAY()&gt;Table1[[#This Row],[DueDate]]),"Overdue","OK")</f>
        <v>OK</v>
      </c>
    </row>
    <row r="443" spans="1:11" x14ac:dyDescent="0.3">
      <c r="A443" t="s">
        <v>1387</v>
      </c>
      <c r="B443" t="s">
        <v>966</v>
      </c>
      <c r="C443" s="1">
        <v>45210</v>
      </c>
      <c r="D443" s="1">
        <v>45240</v>
      </c>
      <c r="E443" s="2">
        <v>3521.51</v>
      </c>
      <c r="F443" t="s">
        <v>19</v>
      </c>
      <c r="G443" t="s">
        <v>951</v>
      </c>
      <c r="H443" s="1">
        <v>45240</v>
      </c>
      <c r="I443" t="s">
        <v>941</v>
      </c>
      <c r="J443" t="str">
        <f>IF(ISBLANK(Table1[[#This Row],[PaidDate]]),"Unpaid",IF(Table1[[#This Row],[PaidDate]]&gt;Table1[[#This Row],[DueDate]],"Late",IF(Table1[[#This Row],[PaidDate]]&lt;Table1[[#This Row],[DueDate]],"Early","On Time")))</f>
        <v>On Time</v>
      </c>
      <c r="K443" t="str">
        <f ca="1">IF(AND(Table1[[#This Row],[Status]]&lt;&gt;"Paid",TODAY()&gt;Table1[[#This Row],[DueDate]]),"Overdue","OK")</f>
        <v>OK</v>
      </c>
    </row>
    <row r="444" spans="1:11" x14ac:dyDescent="0.3">
      <c r="A444" t="s">
        <v>1388</v>
      </c>
      <c r="B444" t="s">
        <v>944</v>
      </c>
      <c r="C444" s="1">
        <v>45756</v>
      </c>
      <c r="D444" s="1">
        <v>45786</v>
      </c>
      <c r="E444" s="2">
        <v>3808.69</v>
      </c>
      <c r="F444" t="s">
        <v>26</v>
      </c>
      <c r="G444" t="s">
        <v>17</v>
      </c>
      <c r="I444" t="s">
        <v>941</v>
      </c>
      <c r="J444" t="str">
        <f>IF(ISBLANK(Table1[[#This Row],[PaidDate]]),"Unpaid",IF(Table1[[#This Row],[PaidDate]]&gt;Table1[[#This Row],[DueDate]],"Late",IF(Table1[[#This Row],[PaidDate]]&lt;Table1[[#This Row],[DueDate]],"Early","On Time")))</f>
        <v>Unpaid</v>
      </c>
      <c r="K444" t="str">
        <f ca="1">IF(AND(Table1[[#This Row],[Status]]&lt;&gt;"Paid",TODAY()&gt;Table1[[#This Row],[DueDate]]),"Overdue","OK")</f>
        <v>Overdue</v>
      </c>
    </row>
    <row r="445" spans="1:11" x14ac:dyDescent="0.3">
      <c r="A445" t="s">
        <v>1389</v>
      </c>
      <c r="B445" t="s">
        <v>946</v>
      </c>
      <c r="C445" s="1">
        <v>45063</v>
      </c>
      <c r="D445" s="1">
        <v>45093</v>
      </c>
      <c r="E445" s="2">
        <v>3920.07</v>
      </c>
      <c r="F445" t="s">
        <v>28</v>
      </c>
      <c r="G445" t="s">
        <v>951</v>
      </c>
      <c r="H445" s="1">
        <v>45093</v>
      </c>
      <c r="I445" t="s">
        <v>941</v>
      </c>
      <c r="J445" t="str">
        <f>IF(ISBLANK(Table1[[#This Row],[PaidDate]]),"Unpaid",IF(Table1[[#This Row],[PaidDate]]&gt;Table1[[#This Row],[DueDate]],"Late",IF(Table1[[#This Row],[PaidDate]]&lt;Table1[[#This Row],[DueDate]],"Early","On Time")))</f>
        <v>On Time</v>
      </c>
      <c r="K445" t="str">
        <f ca="1">IF(AND(Table1[[#This Row],[Status]]&lt;&gt;"Paid",TODAY()&gt;Table1[[#This Row],[DueDate]]),"Overdue","OK")</f>
        <v>OK</v>
      </c>
    </row>
    <row r="446" spans="1:11" x14ac:dyDescent="0.3">
      <c r="A446" t="s">
        <v>1390</v>
      </c>
      <c r="B446" t="s">
        <v>946</v>
      </c>
      <c r="C446" s="1">
        <v>45007</v>
      </c>
      <c r="D446" s="1">
        <v>45037</v>
      </c>
      <c r="E446" s="2">
        <v>4941.76</v>
      </c>
      <c r="F446" t="s">
        <v>19</v>
      </c>
      <c r="G446" t="s">
        <v>12</v>
      </c>
      <c r="I446" t="s">
        <v>941</v>
      </c>
      <c r="J446" t="str">
        <f>IF(ISBLANK(Table1[[#This Row],[PaidDate]]),"Unpaid",IF(Table1[[#This Row],[PaidDate]]&gt;Table1[[#This Row],[DueDate]],"Late",IF(Table1[[#This Row],[PaidDate]]&lt;Table1[[#This Row],[DueDate]],"Early","On Time")))</f>
        <v>Unpaid</v>
      </c>
      <c r="K446" t="str">
        <f ca="1">IF(AND(Table1[[#This Row],[Status]]&lt;&gt;"Paid",TODAY()&gt;Table1[[#This Row],[DueDate]]),"Overdue","OK")</f>
        <v>Overdue</v>
      </c>
    </row>
    <row r="447" spans="1:11" x14ac:dyDescent="0.3">
      <c r="A447" t="s">
        <v>1391</v>
      </c>
      <c r="B447" t="s">
        <v>946</v>
      </c>
      <c r="C447" s="1">
        <v>45234</v>
      </c>
      <c r="D447" s="1">
        <v>45264</v>
      </c>
      <c r="E447" s="2">
        <v>1079.6099999999999</v>
      </c>
      <c r="F447" t="s">
        <v>11</v>
      </c>
      <c r="G447" t="s">
        <v>17</v>
      </c>
      <c r="I447" t="s">
        <v>941</v>
      </c>
      <c r="J447" t="str">
        <f>IF(ISBLANK(Table1[[#This Row],[PaidDate]]),"Unpaid",IF(Table1[[#This Row],[PaidDate]]&gt;Table1[[#This Row],[DueDate]],"Late",IF(Table1[[#This Row],[PaidDate]]&lt;Table1[[#This Row],[DueDate]],"Early","On Time")))</f>
        <v>Unpaid</v>
      </c>
      <c r="K447" t="str">
        <f ca="1">IF(AND(Table1[[#This Row],[Status]]&lt;&gt;"Paid",TODAY()&gt;Table1[[#This Row],[DueDate]]),"Overdue","OK")</f>
        <v>Overdue</v>
      </c>
    </row>
    <row r="448" spans="1:11" x14ac:dyDescent="0.3">
      <c r="A448" t="s">
        <v>1392</v>
      </c>
      <c r="B448" t="s">
        <v>946</v>
      </c>
      <c r="C448" s="1">
        <v>45072</v>
      </c>
      <c r="D448" s="1">
        <v>45102</v>
      </c>
      <c r="E448" s="2">
        <v>4688.33</v>
      </c>
      <c r="F448" t="s">
        <v>28</v>
      </c>
      <c r="G448" t="s">
        <v>951</v>
      </c>
      <c r="H448" s="1">
        <v>45102</v>
      </c>
      <c r="I448" t="s">
        <v>941</v>
      </c>
      <c r="J448" t="str">
        <f>IF(ISBLANK(Table1[[#This Row],[PaidDate]]),"Unpaid",IF(Table1[[#This Row],[PaidDate]]&gt;Table1[[#This Row],[DueDate]],"Late",IF(Table1[[#This Row],[PaidDate]]&lt;Table1[[#This Row],[DueDate]],"Early","On Time")))</f>
        <v>On Time</v>
      </c>
      <c r="K448" t="str">
        <f ca="1">IF(AND(Table1[[#This Row],[Status]]&lt;&gt;"Paid",TODAY()&gt;Table1[[#This Row],[DueDate]]),"Overdue","OK")</f>
        <v>OK</v>
      </c>
    </row>
    <row r="449" spans="1:11" x14ac:dyDescent="0.3">
      <c r="A449" t="s">
        <v>1393</v>
      </c>
      <c r="B449" t="s">
        <v>946</v>
      </c>
      <c r="C449" s="1">
        <v>45264</v>
      </c>
      <c r="D449" s="1">
        <v>45294</v>
      </c>
      <c r="E449" s="2">
        <v>705.05</v>
      </c>
      <c r="F449" t="s">
        <v>11</v>
      </c>
      <c r="G449" t="s">
        <v>12</v>
      </c>
      <c r="I449" t="s">
        <v>941</v>
      </c>
      <c r="J449" t="str">
        <f>IF(ISBLANK(Table1[[#This Row],[PaidDate]]),"Unpaid",IF(Table1[[#This Row],[PaidDate]]&gt;Table1[[#This Row],[DueDate]],"Late",IF(Table1[[#This Row],[PaidDate]]&lt;Table1[[#This Row],[DueDate]],"Early","On Time")))</f>
        <v>Unpaid</v>
      </c>
      <c r="K449" t="str">
        <f ca="1">IF(AND(Table1[[#This Row],[Status]]&lt;&gt;"Paid",TODAY()&gt;Table1[[#This Row],[DueDate]]),"Overdue","OK")</f>
        <v>Overdue</v>
      </c>
    </row>
    <row r="450" spans="1:11" x14ac:dyDescent="0.3">
      <c r="A450" t="s">
        <v>1394</v>
      </c>
      <c r="B450" t="s">
        <v>962</v>
      </c>
      <c r="C450" s="1">
        <v>45068</v>
      </c>
      <c r="D450" s="1">
        <v>45098</v>
      </c>
      <c r="E450" s="2">
        <v>1193.94</v>
      </c>
      <c r="F450" t="s">
        <v>26</v>
      </c>
      <c r="G450" t="s">
        <v>17</v>
      </c>
      <c r="I450" t="s">
        <v>941</v>
      </c>
      <c r="J450" t="str">
        <f>IF(ISBLANK(Table1[[#This Row],[PaidDate]]),"Unpaid",IF(Table1[[#This Row],[PaidDate]]&gt;Table1[[#This Row],[DueDate]],"Late",IF(Table1[[#This Row],[PaidDate]]&lt;Table1[[#This Row],[DueDate]],"Early","On Time")))</f>
        <v>Unpaid</v>
      </c>
      <c r="K450" t="str">
        <f ca="1">IF(AND(Table1[[#This Row],[Status]]&lt;&gt;"Paid",TODAY()&gt;Table1[[#This Row],[DueDate]]),"Overdue","OK")</f>
        <v>Overdue</v>
      </c>
    </row>
    <row r="451" spans="1:11" x14ac:dyDescent="0.3">
      <c r="A451" t="s">
        <v>1395</v>
      </c>
      <c r="B451" t="s">
        <v>962</v>
      </c>
      <c r="C451" s="1">
        <v>45571</v>
      </c>
      <c r="D451" s="1">
        <v>45601</v>
      </c>
      <c r="E451" s="2">
        <v>232.29</v>
      </c>
      <c r="F451" t="s">
        <v>11</v>
      </c>
      <c r="G451" t="s">
        <v>951</v>
      </c>
      <c r="H451" s="1">
        <v>45601</v>
      </c>
      <c r="I451" t="s">
        <v>941</v>
      </c>
      <c r="J451" t="str">
        <f>IF(ISBLANK(Table1[[#This Row],[PaidDate]]),"Unpaid",IF(Table1[[#This Row],[PaidDate]]&gt;Table1[[#This Row],[DueDate]],"Late",IF(Table1[[#This Row],[PaidDate]]&lt;Table1[[#This Row],[DueDate]],"Early","On Time")))</f>
        <v>On Time</v>
      </c>
      <c r="K451" t="str">
        <f ca="1">IF(AND(Table1[[#This Row],[Status]]&lt;&gt;"Paid",TODAY()&gt;Table1[[#This Row],[DueDate]]),"Overdue","OK")</f>
        <v>OK</v>
      </c>
    </row>
    <row r="452" spans="1:11" x14ac:dyDescent="0.3">
      <c r="A452" t="s">
        <v>1396</v>
      </c>
      <c r="B452" t="s">
        <v>944</v>
      </c>
      <c r="C452" s="1">
        <v>45317</v>
      </c>
      <c r="D452" s="1">
        <v>45347</v>
      </c>
      <c r="E452" s="2">
        <v>4202.26</v>
      </c>
      <c r="F452" t="s">
        <v>16</v>
      </c>
      <c r="G452" t="s">
        <v>12</v>
      </c>
      <c r="I452" t="s">
        <v>941</v>
      </c>
      <c r="J452" t="str">
        <f>IF(ISBLANK(Table1[[#This Row],[PaidDate]]),"Unpaid",IF(Table1[[#This Row],[PaidDate]]&gt;Table1[[#This Row],[DueDate]],"Late",IF(Table1[[#This Row],[PaidDate]]&lt;Table1[[#This Row],[DueDate]],"Early","On Time")))</f>
        <v>Unpaid</v>
      </c>
      <c r="K452" t="str">
        <f ca="1">IF(AND(Table1[[#This Row],[Status]]&lt;&gt;"Paid",TODAY()&gt;Table1[[#This Row],[DueDate]]),"Overdue","OK")</f>
        <v>Overdue</v>
      </c>
    </row>
    <row r="453" spans="1:11" x14ac:dyDescent="0.3">
      <c r="A453" t="s">
        <v>1397</v>
      </c>
      <c r="B453" t="s">
        <v>966</v>
      </c>
      <c r="C453" s="1">
        <v>45315</v>
      </c>
      <c r="D453" s="1">
        <v>45345</v>
      </c>
      <c r="E453" s="2">
        <v>3696.33</v>
      </c>
      <c r="F453" t="s">
        <v>28</v>
      </c>
      <c r="G453" t="s">
        <v>951</v>
      </c>
      <c r="H453" s="1">
        <v>45345</v>
      </c>
      <c r="I453" t="s">
        <v>941</v>
      </c>
      <c r="J453" t="str">
        <f>IF(ISBLANK(Table1[[#This Row],[PaidDate]]),"Unpaid",IF(Table1[[#This Row],[PaidDate]]&gt;Table1[[#This Row],[DueDate]],"Late",IF(Table1[[#This Row],[PaidDate]]&lt;Table1[[#This Row],[DueDate]],"Early","On Time")))</f>
        <v>On Time</v>
      </c>
      <c r="K453" t="str">
        <f ca="1">IF(AND(Table1[[#This Row],[Status]]&lt;&gt;"Paid",TODAY()&gt;Table1[[#This Row],[DueDate]]),"Overdue","OK")</f>
        <v>OK</v>
      </c>
    </row>
    <row r="454" spans="1:11" x14ac:dyDescent="0.3">
      <c r="A454" t="s">
        <v>1398</v>
      </c>
      <c r="B454" t="s">
        <v>962</v>
      </c>
      <c r="C454" s="1">
        <v>45319</v>
      </c>
      <c r="D454" s="1">
        <v>45349</v>
      </c>
      <c r="E454" s="2">
        <v>3133.53</v>
      </c>
      <c r="F454" t="s">
        <v>11</v>
      </c>
      <c r="G454" t="s">
        <v>951</v>
      </c>
      <c r="H454" s="1">
        <v>45349</v>
      </c>
      <c r="I454" t="s">
        <v>941</v>
      </c>
      <c r="J454" t="str">
        <f>IF(ISBLANK(Table1[[#This Row],[PaidDate]]),"Unpaid",IF(Table1[[#This Row],[PaidDate]]&gt;Table1[[#This Row],[DueDate]],"Late",IF(Table1[[#This Row],[PaidDate]]&lt;Table1[[#This Row],[DueDate]],"Early","On Time")))</f>
        <v>On Time</v>
      </c>
      <c r="K454" t="str">
        <f ca="1">IF(AND(Table1[[#This Row],[Status]]&lt;&gt;"Paid",TODAY()&gt;Table1[[#This Row],[DueDate]]),"Overdue","OK")</f>
        <v>OK</v>
      </c>
    </row>
    <row r="455" spans="1:11" x14ac:dyDescent="0.3">
      <c r="A455" t="s">
        <v>1399</v>
      </c>
      <c r="B455" t="s">
        <v>940</v>
      </c>
      <c r="C455" s="1">
        <v>45460</v>
      </c>
      <c r="D455" s="1">
        <v>45490</v>
      </c>
      <c r="E455" s="2">
        <v>2405.39</v>
      </c>
      <c r="F455" t="s">
        <v>11</v>
      </c>
      <c r="G455" t="s">
        <v>951</v>
      </c>
      <c r="H455" s="1">
        <v>45490</v>
      </c>
      <c r="I455" t="s">
        <v>941</v>
      </c>
      <c r="J455" t="str">
        <f>IF(ISBLANK(Table1[[#This Row],[PaidDate]]),"Unpaid",IF(Table1[[#This Row],[PaidDate]]&gt;Table1[[#This Row],[DueDate]],"Late",IF(Table1[[#This Row],[PaidDate]]&lt;Table1[[#This Row],[DueDate]],"Early","On Time")))</f>
        <v>On Time</v>
      </c>
      <c r="K455" t="str">
        <f ca="1">IF(AND(Table1[[#This Row],[Status]]&lt;&gt;"Paid",TODAY()&gt;Table1[[#This Row],[DueDate]]),"Overdue","OK")</f>
        <v>OK</v>
      </c>
    </row>
    <row r="456" spans="1:11" x14ac:dyDescent="0.3">
      <c r="A456" t="s">
        <v>1400</v>
      </c>
      <c r="B456" t="s">
        <v>962</v>
      </c>
      <c r="C456" s="1">
        <v>45302</v>
      </c>
      <c r="D456" s="1">
        <v>45332</v>
      </c>
      <c r="E456" s="2">
        <v>1074.8499999999999</v>
      </c>
      <c r="F456" t="s">
        <v>11</v>
      </c>
      <c r="G456" t="s">
        <v>12</v>
      </c>
      <c r="I456" t="s">
        <v>941</v>
      </c>
      <c r="J456" t="str">
        <f>IF(ISBLANK(Table1[[#This Row],[PaidDate]]),"Unpaid",IF(Table1[[#This Row],[PaidDate]]&gt;Table1[[#This Row],[DueDate]],"Late",IF(Table1[[#This Row],[PaidDate]]&lt;Table1[[#This Row],[DueDate]],"Early","On Time")))</f>
        <v>Unpaid</v>
      </c>
      <c r="K456" t="str">
        <f ca="1">IF(AND(Table1[[#This Row],[Status]]&lt;&gt;"Paid",TODAY()&gt;Table1[[#This Row],[DueDate]]),"Overdue","OK")</f>
        <v>Overdue</v>
      </c>
    </row>
    <row r="457" spans="1:11" x14ac:dyDescent="0.3">
      <c r="A457" t="s">
        <v>1401</v>
      </c>
      <c r="B457" t="s">
        <v>946</v>
      </c>
      <c r="C457" s="1">
        <v>45648</v>
      </c>
      <c r="D457" s="1">
        <v>45678</v>
      </c>
      <c r="E457" s="2">
        <v>3359</v>
      </c>
      <c r="F457" t="s">
        <v>19</v>
      </c>
      <c r="G457" t="s">
        <v>17</v>
      </c>
      <c r="I457" t="s">
        <v>941</v>
      </c>
      <c r="J457" t="str">
        <f>IF(ISBLANK(Table1[[#This Row],[PaidDate]]),"Unpaid",IF(Table1[[#This Row],[PaidDate]]&gt;Table1[[#This Row],[DueDate]],"Late",IF(Table1[[#This Row],[PaidDate]]&lt;Table1[[#This Row],[DueDate]],"Early","On Time")))</f>
        <v>Unpaid</v>
      </c>
      <c r="K457" t="str">
        <f ca="1">IF(AND(Table1[[#This Row],[Status]]&lt;&gt;"Paid",TODAY()&gt;Table1[[#This Row],[DueDate]]),"Overdue","OK")</f>
        <v>Overdue</v>
      </c>
    </row>
    <row r="458" spans="1:11" x14ac:dyDescent="0.3">
      <c r="A458" t="s">
        <v>1402</v>
      </c>
      <c r="B458" t="s">
        <v>966</v>
      </c>
      <c r="C458" s="1">
        <v>45700</v>
      </c>
      <c r="D458" s="1">
        <v>45730</v>
      </c>
      <c r="E458" s="2">
        <v>419.58</v>
      </c>
      <c r="F458" t="s">
        <v>28</v>
      </c>
      <c r="G458" t="s">
        <v>951</v>
      </c>
      <c r="H458" s="1">
        <v>45730</v>
      </c>
      <c r="I458" t="s">
        <v>941</v>
      </c>
      <c r="J458" t="str">
        <f>IF(ISBLANK(Table1[[#This Row],[PaidDate]]),"Unpaid",IF(Table1[[#This Row],[PaidDate]]&gt;Table1[[#This Row],[DueDate]],"Late",IF(Table1[[#This Row],[PaidDate]]&lt;Table1[[#This Row],[DueDate]],"Early","On Time")))</f>
        <v>On Time</v>
      </c>
      <c r="K458" t="str">
        <f ca="1">IF(AND(Table1[[#This Row],[Status]]&lt;&gt;"Paid",TODAY()&gt;Table1[[#This Row],[DueDate]]),"Overdue","OK")</f>
        <v>OK</v>
      </c>
    </row>
    <row r="459" spans="1:11" x14ac:dyDescent="0.3">
      <c r="A459" t="s">
        <v>1403</v>
      </c>
      <c r="B459" t="s">
        <v>944</v>
      </c>
      <c r="C459" s="1">
        <v>45376</v>
      </c>
      <c r="D459" s="1">
        <v>45406</v>
      </c>
      <c r="E459" s="2">
        <v>1704.27</v>
      </c>
      <c r="F459" t="s">
        <v>26</v>
      </c>
      <c r="G459" t="s">
        <v>17</v>
      </c>
      <c r="I459" t="s">
        <v>941</v>
      </c>
      <c r="J459" t="str">
        <f>IF(ISBLANK(Table1[[#This Row],[PaidDate]]),"Unpaid",IF(Table1[[#This Row],[PaidDate]]&gt;Table1[[#This Row],[DueDate]],"Late",IF(Table1[[#This Row],[PaidDate]]&lt;Table1[[#This Row],[DueDate]],"Early","On Time")))</f>
        <v>Unpaid</v>
      </c>
      <c r="K459" t="str">
        <f ca="1">IF(AND(Table1[[#This Row],[Status]]&lt;&gt;"Paid",TODAY()&gt;Table1[[#This Row],[DueDate]]),"Overdue","OK")</f>
        <v>Overdue</v>
      </c>
    </row>
    <row r="460" spans="1:11" x14ac:dyDescent="0.3">
      <c r="A460" t="s">
        <v>1404</v>
      </c>
      <c r="B460" t="s">
        <v>946</v>
      </c>
      <c r="C460" s="1">
        <v>45397</v>
      </c>
      <c r="D460" s="1">
        <v>45427</v>
      </c>
      <c r="E460" s="2">
        <v>1545.19</v>
      </c>
      <c r="F460" t="s">
        <v>19</v>
      </c>
      <c r="G460" t="s">
        <v>951</v>
      </c>
      <c r="H460" s="1">
        <v>45427</v>
      </c>
      <c r="I460" t="s">
        <v>941</v>
      </c>
      <c r="J460" t="str">
        <f>IF(ISBLANK(Table1[[#This Row],[PaidDate]]),"Unpaid",IF(Table1[[#This Row],[PaidDate]]&gt;Table1[[#This Row],[DueDate]],"Late",IF(Table1[[#This Row],[PaidDate]]&lt;Table1[[#This Row],[DueDate]],"Early","On Time")))</f>
        <v>On Time</v>
      </c>
      <c r="K460" t="str">
        <f ca="1">IF(AND(Table1[[#This Row],[Status]]&lt;&gt;"Paid",TODAY()&gt;Table1[[#This Row],[DueDate]]),"Overdue","OK")</f>
        <v>OK</v>
      </c>
    </row>
    <row r="461" spans="1:11" x14ac:dyDescent="0.3">
      <c r="A461" t="s">
        <v>1405</v>
      </c>
      <c r="B461" t="s">
        <v>946</v>
      </c>
      <c r="C461" s="1">
        <v>45198</v>
      </c>
      <c r="D461" s="1">
        <v>45228</v>
      </c>
      <c r="E461" s="2">
        <v>3414.41</v>
      </c>
      <c r="F461" t="s">
        <v>28</v>
      </c>
      <c r="G461" t="s">
        <v>12</v>
      </c>
      <c r="I461" t="s">
        <v>941</v>
      </c>
      <c r="J461" t="str">
        <f>IF(ISBLANK(Table1[[#This Row],[PaidDate]]),"Unpaid",IF(Table1[[#This Row],[PaidDate]]&gt;Table1[[#This Row],[DueDate]],"Late",IF(Table1[[#This Row],[PaidDate]]&lt;Table1[[#This Row],[DueDate]],"Early","On Time")))</f>
        <v>Unpaid</v>
      </c>
      <c r="K461" t="str">
        <f ca="1">IF(AND(Table1[[#This Row],[Status]]&lt;&gt;"Paid",TODAY()&gt;Table1[[#This Row],[DueDate]]),"Overdue","OK")</f>
        <v>Overdue</v>
      </c>
    </row>
    <row r="462" spans="1:11" x14ac:dyDescent="0.3">
      <c r="A462" t="s">
        <v>1406</v>
      </c>
      <c r="B462" t="s">
        <v>940</v>
      </c>
      <c r="C462" s="1">
        <v>45779</v>
      </c>
      <c r="D462" s="1">
        <v>45809</v>
      </c>
      <c r="E462" s="2">
        <v>3597.78</v>
      </c>
      <c r="F462" t="s">
        <v>11</v>
      </c>
      <c r="G462" t="s">
        <v>12</v>
      </c>
      <c r="I462" t="s">
        <v>941</v>
      </c>
      <c r="J462" t="str">
        <f>IF(ISBLANK(Table1[[#This Row],[PaidDate]]),"Unpaid",IF(Table1[[#This Row],[PaidDate]]&gt;Table1[[#This Row],[DueDate]],"Late",IF(Table1[[#This Row],[PaidDate]]&lt;Table1[[#This Row],[DueDate]],"Early","On Time")))</f>
        <v>Unpaid</v>
      </c>
      <c r="K462" t="str">
        <f ca="1">IF(AND(Table1[[#This Row],[Status]]&lt;&gt;"Paid",TODAY()&gt;Table1[[#This Row],[DueDate]]),"Overdue","OK")</f>
        <v>Overdue</v>
      </c>
    </row>
    <row r="463" spans="1:11" x14ac:dyDescent="0.3">
      <c r="A463" t="s">
        <v>1407</v>
      </c>
      <c r="B463" t="s">
        <v>944</v>
      </c>
      <c r="C463" s="1">
        <v>45599</v>
      </c>
      <c r="D463" s="1">
        <v>45629</v>
      </c>
      <c r="E463" s="2">
        <v>2642.3</v>
      </c>
      <c r="F463" t="s">
        <v>16</v>
      </c>
      <c r="G463" t="s">
        <v>17</v>
      </c>
      <c r="I463" t="s">
        <v>941</v>
      </c>
      <c r="J463" t="str">
        <f>IF(ISBLANK(Table1[[#This Row],[PaidDate]]),"Unpaid",IF(Table1[[#This Row],[PaidDate]]&gt;Table1[[#This Row],[DueDate]],"Late",IF(Table1[[#This Row],[PaidDate]]&lt;Table1[[#This Row],[DueDate]],"Early","On Time")))</f>
        <v>Unpaid</v>
      </c>
      <c r="K463" t="str">
        <f ca="1">IF(AND(Table1[[#This Row],[Status]]&lt;&gt;"Paid",TODAY()&gt;Table1[[#This Row],[DueDate]]),"Overdue","OK")</f>
        <v>Overdue</v>
      </c>
    </row>
    <row r="464" spans="1:11" x14ac:dyDescent="0.3">
      <c r="A464" t="s">
        <v>1408</v>
      </c>
      <c r="B464" t="s">
        <v>944</v>
      </c>
      <c r="C464" s="1">
        <v>44983</v>
      </c>
      <c r="D464" s="1">
        <v>45013</v>
      </c>
      <c r="E464" s="2">
        <v>4728.07</v>
      </c>
      <c r="F464" t="s">
        <v>28</v>
      </c>
      <c r="G464" t="s">
        <v>12</v>
      </c>
      <c r="I464" t="s">
        <v>941</v>
      </c>
      <c r="J464" t="str">
        <f>IF(ISBLANK(Table1[[#This Row],[PaidDate]]),"Unpaid",IF(Table1[[#This Row],[PaidDate]]&gt;Table1[[#This Row],[DueDate]],"Late",IF(Table1[[#This Row],[PaidDate]]&lt;Table1[[#This Row],[DueDate]],"Early","On Time")))</f>
        <v>Unpaid</v>
      </c>
      <c r="K464" t="str">
        <f ca="1">IF(AND(Table1[[#This Row],[Status]]&lt;&gt;"Paid",TODAY()&gt;Table1[[#This Row],[DueDate]]),"Overdue","OK")</f>
        <v>Overdue</v>
      </c>
    </row>
    <row r="465" spans="1:11" x14ac:dyDescent="0.3">
      <c r="A465" t="s">
        <v>1409</v>
      </c>
      <c r="B465" t="s">
        <v>966</v>
      </c>
      <c r="C465" s="1">
        <v>45624</v>
      </c>
      <c r="D465" s="1">
        <v>45654</v>
      </c>
      <c r="E465" s="2">
        <v>1560.4</v>
      </c>
      <c r="F465" t="s">
        <v>26</v>
      </c>
      <c r="G465" t="s">
        <v>12</v>
      </c>
      <c r="I465" t="s">
        <v>941</v>
      </c>
      <c r="J465" t="str">
        <f>IF(ISBLANK(Table1[[#This Row],[PaidDate]]),"Unpaid",IF(Table1[[#This Row],[PaidDate]]&gt;Table1[[#This Row],[DueDate]],"Late",IF(Table1[[#This Row],[PaidDate]]&lt;Table1[[#This Row],[DueDate]],"Early","On Time")))</f>
        <v>Unpaid</v>
      </c>
      <c r="K465" t="str">
        <f ca="1">IF(AND(Table1[[#This Row],[Status]]&lt;&gt;"Paid",TODAY()&gt;Table1[[#This Row],[DueDate]]),"Overdue","OK")</f>
        <v>Overdue</v>
      </c>
    </row>
    <row r="466" spans="1:11" x14ac:dyDescent="0.3">
      <c r="A466" t="s">
        <v>1410</v>
      </c>
      <c r="B466" t="s">
        <v>962</v>
      </c>
      <c r="C466" s="1">
        <v>45374</v>
      </c>
      <c r="D466" s="1">
        <v>45404</v>
      </c>
      <c r="E466" s="2">
        <v>2026.99</v>
      </c>
      <c r="F466" t="s">
        <v>19</v>
      </c>
      <c r="G466" t="s">
        <v>17</v>
      </c>
      <c r="I466" t="s">
        <v>941</v>
      </c>
      <c r="J466" t="str">
        <f>IF(ISBLANK(Table1[[#This Row],[PaidDate]]),"Unpaid",IF(Table1[[#This Row],[PaidDate]]&gt;Table1[[#This Row],[DueDate]],"Late",IF(Table1[[#This Row],[PaidDate]]&lt;Table1[[#This Row],[DueDate]],"Early","On Time")))</f>
        <v>Unpaid</v>
      </c>
      <c r="K466" t="str">
        <f ca="1">IF(AND(Table1[[#This Row],[Status]]&lt;&gt;"Paid",TODAY()&gt;Table1[[#This Row],[DueDate]]),"Overdue","OK")</f>
        <v>Overdue</v>
      </c>
    </row>
    <row r="467" spans="1:11" x14ac:dyDescent="0.3">
      <c r="A467" t="s">
        <v>1411</v>
      </c>
      <c r="B467" t="s">
        <v>940</v>
      </c>
      <c r="C467" s="1">
        <v>45574</v>
      </c>
      <c r="D467" s="1">
        <v>45604</v>
      </c>
      <c r="E467" s="2">
        <v>1142.8399999999999</v>
      </c>
      <c r="F467" t="s">
        <v>11</v>
      </c>
      <c r="G467" t="s">
        <v>951</v>
      </c>
      <c r="H467" s="1">
        <v>45604</v>
      </c>
      <c r="I467" t="s">
        <v>941</v>
      </c>
      <c r="J467" t="str">
        <f>IF(ISBLANK(Table1[[#This Row],[PaidDate]]),"Unpaid",IF(Table1[[#This Row],[PaidDate]]&gt;Table1[[#This Row],[DueDate]],"Late",IF(Table1[[#This Row],[PaidDate]]&lt;Table1[[#This Row],[DueDate]],"Early","On Time")))</f>
        <v>On Time</v>
      </c>
      <c r="K467" t="str">
        <f ca="1">IF(AND(Table1[[#This Row],[Status]]&lt;&gt;"Paid",TODAY()&gt;Table1[[#This Row],[DueDate]]),"Overdue","OK")</f>
        <v>OK</v>
      </c>
    </row>
    <row r="468" spans="1:11" x14ac:dyDescent="0.3">
      <c r="A468" t="s">
        <v>1412</v>
      </c>
      <c r="B468" t="s">
        <v>962</v>
      </c>
      <c r="C468" s="1">
        <v>45414</v>
      </c>
      <c r="D468" s="1">
        <v>45444</v>
      </c>
      <c r="E468" s="2">
        <v>3401.72</v>
      </c>
      <c r="F468" t="s">
        <v>19</v>
      </c>
      <c r="G468" t="s">
        <v>17</v>
      </c>
      <c r="I468" t="s">
        <v>941</v>
      </c>
      <c r="J468" t="str">
        <f>IF(ISBLANK(Table1[[#This Row],[PaidDate]]),"Unpaid",IF(Table1[[#This Row],[PaidDate]]&gt;Table1[[#This Row],[DueDate]],"Late",IF(Table1[[#This Row],[PaidDate]]&lt;Table1[[#This Row],[DueDate]],"Early","On Time")))</f>
        <v>Unpaid</v>
      </c>
      <c r="K468" t="str">
        <f ca="1">IF(AND(Table1[[#This Row],[Status]]&lt;&gt;"Paid",TODAY()&gt;Table1[[#This Row],[DueDate]]),"Overdue","OK")</f>
        <v>Overdue</v>
      </c>
    </row>
    <row r="469" spans="1:11" x14ac:dyDescent="0.3">
      <c r="A469" t="s">
        <v>1413</v>
      </c>
      <c r="B469" t="s">
        <v>940</v>
      </c>
      <c r="C469" s="1">
        <v>45076</v>
      </c>
      <c r="D469" s="1">
        <v>45106</v>
      </c>
      <c r="E469" s="2">
        <v>4753.22</v>
      </c>
      <c r="F469" t="s">
        <v>19</v>
      </c>
      <c r="G469" t="s">
        <v>12</v>
      </c>
      <c r="I469" t="s">
        <v>941</v>
      </c>
      <c r="J469" t="str">
        <f>IF(ISBLANK(Table1[[#This Row],[PaidDate]]),"Unpaid",IF(Table1[[#This Row],[PaidDate]]&gt;Table1[[#This Row],[DueDate]],"Late",IF(Table1[[#This Row],[PaidDate]]&lt;Table1[[#This Row],[DueDate]],"Early","On Time")))</f>
        <v>Unpaid</v>
      </c>
      <c r="K469" t="str">
        <f ca="1">IF(AND(Table1[[#This Row],[Status]]&lt;&gt;"Paid",TODAY()&gt;Table1[[#This Row],[DueDate]]),"Overdue","OK")</f>
        <v>Overdue</v>
      </c>
    </row>
    <row r="470" spans="1:11" x14ac:dyDescent="0.3">
      <c r="A470" t="s">
        <v>1414</v>
      </c>
      <c r="B470" t="s">
        <v>940</v>
      </c>
      <c r="C470" s="1">
        <v>45789</v>
      </c>
      <c r="D470" s="1">
        <v>45819</v>
      </c>
      <c r="E470" s="2">
        <v>3640.83</v>
      </c>
      <c r="F470" t="s">
        <v>19</v>
      </c>
      <c r="G470" t="s">
        <v>12</v>
      </c>
      <c r="I470" t="s">
        <v>941</v>
      </c>
      <c r="J470" t="str">
        <f>IF(ISBLANK(Table1[[#This Row],[PaidDate]]),"Unpaid",IF(Table1[[#This Row],[PaidDate]]&gt;Table1[[#This Row],[DueDate]],"Late",IF(Table1[[#This Row],[PaidDate]]&lt;Table1[[#This Row],[DueDate]],"Early","On Time")))</f>
        <v>Unpaid</v>
      </c>
      <c r="K470" t="str">
        <f ca="1">IF(AND(Table1[[#This Row],[Status]]&lt;&gt;"Paid",TODAY()&gt;Table1[[#This Row],[DueDate]]),"Overdue","OK")</f>
        <v>Overdue</v>
      </c>
    </row>
    <row r="471" spans="1:11" x14ac:dyDescent="0.3">
      <c r="A471" t="s">
        <v>1415</v>
      </c>
      <c r="B471" t="s">
        <v>944</v>
      </c>
      <c r="C471" s="1">
        <v>45358</v>
      </c>
      <c r="D471" s="1">
        <v>45388</v>
      </c>
      <c r="E471" s="2">
        <v>2662.58</v>
      </c>
      <c r="F471" t="s">
        <v>26</v>
      </c>
      <c r="G471" t="s">
        <v>12</v>
      </c>
      <c r="I471" t="s">
        <v>941</v>
      </c>
      <c r="J471" t="str">
        <f>IF(ISBLANK(Table1[[#This Row],[PaidDate]]),"Unpaid",IF(Table1[[#This Row],[PaidDate]]&gt;Table1[[#This Row],[DueDate]],"Late",IF(Table1[[#This Row],[PaidDate]]&lt;Table1[[#This Row],[DueDate]],"Early","On Time")))</f>
        <v>Unpaid</v>
      </c>
      <c r="K471" t="str">
        <f ca="1">IF(AND(Table1[[#This Row],[Status]]&lt;&gt;"Paid",TODAY()&gt;Table1[[#This Row],[DueDate]]),"Overdue","OK")</f>
        <v>Overdue</v>
      </c>
    </row>
    <row r="472" spans="1:11" x14ac:dyDescent="0.3">
      <c r="A472" t="s">
        <v>1416</v>
      </c>
      <c r="B472" t="s">
        <v>940</v>
      </c>
      <c r="C472" s="1">
        <v>45619</v>
      </c>
      <c r="D472" s="1">
        <v>45649</v>
      </c>
      <c r="E472" s="2">
        <v>212.92</v>
      </c>
      <c r="F472" t="s">
        <v>16</v>
      </c>
      <c r="G472" t="s">
        <v>17</v>
      </c>
      <c r="I472" t="s">
        <v>941</v>
      </c>
      <c r="J472" t="str">
        <f>IF(ISBLANK(Table1[[#This Row],[PaidDate]]),"Unpaid",IF(Table1[[#This Row],[PaidDate]]&gt;Table1[[#This Row],[DueDate]],"Late",IF(Table1[[#This Row],[PaidDate]]&lt;Table1[[#This Row],[DueDate]],"Early","On Time")))</f>
        <v>Unpaid</v>
      </c>
      <c r="K472" t="str">
        <f ca="1">IF(AND(Table1[[#This Row],[Status]]&lt;&gt;"Paid",TODAY()&gt;Table1[[#This Row],[DueDate]]),"Overdue","OK")</f>
        <v>Overdue</v>
      </c>
    </row>
    <row r="473" spans="1:11" x14ac:dyDescent="0.3">
      <c r="A473" t="s">
        <v>1417</v>
      </c>
      <c r="B473" t="s">
        <v>940</v>
      </c>
      <c r="C473" s="1">
        <v>45254</v>
      </c>
      <c r="D473" s="1">
        <v>45284</v>
      </c>
      <c r="E473" s="2">
        <v>980.09</v>
      </c>
      <c r="F473" t="s">
        <v>19</v>
      </c>
      <c r="G473" t="s">
        <v>951</v>
      </c>
      <c r="H473" s="1">
        <v>45284</v>
      </c>
      <c r="I473" t="s">
        <v>941</v>
      </c>
      <c r="J473" t="str">
        <f>IF(ISBLANK(Table1[[#This Row],[PaidDate]]),"Unpaid",IF(Table1[[#This Row],[PaidDate]]&gt;Table1[[#This Row],[DueDate]],"Late",IF(Table1[[#This Row],[PaidDate]]&lt;Table1[[#This Row],[DueDate]],"Early","On Time")))</f>
        <v>On Time</v>
      </c>
      <c r="K473" t="str">
        <f ca="1">IF(AND(Table1[[#This Row],[Status]]&lt;&gt;"Paid",TODAY()&gt;Table1[[#This Row],[DueDate]]),"Overdue","OK")</f>
        <v>OK</v>
      </c>
    </row>
    <row r="474" spans="1:11" x14ac:dyDescent="0.3">
      <c r="A474" t="s">
        <v>1418</v>
      </c>
      <c r="B474" t="s">
        <v>946</v>
      </c>
      <c r="C474" s="1">
        <v>45262</v>
      </c>
      <c r="D474" s="1">
        <v>45292</v>
      </c>
      <c r="E474" s="2">
        <v>1179.8800000000001</v>
      </c>
      <c r="F474" t="s">
        <v>19</v>
      </c>
      <c r="G474" t="s">
        <v>17</v>
      </c>
      <c r="I474" t="s">
        <v>941</v>
      </c>
      <c r="J474" t="str">
        <f>IF(ISBLANK(Table1[[#This Row],[PaidDate]]),"Unpaid",IF(Table1[[#This Row],[PaidDate]]&gt;Table1[[#This Row],[DueDate]],"Late",IF(Table1[[#This Row],[PaidDate]]&lt;Table1[[#This Row],[DueDate]],"Early","On Time")))</f>
        <v>Unpaid</v>
      </c>
      <c r="K474" t="str">
        <f ca="1">IF(AND(Table1[[#This Row],[Status]]&lt;&gt;"Paid",TODAY()&gt;Table1[[#This Row],[DueDate]]),"Overdue","OK")</f>
        <v>Overdue</v>
      </c>
    </row>
    <row r="475" spans="1:11" x14ac:dyDescent="0.3">
      <c r="A475" t="s">
        <v>1419</v>
      </c>
      <c r="B475" t="s">
        <v>944</v>
      </c>
      <c r="C475" s="1">
        <v>45324</v>
      </c>
      <c r="D475" s="1">
        <v>45354</v>
      </c>
      <c r="E475" s="2">
        <v>1750.63</v>
      </c>
      <c r="F475" t="s">
        <v>28</v>
      </c>
      <c r="G475" t="s">
        <v>17</v>
      </c>
      <c r="I475" t="s">
        <v>941</v>
      </c>
      <c r="J475" t="str">
        <f>IF(ISBLANK(Table1[[#This Row],[PaidDate]]),"Unpaid",IF(Table1[[#This Row],[PaidDate]]&gt;Table1[[#This Row],[DueDate]],"Late",IF(Table1[[#This Row],[PaidDate]]&lt;Table1[[#This Row],[DueDate]],"Early","On Time")))</f>
        <v>Unpaid</v>
      </c>
      <c r="K475" t="str">
        <f ca="1">IF(AND(Table1[[#This Row],[Status]]&lt;&gt;"Paid",TODAY()&gt;Table1[[#This Row],[DueDate]]),"Overdue","OK")</f>
        <v>Overdue</v>
      </c>
    </row>
    <row r="476" spans="1:11" x14ac:dyDescent="0.3">
      <c r="A476" t="s">
        <v>1420</v>
      </c>
      <c r="B476" t="s">
        <v>944</v>
      </c>
      <c r="C476" s="1">
        <v>45624</v>
      </c>
      <c r="D476" s="1">
        <v>45654</v>
      </c>
      <c r="E476" s="2">
        <v>3207.4</v>
      </c>
      <c r="F476" t="s">
        <v>28</v>
      </c>
      <c r="G476" t="s">
        <v>951</v>
      </c>
      <c r="H476" s="1">
        <v>45654</v>
      </c>
      <c r="I476" t="s">
        <v>941</v>
      </c>
      <c r="J476" t="str">
        <f>IF(ISBLANK(Table1[[#This Row],[PaidDate]]),"Unpaid",IF(Table1[[#This Row],[PaidDate]]&gt;Table1[[#This Row],[DueDate]],"Late",IF(Table1[[#This Row],[PaidDate]]&lt;Table1[[#This Row],[DueDate]],"Early","On Time")))</f>
        <v>On Time</v>
      </c>
      <c r="K476" t="str">
        <f ca="1">IF(AND(Table1[[#This Row],[Status]]&lt;&gt;"Paid",TODAY()&gt;Table1[[#This Row],[DueDate]]),"Overdue","OK")</f>
        <v>OK</v>
      </c>
    </row>
    <row r="477" spans="1:11" x14ac:dyDescent="0.3">
      <c r="A477" t="s">
        <v>1421</v>
      </c>
      <c r="B477" t="s">
        <v>944</v>
      </c>
      <c r="C477" s="1">
        <v>45229</v>
      </c>
      <c r="D477" s="1">
        <v>45259</v>
      </c>
      <c r="E477" s="2">
        <v>2412.71</v>
      </c>
      <c r="F477" t="s">
        <v>16</v>
      </c>
      <c r="G477" t="s">
        <v>951</v>
      </c>
      <c r="H477" s="1">
        <v>45259</v>
      </c>
      <c r="I477" t="s">
        <v>941</v>
      </c>
      <c r="J477" t="str">
        <f>IF(ISBLANK(Table1[[#This Row],[PaidDate]]),"Unpaid",IF(Table1[[#This Row],[PaidDate]]&gt;Table1[[#This Row],[DueDate]],"Late",IF(Table1[[#This Row],[PaidDate]]&lt;Table1[[#This Row],[DueDate]],"Early","On Time")))</f>
        <v>On Time</v>
      </c>
      <c r="K477" t="str">
        <f ca="1">IF(AND(Table1[[#This Row],[Status]]&lt;&gt;"Paid",TODAY()&gt;Table1[[#This Row],[DueDate]]),"Overdue","OK")</f>
        <v>OK</v>
      </c>
    </row>
    <row r="478" spans="1:11" x14ac:dyDescent="0.3">
      <c r="A478" t="s">
        <v>1422</v>
      </c>
      <c r="B478" t="s">
        <v>966</v>
      </c>
      <c r="C478" s="1">
        <v>45235</v>
      </c>
      <c r="D478" s="1">
        <v>45265</v>
      </c>
      <c r="E478" s="2">
        <v>382.4</v>
      </c>
      <c r="F478" t="s">
        <v>11</v>
      </c>
      <c r="G478" t="s">
        <v>12</v>
      </c>
      <c r="I478" t="s">
        <v>941</v>
      </c>
      <c r="J478" t="str">
        <f>IF(ISBLANK(Table1[[#This Row],[PaidDate]]),"Unpaid",IF(Table1[[#This Row],[PaidDate]]&gt;Table1[[#This Row],[DueDate]],"Late",IF(Table1[[#This Row],[PaidDate]]&lt;Table1[[#This Row],[DueDate]],"Early","On Time")))</f>
        <v>Unpaid</v>
      </c>
      <c r="K478" t="str">
        <f ca="1">IF(AND(Table1[[#This Row],[Status]]&lt;&gt;"Paid",TODAY()&gt;Table1[[#This Row],[DueDate]]),"Overdue","OK")</f>
        <v>Overdue</v>
      </c>
    </row>
    <row r="479" spans="1:11" x14ac:dyDescent="0.3">
      <c r="A479" t="s">
        <v>1423</v>
      </c>
      <c r="B479" t="s">
        <v>946</v>
      </c>
      <c r="C479" s="1">
        <v>45106</v>
      </c>
      <c r="D479" s="1">
        <v>45136</v>
      </c>
      <c r="E479" s="2">
        <v>4004.66</v>
      </c>
      <c r="F479" t="s">
        <v>26</v>
      </c>
      <c r="G479" t="s">
        <v>951</v>
      </c>
      <c r="H479" s="1">
        <v>45136</v>
      </c>
      <c r="I479" t="s">
        <v>941</v>
      </c>
      <c r="J479" t="str">
        <f>IF(ISBLANK(Table1[[#This Row],[PaidDate]]),"Unpaid",IF(Table1[[#This Row],[PaidDate]]&gt;Table1[[#This Row],[DueDate]],"Late",IF(Table1[[#This Row],[PaidDate]]&lt;Table1[[#This Row],[DueDate]],"Early","On Time")))</f>
        <v>On Time</v>
      </c>
      <c r="K479" t="str">
        <f ca="1">IF(AND(Table1[[#This Row],[Status]]&lt;&gt;"Paid",TODAY()&gt;Table1[[#This Row],[DueDate]]),"Overdue","OK")</f>
        <v>OK</v>
      </c>
    </row>
    <row r="480" spans="1:11" x14ac:dyDescent="0.3">
      <c r="A480" t="s">
        <v>1424</v>
      </c>
      <c r="B480" t="s">
        <v>962</v>
      </c>
      <c r="C480" s="1">
        <v>45342</v>
      </c>
      <c r="D480" s="1">
        <v>45372</v>
      </c>
      <c r="E480" s="2">
        <v>4777.58</v>
      </c>
      <c r="F480" t="s">
        <v>28</v>
      </c>
      <c r="G480" t="s">
        <v>17</v>
      </c>
      <c r="I480" t="s">
        <v>941</v>
      </c>
      <c r="J480" t="str">
        <f>IF(ISBLANK(Table1[[#This Row],[PaidDate]]),"Unpaid",IF(Table1[[#This Row],[PaidDate]]&gt;Table1[[#This Row],[DueDate]],"Late",IF(Table1[[#This Row],[PaidDate]]&lt;Table1[[#This Row],[DueDate]],"Early","On Time")))</f>
        <v>Unpaid</v>
      </c>
      <c r="K480" t="str">
        <f ca="1">IF(AND(Table1[[#This Row],[Status]]&lt;&gt;"Paid",TODAY()&gt;Table1[[#This Row],[DueDate]]),"Overdue","OK")</f>
        <v>Overdue</v>
      </c>
    </row>
    <row r="481" spans="1:11" x14ac:dyDescent="0.3">
      <c r="A481" t="s">
        <v>1425</v>
      </c>
      <c r="B481" t="s">
        <v>944</v>
      </c>
      <c r="C481" s="1">
        <v>45185</v>
      </c>
      <c r="D481" s="1">
        <v>45215</v>
      </c>
      <c r="E481" s="2">
        <v>1599.7</v>
      </c>
      <c r="F481" t="s">
        <v>19</v>
      </c>
      <c r="G481" t="s">
        <v>12</v>
      </c>
      <c r="I481" t="s">
        <v>941</v>
      </c>
      <c r="J481" t="str">
        <f>IF(ISBLANK(Table1[[#This Row],[PaidDate]]),"Unpaid",IF(Table1[[#This Row],[PaidDate]]&gt;Table1[[#This Row],[DueDate]],"Late",IF(Table1[[#This Row],[PaidDate]]&lt;Table1[[#This Row],[DueDate]],"Early","On Time")))</f>
        <v>Unpaid</v>
      </c>
      <c r="K481" t="str">
        <f ca="1">IF(AND(Table1[[#This Row],[Status]]&lt;&gt;"Paid",TODAY()&gt;Table1[[#This Row],[DueDate]]),"Overdue","OK")</f>
        <v>Overdue</v>
      </c>
    </row>
    <row r="482" spans="1:11" x14ac:dyDescent="0.3">
      <c r="A482" t="s">
        <v>1426</v>
      </c>
      <c r="B482" t="s">
        <v>944</v>
      </c>
      <c r="C482" s="1">
        <v>45707</v>
      </c>
      <c r="D482" s="1">
        <v>45737</v>
      </c>
      <c r="E482" s="2">
        <v>4973.3</v>
      </c>
      <c r="F482" t="s">
        <v>11</v>
      </c>
      <c r="G482" t="s">
        <v>17</v>
      </c>
      <c r="I482" t="s">
        <v>941</v>
      </c>
      <c r="J482" t="str">
        <f>IF(ISBLANK(Table1[[#This Row],[PaidDate]]),"Unpaid",IF(Table1[[#This Row],[PaidDate]]&gt;Table1[[#This Row],[DueDate]],"Late",IF(Table1[[#This Row],[PaidDate]]&lt;Table1[[#This Row],[DueDate]],"Early","On Time")))</f>
        <v>Unpaid</v>
      </c>
      <c r="K482" t="str">
        <f ca="1">IF(AND(Table1[[#This Row],[Status]]&lt;&gt;"Paid",TODAY()&gt;Table1[[#This Row],[DueDate]]),"Overdue","OK")</f>
        <v>Overdue</v>
      </c>
    </row>
    <row r="483" spans="1:11" x14ac:dyDescent="0.3">
      <c r="A483" t="s">
        <v>1427</v>
      </c>
      <c r="B483" t="s">
        <v>946</v>
      </c>
      <c r="C483" s="1">
        <v>45099</v>
      </c>
      <c r="D483" s="1">
        <v>45129</v>
      </c>
      <c r="E483" s="2">
        <v>717.91</v>
      </c>
      <c r="F483" t="s">
        <v>16</v>
      </c>
      <c r="G483" t="s">
        <v>17</v>
      </c>
      <c r="I483" t="s">
        <v>941</v>
      </c>
      <c r="J483" t="str">
        <f>IF(ISBLANK(Table1[[#This Row],[PaidDate]]),"Unpaid",IF(Table1[[#This Row],[PaidDate]]&gt;Table1[[#This Row],[DueDate]],"Late",IF(Table1[[#This Row],[PaidDate]]&lt;Table1[[#This Row],[DueDate]],"Early","On Time")))</f>
        <v>Unpaid</v>
      </c>
      <c r="K483" t="str">
        <f ca="1">IF(AND(Table1[[#This Row],[Status]]&lt;&gt;"Paid",TODAY()&gt;Table1[[#This Row],[DueDate]]),"Overdue","OK")</f>
        <v>Overdue</v>
      </c>
    </row>
    <row r="484" spans="1:11" x14ac:dyDescent="0.3">
      <c r="A484" t="s">
        <v>1428</v>
      </c>
      <c r="B484" t="s">
        <v>962</v>
      </c>
      <c r="C484" s="1">
        <v>45684</v>
      </c>
      <c r="D484" s="1">
        <v>45714</v>
      </c>
      <c r="E484" s="2">
        <v>1388.79</v>
      </c>
      <c r="F484" t="s">
        <v>19</v>
      </c>
      <c r="G484" t="s">
        <v>951</v>
      </c>
      <c r="H484" s="1">
        <v>45714</v>
      </c>
      <c r="I484" t="s">
        <v>941</v>
      </c>
      <c r="J484" t="str">
        <f>IF(ISBLANK(Table1[[#This Row],[PaidDate]]),"Unpaid",IF(Table1[[#This Row],[PaidDate]]&gt;Table1[[#This Row],[DueDate]],"Late",IF(Table1[[#This Row],[PaidDate]]&lt;Table1[[#This Row],[DueDate]],"Early","On Time")))</f>
        <v>On Time</v>
      </c>
      <c r="K484" t="str">
        <f ca="1">IF(AND(Table1[[#This Row],[Status]]&lt;&gt;"Paid",TODAY()&gt;Table1[[#This Row],[DueDate]]),"Overdue","OK")</f>
        <v>OK</v>
      </c>
    </row>
    <row r="485" spans="1:11" x14ac:dyDescent="0.3">
      <c r="A485" t="s">
        <v>1429</v>
      </c>
      <c r="B485" t="s">
        <v>940</v>
      </c>
      <c r="C485" s="1">
        <v>45823</v>
      </c>
      <c r="D485" s="1">
        <v>45853</v>
      </c>
      <c r="E485" s="2">
        <v>669.06</v>
      </c>
      <c r="F485" t="s">
        <v>19</v>
      </c>
      <c r="G485" t="s">
        <v>951</v>
      </c>
      <c r="H485" s="1">
        <v>45853</v>
      </c>
      <c r="I485" t="s">
        <v>941</v>
      </c>
      <c r="J485" t="str">
        <f>IF(ISBLANK(Table1[[#This Row],[PaidDate]]),"Unpaid",IF(Table1[[#This Row],[PaidDate]]&gt;Table1[[#This Row],[DueDate]],"Late",IF(Table1[[#This Row],[PaidDate]]&lt;Table1[[#This Row],[DueDate]],"Early","On Time")))</f>
        <v>On Time</v>
      </c>
      <c r="K485" t="str">
        <f ca="1">IF(AND(Table1[[#This Row],[Status]]&lt;&gt;"Paid",TODAY()&gt;Table1[[#This Row],[DueDate]]),"Overdue","OK")</f>
        <v>OK</v>
      </c>
    </row>
    <row r="486" spans="1:11" x14ac:dyDescent="0.3">
      <c r="A486" t="s">
        <v>1430</v>
      </c>
      <c r="B486" t="s">
        <v>946</v>
      </c>
      <c r="C486" s="1">
        <v>45192</v>
      </c>
      <c r="D486" s="1">
        <v>45222</v>
      </c>
      <c r="E486" s="2">
        <v>158.72</v>
      </c>
      <c r="F486" t="s">
        <v>28</v>
      </c>
      <c r="G486" t="s">
        <v>951</v>
      </c>
      <c r="H486" s="1">
        <v>45222</v>
      </c>
      <c r="I486" t="s">
        <v>941</v>
      </c>
      <c r="J486" t="str">
        <f>IF(ISBLANK(Table1[[#This Row],[PaidDate]]),"Unpaid",IF(Table1[[#This Row],[PaidDate]]&gt;Table1[[#This Row],[DueDate]],"Late",IF(Table1[[#This Row],[PaidDate]]&lt;Table1[[#This Row],[DueDate]],"Early","On Time")))</f>
        <v>On Time</v>
      </c>
      <c r="K486" t="str">
        <f ca="1">IF(AND(Table1[[#This Row],[Status]]&lt;&gt;"Paid",TODAY()&gt;Table1[[#This Row],[DueDate]]),"Overdue","OK")</f>
        <v>OK</v>
      </c>
    </row>
    <row r="487" spans="1:11" x14ac:dyDescent="0.3">
      <c r="A487" t="s">
        <v>1431</v>
      </c>
      <c r="B487" t="s">
        <v>966</v>
      </c>
      <c r="C487" s="1">
        <v>45346</v>
      </c>
      <c r="D487" s="1">
        <v>45376</v>
      </c>
      <c r="E487" s="2">
        <v>502.65</v>
      </c>
      <c r="F487" t="s">
        <v>11</v>
      </c>
      <c r="G487" t="s">
        <v>12</v>
      </c>
      <c r="I487" t="s">
        <v>941</v>
      </c>
      <c r="J487" t="str">
        <f>IF(ISBLANK(Table1[[#This Row],[PaidDate]]),"Unpaid",IF(Table1[[#This Row],[PaidDate]]&gt;Table1[[#This Row],[DueDate]],"Late",IF(Table1[[#This Row],[PaidDate]]&lt;Table1[[#This Row],[DueDate]],"Early","On Time")))</f>
        <v>Unpaid</v>
      </c>
      <c r="K487" t="str">
        <f ca="1">IF(AND(Table1[[#This Row],[Status]]&lt;&gt;"Paid",TODAY()&gt;Table1[[#This Row],[DueDate]]),"Overdue","OK")</f>
        <v>Overdue</v>
      </c>
    </row>
    <row r="488" spans="1:11" x14ac:dyDescent="0.3">
      <c r="A488" t="s">
        <v>1432</v>
      </c>
      <c r="B488" t="s">
        <v>962</v>
      </c>
      <c r="C488" s="1">
        <v>44971</v>
      </c>
      <c r="D488" s="1">
        <v>45001</v>
      </c>
      <c r="E488" s="2">
        <v>2135.0100000000002</v>
      </c>
      <c r="F488" t="s">
        <v>16</v>
      </c>
      <c r="G488" t="s">
        <v>17</v>
      </c>
      <c r="I488" t="s">
        <v>941</v>
      </c>
      <c r="J488" t="str">
        <f>IF(ISBLANK(Table1[[#This Row],[PaidDate]]),"Unpaid",IF(Table1[[#This Row],[PaidDate]]&gt;Table1[[#This Row],[DueDate]],"Late",IF(Table1[[#This Row],[PaidDate]]&lt;Table1[[#This Row],[DueDate]],"Early","On Time")))</f>
        <v>Unpaid</v>
      </c>
      <c r="K488" t="str">
        <f ca="1">IF(AND(Table1[[#This Row],[Status]]&lt;&gt;"Paid",TODAY()&gt;Table1[[#This Row],[DueDate]]),"Overdue","OK")</f>
        <v>Overdue</v>
      </c>
    </row>
    <row r="489" spans="1:11" x14ac:dyDescent="0.3">
      <c r="A489" t="s">
        <v>1433</v>
      </c>
      <c r="B489" t="s">
        <v>966</v>
      </c>
      <c r="C489" s="1">
        <v>44937</v>
      </c>
      <c r="D489" s="1">
        <v>44967</v>
      </c>
      <c r="E489" s="2">
        <v>386.6</v>
      </c>
      <c r="F489" t="s">
        <v>11</v>
      </c>
      <c r="G489" t="s">
        <v>12</v>
      </c>
      <c r="I489" t="s">
        <v>941</v>
      </c>
      <c r="J489" t="str">
        <f>IF(ISBLANK(Table1[[#This Row],[PaidDate]]),"Unpaid",IF(Table1[[#This Row],[PaidDate]]&gt;Table1[[#This Row],[DueDate]],"Late",IF(Table1[[#This Row],[PaidDate]]&lt;Table1[[#This Row],[DueDate]],"Early","On Time")))</f>
        <v>Unpaid</v>
      </c>
      <c r="K489" t="str">
        <f ca="1">IF(AND(Table1[[#This Row],[Status]]&lt;&gt;"Paid",TODAY()&gt;Table1[[#This Row],[DueDate]]),"Overdue","OK")</f>
        <v>Overdue</v>
      </c>
    </row>
    <row r="490" spans="1:11" x14ac:dyDescent="0.3">
      <c r="A490" t="s">
        <v>1434</v>
      </c>
      <c r="B490" t="s">
        <v>962</v>
      </c>
      <c r="C490" s="1">
        <v>45131</v>
      </c>
      <c r="D490" s="1">
        <v>45161</v>
      </c>
      <c r="E490" s="2">
        <v>3185.2</v>
      </c>
      <c r="F490" t="s">
        <v>11</v>
      </c>
      <c r="G490" t="s">
        <v>17</v>
      </c>
      <c r="I490" t="s">
        <v>941</v>
      </c>
      <c r="J490" t="str">
        <f>IF(ISBLANK(Table1[[#This Row],[PaidDate]]),"Unpaid",IF(Table1[[#This Row],[PaidDate]]&gt;Table1[[#This Row],[DueDate]],"Late",IF(Table1[[#This Row],[PaidDate]]&lt;Table1[[#This Row],[DueDate]],"Early","On Time")))</f>
        <v>Unpaid</v>
      </c>
      <c r="K490" t="str">
        <f ca="1">IF(AND(Table1[[#This Row],[Status]]&lt;&gt;"Paid",TODAY()&gt;Table1[[#This Row],[DueDate]]),"Overdue","OK")</f>
        <v>Overdue</v>
      </c>
    </row>
    <row r="491" spans="1:11" x14ac:dyDescent="0.3">
      <c r="A491" t="s">
        <v>1435</v>
      </c>
      <c r="B491" t="s">
        <v>962</v>
      </c>
      <c r="C491" s="1">
        <v>45387</v>
      </c>
      <c r="D491" s="1">
        <v>45417</v>
      </c>
      <c r="E491" s="2">
        <v>2817.08</v>
      </c>
      <c r="F491" t="s">
        <v>26</v>
      </c>
      <c r="G491" t="s">
        <v>12</v>
      </c>
      <c r="I491" t="s">
        <v>941</v>
      </c>
      <c r="J491" t="str">
        <f>IF(ISBLANK(Table1[[#This Row],[PaidDate]]),"Unpaid",IF(Table1[[#This Row],[PaidDate]]&gt;Table1[[#This Row],[DueDate]],"Late",IF(Table1[[#This Row],[PaidDate]]&lt;Table1[[#This Row],[DueDate]],"Early","On Time")))</f>
        <v>Unpaid</v>
      </c>
      <c r="K491" t="str">
        <f ca="1">IF(AND(Table1[[#This Row],[Status]]&lt;&gt;"Paid",TODAY()&gt;Table1[[#This Row],[DueDate]]),"Overdue","OK")</f>
        <v>Overdue</v>
      </c>
    </row>
    <row r="492" spans="1:11" x14ac:dyDescent="0.3">
      <c r="A492" t="s">
        <v>1436</v>
      </c>
      <c r="B492" t="s">
        <v>966</v>
      </c>
      <c r="C492" s="1">
        <v>44991</v>
      </c>
      <c r="D492" s="1">
        <v>45021</v>
      </c>
      <c r="E492" s="2">
        <v>3897.98</v>
      </c>
      <c r="F492" t="s">
        <v>28</v>
      </c>
      <c r="G492" t="s">
        <v>951</v>
      </c>
      <c r="H492" s="1">
        <v>45021</v>
      </c>
      <c r="I492" t="s">
        <v>941</v>
      </c>
      <c r="J492" t="str">
        <f>IF(ISBLANK(Table1[[#This Row],[PaidDate]]),"Unpaid",IF(Table1[[#This Row],[PaidDate]]&gt;Table1[[#This Row],[DueDate]],"Late",IF(Table1[[#This Row],[PaidDate]]&lt;Table1[[#This Row],[DueDate]],"Early","On Time")))</f>
        <v>On Time</v>
      </c>
      <c r="K492" t="str">
        <f ca="1">IF(AND(Table1[[#This Row],[Status]]&lt;&gt;"Paid",TODAY()&gt;Table1[[#This Row],[DueDate]]),"Overdue","OK")</f>
        <v>OK</v>
      </c>
    </row>
    <row r="493" spans="1:11" x14ac:dyDescent="0.3">
      <c r="A493" t="s">
        <v>1437</v>
      </c>
      <c r="B493" t="s">
        <v>962</v>
      </c>
      <c r="C493" s="1">
        <v>45631</v>
      </c>
      <c r="D493" s="1">
        <v>45661</v>
      </c>
      <c r="E493" s="2">
        <v>3623.95</v>
      </c>
      <c r="F493" t="s">
        <v>11</v>
      </c>
      <c r="G493" t="s">
        <v>12</v>
      </c>
      <c r="I493" t="s">
        <v>941</v>
      </c>
      <c r="J493" t="str">
        <f>IF(ISBLANK(Table1[[#This Row],[PaidDate]]),"Unpaid",IF(Table1[[#This Row],[PaidDate]]&gt;Table1[[#This Row],[DueDate]],"Late",IF(Table1[[#This Row],[PaidDate]]&lt;Table1[[#This Row],[DueDate]],"Early","On Time")))</f>
        <v>Unpaid</v>
      </c>
      <c r="K493" t="str">
        <f ca="1">IF(AND(Table1[[#This Row],[Status]]&lt;&gt;"Paid",TODAY()&gt;Table1[[#This Row],[DueDate]]),"Overdue","OK")</f>
        <v>Overdue</v>
      </c>
    </row>
    <row r="494" spans="1:11" x14ac:dyDescent="0.3">
      <c r="A494" t="s">
        <v>1438</v>
      </c>
      <c r="B494" t="s">
        <v>946</v>
      </c>
      <c r="C494" s="1">
        <v>45433</v>
      </c>
      <c r="D494" s="1">
        <v>45463</v>
      </c>
      <c r="E494" s="2">
        <v>1803.9</v>
      </c>
      <c r="F494" t="s">
        <v>11</v>
      </c>
      <c r="G494" t="s">
        <v>12</v>
      </c>
      <c r="I494" t="s">
        <v>941</v>
      </c>
      <c r="J494" t="str">
        <f>IF(ISBLANK(Table1[[#This Row],[PaidDate]]),"Unpaid",IF(Table1[[#This Row],[PaidDate]]&gt;Table1[[#This Row],[DueDate]],"Late",IF(Table1[[#This Row],[PaidDate]]&lt;Table1[[#This Row],[DueDate]],"Early","On Time")))</f>
        <v>Unpaid</v>
      </c>
      <c r="K494" t="str">
        <f ca="1">IF(AND(Table1[[#This Row],[Status]]&lt;&gt;"Paid",TODAY()&gt;Table1[[#This Row],[DueDate]]),"Overdue","OK")</f>
        <v>Overdue</v>
      </c>
    </row>
    <row r="495" spans="1:11" x14ac:dyDescent="0.3">
      <c r="A495" t="s">
        <v>1439</v>
      </c>
      <c r="B495" t="s">
        <v>940</v>
      </c>
      <c r="C495" s="1">
        <v>45106</v>
      </c>
      <c r="D495" s="1">
        <v>45136</v>
      </c>
      <c r="E495" s="2">
        <v>2543.84</v>
      </c>
      <c r="F495" t="s">
        <v>11</v>
      </c>
      <c r="G495" t="s">
        <v>12</v>
      </c>
      <c r="I495" t="s">
        <v>941</v>
      </c>
      <c r="J495" t="str">
        <f>IF(ISBLANK(Table1[[#This Row],[PaidDate]]),"Unpaid",IF(Table1[[#This Row],[PaidDate]]&gt;Table1[[#This Row],[DueDate]],"Late",IF(Table1[[#This Row],[PaidDate]]&lt;Table1[[#This Row],[DueDate]],"Early","On Time")))</f>
        <v>Unpaid</v>
      </c>
      <c r="K495" t="str">
        <f ca="1">IF(AND(Table1[[#This Row],[Status]]&lt;&gt;"Paid",TODAY()&gt;Table1[[#This Row],[DueDate]]),"Overdue","OK")</f>
        <v>Overdue</v>
      </c>
    </row>
    <row r="496" spans="1:11" x14ac:dyDescent="0.3">
      <c r="A496" t="s">
        <v>1440</v>
      </c>
      <c r="B496" t="s">
        <v>966</v>
      </c>
      <c r="C496" s="1">
        <v>45128</v>
      </c>
      <c r="D496" s="1">
        <v>45158</v>
      </c>
      <c r="E496" s="2">
        <v>292.57</v>
      </c>
      <c r="F496" t="s">
        <v>26</v>
      </c>
      <c r="G496" t="s">
        <v>17</v>
      </c>
      <c r="I496" t="s">
        <v>941</v>
      </c>
      <c r="J496" t="str">
        <f>IF(ISBLANK(Table1[[#This Row],[PaidDate]]),"Unpaid",IF(Table1[[#This Row],[PaidDate]]&gt;Table1[[#This Row],[DueDate]],"Late",IF(Table1[[#This Row],[PaidDate]]&lt;Table1[[#This Row],[DueDate]],"Early","On Time")))</f>
        <v>Unpaid</v>
      </c>
      <c r="K496" t="str">
        <f ca="1">IF(AND(Table1[[#This Row],[Status]]&lt;&gt;"Paid",TODAY()&gt;Table1[[#This Row],[DueDate]]),"Overdue","OK")</f>
        <v>Overdue</v>
      </c>
    </row>
    <row r="497" spans="1:11" x14ac:dyDescent="0.3">
      <c r="A497" t="s">
        <v>1441</v>
      </c>
      <c r="B497" t="s">
        <v>946</v>
      </c>
      <c r="C497" s="1">
        <v>45522</v>
      </c>
      <c r="D497" s="1">
        <v>45552</v>
      </c>
      <c r="E497" s="2">
        <v>688.61</v>
      </c>
      <c r="F497" t="s">
        <v>11</v>
      </c>
      <c r="G497" t="s">
        <v>951</v>
      </c>
      <c r="H497" s="1">
        <v>45552</v>
      </c>
      <c r="I497" t="s">
        <v>941</v>
      </c>
      <c r="J497" t="str">
        <f>IF(ISBLANK(Table1[[#This Row],[PaidDate]]),"Unpaid",IF(Table1[[#This Row],[PaidDate]]&gt;Table1[[#This Row],[DueDate]],"Late",IF(Table1[[#This Row],[PaidDate]]&lt;Table1[[#This Row],[DueDate]],"Early","On Time")))</f>
        <v>On Time</v>
      </c>
      <c r="K497" t="str">
        <f ca="1">IF(AND(Table1[[#This Row],[Status]]&lt;&gt;"Paid",TODAY()&gt;Table1[[#This Row],[DueDate]]),"Overdue","OK")</f>
        <v>OK</v>
      </c>
    </row>
    <row r="498" spans="1:11" x14ac:dyDescent="0.3">
      <c r="A498" t="s">
        <v>1442</v>
      </c>
      <c r="B498" t="s">
        <v>962</v>
      </c>
      <c r="C498" s="1">
        <v>45288</v>
      </c>
      <c r="D498" s="1">
        <v>45318</v>
      </c>
      <c r="E498" s="2">
        <v>1121.18</v>
      </c>
      <c r="F498" t="s">
        <v>11</v>
      </c>
      <c r="G498" t="s">
        <v>12</v>
      </c>
      <c r="I498" t="s">
        <v>941</v>
      </c>
      <c r="J498" t="str">
        <f>IF(ISBLANK(Table1[[#This Row],[PaidDate]]),"Unpaid",IF(Table1[[#This Row],[PaidDate]]&gt;Table1[[#This Row],[DueDate]],"Late",IF(Table1[[#This Row],[PaidDate]]&lt;Table1[[#This Row],[DueDate]],"Early","On Time")))</f>
        <v>Unpaid</v>
      </c>
      <c r="K498" t="str">
        <f ca="1">IF(AND(Table1[[#This Row],[Status]]&lt;&gt;"Paid",TODAY()&gt;Table1[[#This Row],[DueDate]]),"Overdue","OK")</f>
        <v>Overdue</v>
      </c>
    </row>
    <row r="499" spans="1:11" x14ac:dyDescent="0.3">
      <c r="A499" t="s">
        <v>1443</v>
      </c>
      <c r="B499" t="s">
        <v>944</v>
      </c>
      <c r="C499" s="1">
        <v>45395</v>
      </c>
      <c r="D499" s="1">
        <v>45425</v>
      </c>
      <c r="E499" s="2">
        <v>3953.98</v>
      </c>
      <c r="F499" t="s">
        <v>16</v>
      </c>
      <c r="G499" t="s">
        <v>12</v>
      </c>
      <c r="I499" t="s">
        <v>941</v>
      </c>
      <c r="J499" t="str">
        <f>IF(ISBLANK(Table1[[#This Row],[PaidDate]]),"Unpaid",IF(Table1[[#This Row],[PaidDate]]&gt;Table1[[#This Row],[DueDate]],"Late",IF(Table1[[#This Row],[PaidDate]]&lt;Table1[[#This Row],[DueDate]],"Early","On Time")))</f>
        <v>Unpaid</v>
      </c>
      <c r="K499" t="str">
        <f ca="1">IF(AND(Table1[[#This Row],[Status]]&lt;&gt;"Paid",TODAY()&gt;Table1[[#This Row],[DueDate]]),"Overdue","OK")</f>
        <v>Overdue</v>
      </c>
    </row>
    <row r="500" spans="1:11" x14ac:dyDescent="0.3">
      <c r="A500" t="s">
        <v>1444</v>
      </c>
      <c r="B500" t="s">
        <v>946</v>
      </c>
      <c r="C500" s="1">
        <v>45327</v>
      </c>
      <c r="D500" s="1">
        <v>45357</v>
      </c>
      <c r="E500" s="2">
        <v>597.75</v>
      </c>
      <c r="F500" t="s">
        <v>11</v>
      </c>
      <c r="G500" t="s">
        <v>17</v>
      </c>
      <c r="I500" t="s">
        <v>941</v>
      </c>
      <c r="J500" t="str">
        <f>IF(ISBLANK(Table1[[#This Row],[PaidDate]]),"Unpaid",IF(Table1[[#This Row],[PaidDate]]&gt;Table1[[#This Row],[DueDate]],"Late",IF(Table1[[#This Row],[PaidDate]]&lt;Table1[[#This Row],[DueDate]],"Early","On Time")))</f>
        <v>Unpaid</v>
      </c>
      <c r="K500" t="str">
        <f ca="1">IF(AND(Table1[[#This Row],[Status]]&lt;&gt;"Paid",TODAY()&gt;Table1[[#This Row],[DueDate]]),"Overdue","OK")</f>
        <v>Overdue</v>
      </c>
    </row>
    <row r="501" spans="1:11" x14ac:dyDescent="0.3">
      <c r="A501" t="s">
        <v>1445</v>
      </c>
      <c r="B501" t="s">
        <v>940</v>
      </c>
      <c r="C501" s="1">
        <v>45680</v>
      </c>
      <c r="D501" s="1">
        <v>45710</v>
      </c>
      <c r="E501" s="2">
        <v>1752.55</v>
      </c>
      <c r="F501" t="s">
        <v>11</v>
      </c>
      <c r="G501" t="s">
        <v>17</v>
      </c>
      <c r="I501" t="s">
        <v>941</v>
      </c>
      <c r="J501" t="str">
        <f>IF(ISBLANK(Table1[[#This Row],[PaidDate]]),"Unpaid",IF(Table1[[#This Row],[PaidDate]]&gt;Table1[[#This Row],[DueDate]],"Late",IF(Table1[[#This Row],[PaidDate]]&lt;Table1[[#This Row],[DueDate]],"Early","On Time")))</f>
        <v>Unpaid</v>
      </c>
      <c r="K501" t="str">
        <f ca="1">IF(AND(Table1[[#This Row],[Status]]&lt;&gt;"Paid",TODAY()&gt;Table1[[#This Row],[DueDate]]),"Overdue","OK")</f>
        <v>Overdue</v>
      </c>
    </row>
    <row r="502" spans="1:11" x14ac:dyDescent="0.3">
      <c r="A502" t="s">
        <v>1446</v>
      </c>
      <c r="B502" t="s">
        <v>946</v>
      </c>
      <c r="C502" s="1">
        <v>44998</v>
      </c>
      <c r="D502" s="1">
        <v>45028</v>
      </c>
      <c r="E502" s="2">
        <v>3490.73</v>
      </c>
      <c r="F502" t="s">
        <v>16</v>
      </c>
      <c r="G502" t="s">
        <v>17</v>
      </c>
      <c r="I502" t="s">
        <v>941</v>
      </c>
      <c r="J502" t="str">
        <f>IF(ISBLANK(Table1[[#This Row],[PaidDate]]),"Unpaid",IF(Table1[[#This Row],[PaidDate]]&gt;Table1[[#This Row],[DueDate]],"Late",IF(Table1[[#This Row],[PaidDate]]&lt;Table1[[#This Row],[DueDate]],"Early","On Time")))</f>
        <v>Unpaid</v>
      </c>
      <c r="K502" t="str">
        <f ca="1">IF(AND(Table1[[#This Row],[Status]]&lt;&gt;"Paid",TODAY()&gt;Table1[[#This Row],[DueDate]]),"Overdue","OK")</f>
        <v>Overdue</v>
      </c>
    </row>
    <row r="503" spans="1:11" x14ac:dyDescent="0.3">
      <c r="A503" t="s">
        <v>1447</v>
      </c>
      <c r="B503" t="s">
        <v>940</v>
      </c>
      <c r="C503" s="1">
        <v>45584</v>
      </c>
      <c r="D503" s="1">
        <v>45614</v>
      </c>
      <c r="E503" s="2">
        <v>1143.7</v>
      </c>
      <c r="F503" t="s">
        <v>28</v>
      </c>
      <c r="G503" t="s">
        <v>12</v>
      </c>
      <c r="I503" t="s">
        <v>941</v>
      </c>
      <c r="J503" t="str">
        <f>IF(ISBLANK(Table1[[#This Row],[PaidDate]]),"Unpaid",IF(Table1[[#This Row],[PaidDate]]&gt;Table1[[#This Row],[DueDate]],"Late",IF(Table1[[#This Row],[PaidDate]]&lt;Table1[[#This Row],[DueDate]],"Early","On Time")))</f>
        <v>Unpaid</v>
      </c>
      <c r="K503" t="str">
        <f ca="1">IF(AND(Table1[[#This Row],[Status]]&lt;&gt;"Paid",TODAY()&gt;Table1[[#This Row],[DueDate]]),"Overdue","OK")</f>
        <v>Overdue</v>
      </c>
    </row>
    <row r="504" spans="1:11" x14ac:dyDescent="0.3">
      <c r="A504" t="s">
        <v>1448</v>
      </c>
      <c r="B504" t="s">
        <v>966</v>
      </c>
      <c r="C504" s="1">
        <v>45555</v>
      </c>
      <c r="D504" s="1">
        <v>45585</v>
      </c>
      <c r="E504" s="2">
        <v>636.6</v>
      </c>
      <c r="F504" t="s">
        <v>16</v>
      </c>
      <c r="G504" t="s">
        <v>951</v>
      </c>
      <c r="H504" s="1">
        <v>45585</v>
      </c>
      <c r="I504" t="s">
        <v>941</v>
      </c>
      <c r="J504" t="str">
        <f>IF(ISBLANK(Table1[[#This Row],[PaidDate]]),"Unpaid",IF(Table1[[#This Row],[PaidDate]]&gt;Table1[[#This Row],[DueDate]],"Late",IF(Table1[[#This Row],[PaidDate]]&lt;Table1[[#This Row],[DueDate]],"Early","On Time")))</f>
        <v>On Time</v>
      </c>
      <c r="K504" t="str">
        <f ca="1">IF(AND(Table1[[#This Row],[Status]]&lt;&gt;"Paid",TODAY()&gt;Table1[[#This Row],[DueDate]]),"Overdue","OK")</f>
        <v>OK</v>
      </c>
    </row>
    <row r="505" spans="1:11" x14ac:dyDescent="0.3">
      <c r="A505" t="s">
        <v>1449</v>
      </c>
      <c r="B505" t="s">
        <v>944</v>
      </c>
      <c r="C505" s="1">
        <v>45761</v>
      </c>
      <c r="D505" s="1">
        <v>45791</v>
      </c>
      <c r="E505" s="2">
        <v>3339.54</v>
      </c>
      <c r="F505" t="s">
        <v>16</v>
      </c>
      <c r="G505" t="s">
        <v>17</v>
      </c>
      <c r="I505" t="s">
        <v>941</v>
      </c>
      <c r="J505" t="str">
        <f>IF(ISBLANK(Table1[[#This Row],[PaidDate]]),"Unpaid",IF(Table1[[#This Row],[PaidDate]]&gt;Table1[[#This Row],[DueDate]],"Late",IF(Table1[[#This Row],[PaidDate]]&lt;Table1[[#This Row],[DueDate]],"Early","On Time")))</f>
        <v>Unpaid</v>
      </c>
      <c r="K505" t="str">
        <f ca="1">IF(AND(Table1[[#This Row],[Status]]&lt;&gt;"Paid",TODAY()&gt;Table1[[#This Row],[DueDate]]),"Overdue","OK")</f>
        <v>Overdue</v>
      </c>
    </row>
    <row r="506" spans="1:11" x14ac:dyDescent="0.3">
      <c r="A506" t="s">
        <v>1450</v>
      </c>
      <c r="B506" t="s">
        <v>940</v>
      </c>
      <c r="C506" s="1">
        <v>45641</v>
      </c>
      <c r="D506" s="1">
        <v>45671</v>
      </c>
      <c r="E506" s="2">
        <v>3555.72</v>
      </c>
      <c r="F506" t="s">
        <v>16</v>
      </c>
      <c r="G506" t="s">
        <v>12</v>
      </c>
      <c r="I506" t="s">
        <v>941</v>
      </c>
      <c r="J506" t="str">
        <f>IF(ISBLANK(Table1[[#This Row],[PaidDate]]),"Unpaid",IF(Table1[[#This Row],[PaidDate]]&gt;Table1[[#This Row],[DueDate]],"Late",IF(Table1[[#This Row],[PaidDate]]&lt;Table1[[#This Row],[DueDate]],"Early","On Time")))</f>
        <v>Unpaid</v>
      </c>
      <c r="K506" t="str">
        <f ca="1">IF(AND(Table1[[#This Row],[Status]]&lt;&gt;"Paid",TODAY()&gt;Table1[[#This Row],[DueDate]]),"Overdue","OK")</f>
        <v>Overdue</v>
      </c>
    </row>
    <row r="507" spans="1:11" x14ac:dyDescent="0.3">
      <c r="A507" t="s">
        <v>1451</v>
      </c>
      <c r="B507" t="s">
        <v>946</v>
      </c>
      <c r="C507" s="1">
        <v>45777</v>
      </c>
      <c r="D507" s="1">
        <v>45807</v>
      </c>
      <c r="E507" s="2">
        <v>2971.5</v>
      </c>
      <c r="F507" t="s">
        <v>11</v>
      </c>
      <c r="G507" t="s">
        <v>17</v>
      </c>
      <c r="I507" t="s">
        <v>941</v>
      </c>
      <c r="J507" t="str">
        <f>IF(ISBLANK(Table1[[#This Row],[PaidDate]]),"Unpaid",IF(Table1[[#This Row],[PaidDate]]&gt;Table1[[#This Row],[DueDate]],"Late",IF(Table1[[#This Row],[PaidDate]]&lt;Table1[[#This Row],[DueDate]],"Early","On Time")))</f>
        <v>Unpaid</v>
      </c>
      <c r="K507" t="str">
        <f ca="1">IF(AND(Table1[[#This Row],[Status]]&lt;&gt;"Paid",TODAY()&gt;Table1[[#This Row],[DueDate]]),"Overdue","OK")</f>
        <v>Overdue</v>
      </c>
    </row>
    <row r="508" spans="1:11" x14ac:dyDescent="0.3">
      <c r="A508" t="s">
        <v>1452</v>
      </c>
      <c r="B508" t="s">
        <v>940</v>
      </c>
      <c r="C508" s="1">
        <v>45786</v>
      </c>
      <c r="D508" s="1">
        <v>45816</v>
      </c>
      <c r="E508" s="2">
        <v>2945.39</v>
      </c>
      <c r="F508" t="s">
        <v>28</v>
      </c>
      <c r="G508" t="s">
        <v>951</v>
      </c>
      <c r="H508" s="1">
        <v>45816</v>
      </c>
      <c r="I508" t="s">
        <v>941</v>
      </c>
      <c r="J508" t="str">
        <f>IF(ISBLANK(Table1[[#This Row],[PaidDate]]),"Unpaid",IF(Table1[[#This Row],[PaidDate]]&gt;Table1[[#This Row],[DueDate]],"Late",IF(Table1[[#This Row],[PaidDate]]&lt;Table1[[#This Row],[DueDate]],"Early","On Time")))</f>
        <v>On Time</v>
      </c>
      <c r="K508" t="str">
        <f ca="1">IF(AND(Table1[[#This Row],[Status]]&lt;&gt;"Paid",TODAY()&gt;Table1[[#This Row],[DueDate]]),"Overdue","OK")</f>
        <v>OK</v>
      </c>
    </row>
    <row r="509" spans="1:11" x14ac:dyDescent="0.3">
      <c r="A509" t="s">
        <v>1453</v>
      </c>
      <c r="B509" t="s">
        <v>946</v>
      </c>
      <c r="C509" s="1">
        <v>45472</v>
      </c>
      <c r="D509" s="1">
        <v>45502</v>
      </c>
      <c r="E509" s="2">
        <v>4563.8</v>
      </c>
      <c r="F509" t="s">
        <v>19</v>
      </c>
      <c r="G509" t="s">
        <v>951</v>
      </c>
      <c r="H509" s="1">
        <v>45502</v>
      </c>
      <c r="I509" t="s">
        <v>941</v>
      </c>
      <c r="J509" t="str">
        <f>IF(ISBLANK(Table1[[#This Row],[PaidDate]]),"Unpaid",IF(Table1[[#This Row],[PaidDate]]&gt;Table1[[#This Row],[DueDate]],"Late",IF(Table1[[#This Row],[PaidDate]]&lt;Table1[[#This Row],[DueDate]],"Early","On Time")))</f>
        <v>On Time</v>
      </c>
      <c r="K509" t="str">
        <f ca="1">IF(AND(Table1[[#This Row],[Status]]&lt;&gt;"Paid",TODAY()&gt;Table1[[#This Row],[DueDate]]),"Overdue","OK")</f>
        <v>OK</v>
      </c>
    </row>
    <row r="510" spans="1:11" x14ac:dyDescent="0.3">
      <c r="A510" t="s">
        <v>1454</v>
      </c>
      <c r="B510" t="s">
        <v>946</v>
      </c>
      <c r="C510" s="1">
        <v>45002</v>
      </c>
      <c r="D510" s="1">
        <v>45032</v>
      </c>
      <c r="E510" s="2">
        <v>3590.5</v>
      </c>
      <c r="F510" t="s">
        <v>28</v>
      </c>
      <c r="G510" t="s">
        <v>17</v>
      </c>
      <c r="I510" t="s">
        <v>941</v>
      </c>
      <c r="J510" t="str">
        <f>IF(ISBLANK(Table1[[#This Row],[PaidDate]]),"Unpaid",IF(Table1[[#This Row],[PaidDate]]&gt;Table1[[#This Row],[DueDate]],"Late",IF(Table1[[#This Row],[PaidDate]]&lt;Table1[[#This Row],[DueDate]],"Early","On Time")))</f>
        <v>Unpaid</v>
      </c>
      <c r="K510" t="str">
        <f ca="1">IF(AND(Table1[[#This Row],[Status]]&lt;&gt;"Paid",TODAY()&gt;Table1[[#This Row],[DueDate]]),"Overdue","OK")</f>
        <v>Overdue</v>
      </c>
    </row>
    <row r="511" spans="1:11" x14ac:dyDescent="0.3">
      <c r="A511" t="s">
        <v>1455</v>
      </c>
      <c r="B511" t="s">
        <v>946</v>
      </c>
      <c r="C511" s="1">
        <v>44948</v>
      </c>
      <c r="D511" s="1">
        <v>44978</v>
      </c>
      <c r="E511" s="2">
        <v>1989.22</v>
      </c>
      <c r="F511" t="s">
        <v>16</v>
      </c>
      <c r="G511" t="s">
        <v>12</v>
      </c>
      <c r="I511" t="s">
        <v>941</v>
      </c>
      <c r="J511" t="str">
        <f>IF(ISBLANK(Table1[[#This Row],[PaidDate]]),"Unpaid",IF(Table1[[#This Row],[PaidDate]]&gt;Table1[[#This Row],[DueDate]],"Late",IF(Table1[[#This Row],[PaidDate]]&lt;Table1[[#This Row],[DueDate]],"Early","On Time")))</f>
        <v>Unpaid</v>
      </c>
      <c r="K511" t="str">
        <f ca="1">IF(AND(Table1[[#This Row],[Status]]&lt;&gt;"Paid",TODAY()&gt;Table1[[#This Row],[DueDate]]),"Overdue","OK")</f>
        <v>Overdue</v>
      </c>
    </row>
    <row r="512" spans="1:11" x14ac:dyDescent="0.3">
      <c r="A512" t="s">
        <v>1456</v>
      </c>
      <c r="B512" t="s">
        <v>940</v>
      </c>
      <c r="C512" s="1">
        <v>44930</v>
      </c>
      <c r="D512" s="1">
        <v>44960</v>
      </c>
      <c r="E512" s="2">
        <v>4650.78</v>
      </c>
      <c r="F512" t="s">
        <v>26</v>
      </c>
      <c r="G512" t="s">
        <v>17</v>
      </c>
      <c r="I512" t="s">
        <v>941</v>
      </c>
      <c r="J512" t="str">
        <f>IF(ISBLANK(Table1[[#This Row],[PaidDate]]),"Unpaid",IF(Table1[[#This Row],[PaidDate]]&gt;Table1[[#This Row],[DueDate]],"Late",IF(Table1[[#This Row],[PaidDate]]&lt;Table1[[#This Row],[DueDate]],"Early","On Time")))</f>
        <v>Unpaid</v>
      </c>
      <c r="K512" t="str">
        <f ca="1">IF(AND(Table1[[#This Row],[Status]]&lt;&gt;"Paid",TODAY()&gt;Table1[[#This Row],[DueDate]]),"Overdue","OK")</f>
        <v>Overdue</v>
      </c>
    </row>
    <row r="513" spans="1:11" x14ac:dyDescent="0.3">
      <c r="A513" t="s">
        <v>1457</v>
      </c>
      <c r="B513" t="s">
        <v>966</v>
      </c>
      <c r="C513" s="1">
        <v>45118</v>
      </c>
      <c r="D513" s="1">
        <v>45148</v>
      </c>
      <c r="E513" s="2">
        <v>3071.51</v>
      </c>
      <c r="F513" t="s">
        <v>26</v>
      </c>
      <c r="G513" t="s">
        <v>12</v>
      </c>
      <c r="I513" t="s">
        <v>941</v>
      </c>
      <c r="J513" t="str">
        <f>IF(ISBLANK(Table1[[#This Row],[PaidDate]]),"Unpaid",IF(Table1[[#This Row],[PaidDate]]&gt;Table1[[#This Row],[DueDate]],"Late",IF(Table1[[#This Row],[PaidDate]]&lt;Table1[[#This Row],[DueDate]],"Early","On Time")))</f>
        <v>Unpaid</v>
      </c>
      <c r="K513" t="str">
        <f ca="1">IF(AND(Table1[[#This Row],[Status]]&lt;&gt;"Paid",TODAY()&gt;Table1[[#This Row],[DueDate]]),"Overdue","OK")</f>
        <v>Overdue</v>
      </c>
    </row>
    <row r="514" spans="1:11" x14ac:dyDescent="0.3">
      <c r="A514" t="s">
        <v>1458</v>
      </c>
      <c r="B514" t="s">
        <v>946</v>
      </c>
      <c r="C514" s="1">
        <v>45196</v>
      </c>
      <c r="D514" s="1">
        <v>45226</v>
      </c>
      <c r="E514" s="2">
        <v>4956.1099999999997</v>
      </c>
      <c r="F514" t="s">
        <v>19</v>
      </c>
      <c r="G514" t="s">
        <v>17</v>
      </c>
      <c r="I514" t="s">
        <v>941</v>
      </c>
      <c r="J514" t="str">
        <f>IF(ISBLANK(Table1[[#This Row],[PaidDate]]),"Unpaid",IF(Table1[[#This Row],[PaidDate]]&gt;Table1[[#This Row],[DueDate]],"Late",IF(Table1[[#This Row],[PaidDate]]&lt;Table1[[#This Row],[DueDate]],"Early","On Time")))</f>
        <v>Unpaid</v>
      </c>
      <c r="K514" t="str">
        <f ca="1">IF(AND(Table1[[#This Row],[Status]]&lt;&gt;"Paid",TODAY()&gt;Table1[[#This Row],[DueDate]]),"Overdue","OK")</f>
        <v>Overdue</v>
      </c>
    </row>
    <row r="515" spans="1:11" x14ac:dyDescent="0.3">
      <c r="A515" t="s">
        <v>1459</v>
      </c>
      <c r="B515" t="s">
        <v>940</v>
      </c>
      <c r="C515" s="1">
        <v>45446</v>
      </c>
      <c r="D515" s="1">
        <v>45476</v>
      </c>
      <c r="E515" s="2">
        <v>2561.35</v>
      </c>
      <c r="F515" t="s">
        <v>28</v>
      </c>
      <c r="G515" t="s">
        <v>17</v>
      </c>
      <c r="I515" t="s">
        <v>941</v>
      </c>
      <c r="J515" t="str">
        <f>IF(ISBLANK(Table1[[#This Row],[PaidDate]]),"Unpaid",IF(Table1[[#This Row],[PaidDate]]&gt;Table1[[#This Row],[DueDate]],"Late",IF(Table1[[#This Row],[PaidDate]]&lt;Table1[[#This Row],[DueDate]],"Early","On Time")))</f>
        <v>Unpaid</v>
      </c>
      <c r="K515" t="str">
        <f ca="1">IF(AND(Table1[[#This Row],[Status]]&lt;&gt;"Paid",TODAY()&gt;Table1[[#This Row],[DueDate]]),"Overdue","OK")</f>
        <v>Overdue</v>
      </c>
    </row>
    <row r="516" spans="1:11" x14ac:dyDescent="0.3">
      <c r="A516" t="s">
        <v>1460</v>
      </c>
      <c r="B516" t="s">
        <v>946</v>
      </c>
      <c r="C516" s="1">
        <v>45637</v>
      </c>
      <c r="D516" s="1">
        <v>45667</v>
      </c>
      <c r="E516" s="2">
        <v>3812.86</v>
      </c>
      <c r="F516" t="s">
        <v>19</v>
      </c>
      <c r="G516" t="s">
        <v>17</v>
      </c>
      <c r="I516" t="s">
        <v>941</v>
      </c>
      <c r="J516" t="str">
        <f>IF(ISBLANK(Table1[[#This Row],[PaidDate]]),"Unpaid",IF(Table1[[#This Row],[PaidDate]]&gt;Table1[[#This Row],[DueDate]],"Late",IF(Table1[[#This Row],[PaidDate]]&lt;Table1[[#This Row],[DueDate]],"Early","On Time")))</f>
        <v>Unpaid</v>
      </c>
      <c r="K516" t="str">
        <f ca="1">IF(AND(Table1[[#This Row],[Status]]&lt;&gt;"Paid",TODAY()&gt;Table1[[#This Row],[DueDate]]),"Overdue","OK")</f>
        <v>Overdue</v>
      </c>
    </row>
    <row r="517" spans="1:11" x14ac:dyDescent="0.3">
      <c r="A517" t="s">
        <v>1461</v>
      </c>
      <c r="B517" t="s">
        <v>944</v>
      </c>
      <c r="C517" s="1">
        <v>45291</v>
      </c>
      <c r="D517" s="1">
        <v>45321</v>
      </c>
      <c r="E517" s="2">
        <v>4798.3</v>
      </c>
      <c r="F517" t="s">
        <v>26</v>
      </c>
      <c r="G517" t="s">
        <v>17</v>
      </c>
      <c r="I517" t="s">
        <v>941</v>
      </c>
      <c r="J517" t="str">
        <f>IF(ISBLANK(Table1[[#This Row],[PaidDate]]),"Unpaid",IF(Table1[[#This Row],[PaidDate]]&gt;Table1[[#This Row],[DueDate]],"Late",IF(Table1[[#This Row],[PaidDate]]&lt;Table1[[#This Row],[DueDate]],"Early","On Time")))</f>
        <v>Unpaid</v>
      </c>
      <c r="K517" t="str">
        <f ca="1">IF(AND(Table1[[#This Row],[Status]]&lt;&gt;"Paid",TODAY()&gt;Table1[[#This Row],[DueDate]]),"Overdue","OK")</f>
        <v>Overdue</v>
      </c>
    </row>
    <row r="518" spans="1:11" x14ac:dyDescent="0.3">
      <c r="A518" t="s">
        <v>1462</v>
      </c>
      <c r="B518" t="s">
        <v>944</v>
      </c>
      <c r="C518" s="1">
        <v>45538</v>
      </c>
      <c r="D518" s="1">
        <v>45568</v>
      </c>
      <c r="E518" s="2">
        <v>2626.26</v>
      </c>
      <c r="F518" t="s">
        <v>26</v>
      </c>
      <c r="G518" t="s">
        <v>17</v>
      </c>
      <c r="I518" t="s">
        <v>941</v>
      </c>
      <c r="J518" t="str">
        <f>IF(ISBLANK(Table1[[#This Row],[PaidDate]]),"Unpaid",IF(Table1[[#This Row],[PaidDate]]&gt;Table1[[#This Row],[DueDate]],"Late",IF(Table1[[#This Row],[PaidDate]]&lt;Table1[[#This Row],[DueDate]],"Early","On Time")))</f>
        <v>Unpaid</v>
      </c>
      <c r="K518" t="str">
        <f ca="1">IF(AND(Table1[[#This Row],[Status]]&lt;&gt;"Paid",TODAY()&gt;Table1[[#This Row],[DueDate]]),"Overdue","OK")</f>
        <v>Overdue</v>
      </c>
    </row>
    <row r="519" spans="1:11" x14ac:dyDescent="0.3">
      <c r="A519" t="s">
        <v>1463</v>
      </c>
      <c r="B519" t="s">
        <v>966</v>
      </c>
      <c r="C519" s="1">
        <v>45173</v>
      </c>
      <c r="D519" s="1">
        <v>45203</v>
      </c>
      <c r="E519" s="2">
        <v>1667.91</v>
      </c>
      <c r="F519" t="s">
        <v>26</v>
      </c>
      <c r="G519" t="s">
        <v>17</v>
      </c>
      <c r="I519" t="s">
        <v>941</v>
      </c>
      <c r="J519" t="str">
        <f>IF(ISBLANK(Table1[[#This Row],[PaidDate]]),"Unpaid",IF(Table1[[#This Row],[PaidDate]]&gt;Table1[[#This Row],[DueDate]],"Late",IF(Table1[[#This Row],[PaidDate]]&lt;Table1[[#This Row],[DueDate]],"Early","On Time")))</f>
        <v>Unpaid</v>
      </c>
      <c r="K519" t="str">
        <f ca="1">IF(AND(Table1[[#This Row],[Status]]&lt;&gt;"Paid",TODAY()&gt;Table1[[#This Row],[DueDate]]),"Overdue","OK")</f>
        <v>Overdue</v>
      </c>
    </row>
    <row r="520" spans="1:11" x14ac:dyDescent="0.3">
      <c r="A520" t="s">
        <v>1464</v>
      </c>
      <c r="B520" t="s">
        <v>940</v>
      </c>
      <c r="C520" s="1">
        <v>45825</v>
      </c>
      <c r="D520" s="1">
        <v>45855</v>
      </c>
      <c r="E520" s="2">
        <v>556.64</v>
      </c>
      <c r="F520" t="s">
        <v>11</v>
      </c>
      <c r="G520" t="s">
        <v>12</v>
      </c>
      <c r="I520" t="s">
        <v>941</v>
      </c>
      <c r="J520" t="str">
        <f>IF(ISBLANK(Table1[[#This Row],[PaidDate]]),"Unpaid",IF(Table1[[#This Row],[PaidDate]]&gt;Table1[[#This Row],[DueDate]],"Late",IF(Table1[[#This Row],[PaidDate]]&lt;Table1[[#This Row],[DueDate]],"Early","On Time")))</f>
        <v>Unpaid</v>
      </c>
      <c r="K520" t="str">
        <f ca="1">IF(AND(Table1[[#This Row],[Status]]&lt;&gt;"Paid",TODAY()&gt;Table1[[#This Row],[DueDate]]),"Overdue","OK")</f>
        <v>Overdue</v>
      </c>
    </row>
    <row r="521" spans="1:11" x14ac:dyDescent="0.3">
      <c r="A521" t="s">
        <v>1465</v>
      </c>
      <c r="B521" t="s">
        <v>962</v>
      </c>
      <c r="C521" s="1">
        <v>45671</v>
      </c>
      <c r="D521" s="1">
        <v>45701</v>
      </c>
      <c r="E521" s="2">
        <v>2084.02</v>
      </c>
      <c r="F521" t="s">
        <v>16</v>
      </c>
      <c r="G521" t="s">
        <v>12</v>
      </c>
      <c r="I521" t="s">
        <v>941</v>
      </c>
      <c r="J521" t="str">
        <f>IF(ISBLANK(Table1[[#This Row],[PaidDate]]),"Unpaid",IF(Table1[[#This Row],[PaidDate]]&gt;Table1[[#This Row],[DueDate]],"Late",IF(Table1[[#This Row],[PaidDate]]&lt;Table1[[#This Row],[DueDate]],"Early","On Time")))</f>
        <v>Unpaid</v>
      </c>
      <c r="K521" t="str">
        <f ca="1">IF(AND(Table1[[#This Row],[Status]]&lt;&gt;"Paid",TODAY()&gt;Table1[[#This Row],[DueDate]]),"Overdue","OK")</f>
        <v>Overdue</v>
      </c>
    </row>
    <row r="522" spans="1:11" x14ac:dyDescent="0.3">
      <c r="A522" t="s">
        <v>1466</v>
      </c>
      <c r="B522" t="s">
        <v>966</v>
      </c>
      <c r="C522" s="1">
        <v>45348</v>
      </c>
      <c r="D522" s="1">
        <v>45378</v>
      </c>
      <c r="E522" s="2">
        <v>1225.05</v>
      </c>
      <c r="F522" t="s">
        <v>19</v>
      </c>
      <c r="G522" t="s">
        <v>12</v>
      </c>
      <c r="I522" t="s">
        <v>941</v>
      </c>
      <c r="J522" t="str">
        <f>IF(ISBLANK(Table1[[#This Row],[PaidDate]]),"Unpaid",IF(Table1[[#This Row],[PaidDate]]&gt;Table1[[#This Row],[DueDate]],"Late",IF(Table1[[#This Row],[PaidDate]]&lt;Table1[[#This Row],[DueDate]],"Early","On Time")))</f>
        <v>Unpaid</v>
      </c>
      <c r="K522" t="str">
        <f ca="1">IF(AND(Table1[[#This Row],[Status]]&lt;&gt;"Paid",TODAY()&gt;Table1[[#This Row],[DueDate]]),"Overdue","OK")</f>
        <v>Overdue</v>
      </c>
    </row>
    <row r="523" spans="1:11" x14ac:dyDescent="0.3">
      <c r="A523" t="s">
        <v>1467</v>
      </c>
      <c r="B523" t="s">
        <v>944</v>
      </c>
      <c r="C523" s="1">
        <v>44937</v>
      </c>
      <c r="D523" s="1">
        <v>44967</v>
      </c>
      <c r="E523" s="2">
        <v>1607.66</v>
      </c>
      <c r="F523" t="s">
        <v>28</v>
      </c>
      <c r="G523" t="s">
        <v>12</v>
      </c>
      <c r="I523" t="s">
        <v>941</v>
      </c>
      <c r="J523" t="str">
        <f>IF(ISBLANK(Table1[[#This Row],[PaidDate]]),"Unpaid",IF(Table1[[#This Row],[PaidDate]]&gt;Table1[[#This Row],[DueDate]],"Late",IF(Table1[[#This Row],[PaidDate]]&lt;Table1[[#This Row],[DueDate]],"Early","On Time")))</f>
        <v>Unpaid</v>
      </c>
      <c r="K523" t="str">
        <f ca="1">IF(AND(Table1[[#This Row],[Status]]&lt;&gt;"Paid",TODAY()&gt;Table1[[#This Row],[DueDate]]),"Overdue","OK")</f>
        <v>Overdue</v>
      </c>
    </row>
    <row r="524" spans="1:11" x14ac:dyDescent="0.3">
      <c r="A524" t="s">
        <v>1468</v>
      </c>
      <c r="B524" t="s">
        <v>940</v>
      </c>
      <c r="C524" s="1">
        <v>45452</v>
      </c>
      <c r="D524" s="1">
        <v>45482</v>
      </c>
      <c r="E524" s="2">
        <v>2772.97</v>
      </c>
      <c r="F524" t="s">
        <v>19</v>
      </c>
      <c r="G524" t="s">
        <v>951</v>
      </c>
      <c r="H524" s="1">
        <v>45482</v>
      </c>
      <c r="I524" t="s">
        <v>941</v>
      </c>
      <c r="J524" t="str">
        <f>IF(ISBLANK(Table1[[#This Row],[PaidDate]]),"Unpaid",IF(Table1[[#This Row],[PaidDate]]&gt;Table1[[#This Row],[DueDate]],"Late",IF(Table1[[#This Row],[PaidDate]]&lt;Table1[[#This Row],[DueDate]],"Early","On Time")))</f>
        <v>On Time</v>
      </c>
      <c r="K524" t="str">
        <f ca="1">IF(AND(Table1[[#This Row],[Status]]&lt;&gt;"Paid",TODAY()&gt;Table1[[#This Row],[DueDate]]),"Overdue","OK")</f>
        <v>OK</v>
      </c>
    </row>
    <row r="525" spans="1:11" x14ac:dyDescent="0.3">
      <c r="A525" t="s">
        <v>1469</v>
      </c>
      <c r="B525" t="s">
        <v>962</v>
      </c>
      <c r="C525" s="1">
        <v>45596</v>
      </c>
      <c r="D525" s="1">
        <v>45626</v>
      </c>
      <c r="E525" s="2">
        <v>1641.38</v>
      </c>
      <c r="F525" t="s">
        <v>28</v>
      </c>
      <c r="G525" t="s">
        <v>12</v>
      </c>
      <c r="I525" t="s">
        <v>941</v>
      </c>
      <c r="J525" t="str">
        <f>IF(ISBLANK(Table1[[#This Row],[PaidDate]]),"Unpaid",IF(Table1[[#This Row],[PaidDate]]&gt;Table1[[#This Row],[DueDate]],"Late",IF(Table1[[#This Row],[PaidDate]]&lt;Table1[[#This Row],[DueDate]],"Early","On Time")))</f>
        <v>Unpaid</v>
      </c>
      <c r="K525" t="str">
        <f ca="1">IF(AND(Table1[[#This Row],[Status]]&lt;&gt;"Paid",TODAY()&gt;Table1[[#This Row],[DueDate]]),"Overdue","OK")</f>
        <v>Overdue</v>
      </c>
    </row>
    <row r="526" spans="1:11" x14ac:dyDescent="0.3">
      <c r="A526" t="s">
        <v>1470</v>
      </c>
      <c r="B526" t="s">
        <v>946</v>
      </c>
      <c r="C526" s="1">
        <v>45539</v>
      </c>
      <c r="D526" s="1">
        <v>45569</v>
      </c>
      <c r="E526" s="2">
        <v>549.14</v>
      </c>
      <c r="F526" t="s">
        <v>28</v>
      </c>
      <c r="G526" t="s">
        <v>951</v>
      </c>
      <c r="H526" s="1">
        <v>45569</v>
      </c>
      <c r="I526" t="s">
        <v>941</v>
      </c>
      <c r="J526" t="str">
        <f>IF(ISBLANK(Table1[[#This Row],[PaidDate]]),"Unpaid",IF(Table1[[#This Row],[PaidDate]]&gt;Table1[[#This Row],[DueDate]],"Late",IF(Table1[[#This Row],[PaidDate]]&lt;Table1[[#This Row],[DueDate]],"Early","On Time")))</f>
        <v>On Time</v>
      </c>
      <c r="K526" t="str">
        <f ca="1">IF(AND(Table1[[#This Row],[Status]]&lt;&gt;"Paid",TODAY()&gt;Table1[[#This Row],[DueDate]]),"Overdue","OK")</f>
        <v>OK</v>
      </c>
    </row>
    <row r="527" spans="1:11" x14ac:dyDescent="0.3">
      <c r="A527" t="s">
        <v>1471</v>
      </c>
      <c r="B527" t="s">
        <v>966</v>
      </c>
      <c r="C527" s="1">
        <v>45558</v>
      </c>
      <c r="D527" s="1">
        <v>45588</v>
      </c>
      <c r="E527" s="2">
        <v>3700.73</v>
      </c>
      <c r="F527" t="s">
        <v>19</v>
      </c>
      <c r="G527" t="s">
        <v>17</v>
      </c>
      <c r="I527" t="s">
        <v>941</v>
      </c>
      <c r="J527" t="str">
        <f>IF(ISBLANK(Table1[[#This Row],[PaidDate]]),"Unpaid",IF(Table1[[#This Row],[PaidDate]]&gt;Table1[[#This Row],[DueDate]],"Late",IF(Table1[[#This Row],[PaidDate]]&lt;Table1[[#This Row],[DueDate]],"Early","On Time")))</f>
        <v>Unpaid</v>
      </c>
      <c r="K527" t="str">
        <f ca="1">IF(AND(Table1[[#This Row],[Status]]&lt;&gt;"Paid",TODAY()&gt;Table1[[#This Row],[DueDate]]),"Overdue","OK")</f>
        <v>Overdue</v>
      </c>
    </row>
    <row r="528" spans="1:11" x14ac:dyDescent="0.3">
      <c r="A528" t="s">
        <v>1472</v>
      </c>
      <c r="B528" t="s">
        <v>966</v>
      </c>
      <c r="C528" s="1">
        <v>45315</v>
      </c>
      <c r="D528" s="1">
        <v>45345</v>
      </c>
      <c r="E528" s="2">
        <v>1616.2</v>
      </c>
      <c r="F528" t="s">
        <v>26</v>
      </c>
      <c r="G528" t="s">
        <v>12</v>
      </c>
      <c r="I528" t="s">
        <v>941</v>
      </c>
      <c r="J528" t="str">
        <f>IF(ISBLANK(Table1[[#This Row],[PaidDate]]),"Unpaid",IF(Table1[[#This Row],[PaidDate]]&gt;Table1[[#This Row],[DueDate]],"Late",IF(Table1[[#This Row],[PaidDate]]&lt;Table1[[#This Row],[DueDate]],"Early","On Time")))</f>
        <v>Unpaid</v>
      </c>
      <c r="K528" t="str">
        <f ca="1">IF(AND(Table1[[#This Row],[Status]]&lt;&gt;"Paid",TODAY()&gt;Table1[[#This Row],[DueDate]]),"Overdue","OK")</f>
        <v>Overdue</v>
      </c>
    </row>
    <row r="529" spans="1:11" x14ac:dyDescent="0.3">
      <c r="A529" t="s">
        <v>1473</v>
      </c>
      <c r="B529" t="s">
        <v>940</v>
      </c>
      <c r="C529" s="1">
        <v>45718</v>
      </c>
      <c r="D529" s="1">
        <v>45748</v>
      </c>
      <c r="E529" s="2">
        <v>233.75</v>
      </c>
      <c r="F529" t="s">
        <v>16</v>
      </c>
      <c r="G529" t="s">
        <v>12</v>
      </c>
      <c r="I529" t="s">
        <v>941</v>
      </c>
      <c r="J529" t="str">
        <f>IF(ISBLANK(Table1[[#This Row],[PaidDate]]),"Unpaid",IF(Table1[[#This Row],[PaidDate]]&gt;Table1[[#This Row],[DueDate]],"Late",IF(Table1[[#This Row],[PaidDate]]&lt;Table1[[#This Row],[DueDate]],"Early","On Time")))</f>
        <v>Unpaid</v>
      </c>
      <c r="K529" t="str">
        <f ca="1">IF(AND(Table1[[#This Row],[Status]]&lt;&gt;"Paid",TODAY()&gt;Table1[[#This Row],[DueDate]]),"Overdue","OK")</f>
        <v>Overdue</v>
      </c>
    </row>
    <row r="530" spans="1:11" x14ac:dyDescent="0.3">
      <c r="A530" t="s">
        <v>1474</v>
      </c>
      <c r="B530" t="s">
        <v>940</v>
      </c>
      <c r="C530" s="1">
        <v>45581</v>
      </c>
      <c r="D530" s="1">
        <v>45611</v>
      </c>
      <c r="E530" s="2">
        <v>1198.76</v>
      </c>
      <c r="F530" t="s">
        <v>28</v>
      </c>
      <c r="G530" t="s">
        <v>12</v>
      </c>
      <c r="I530" t="s">
        <v>941</v>
      </c>
      <c r="J530" t="str">
        <f>IF(ISBLANK(Table1[[#This Row],[PaidDate]]),"Unpaid",IF(Table1[[#This Row],[PaidDate]]&gt;Table1[[#This Row],[DueDate]],"Late",IF(Table1[[#This Row],[PaidDate]]&lt;Table1[[#This Row],[DueDate]],"Early","On Time")))</f>
        <v>Unpaid</v>
      </c>
      <c r="K530" t="str">
        <f ca="1">IF(AND(Table1[[#This Row],[Status]]&lt;&gt;"Paid",TODAY()&gt;Table1[[#This Row],[DueDate]]),"Overdue","OK")</f>
        <v>Overdue</v>
      </c>
    </row>
    <row r="531" spans="1:11" x14ac:dyDescent="0.3">
      <c r="A531" t="s">
        <v>1475</v>
      </c>
      <c r="B531" t="s">
        <v>966</v>
      </c>
      <c r="C531" s="1">
        <v>45826</v>
      </c>
      <c r="D531" s="1">
        <v>45856</v>
      </c>
      <c r="E531" s="2">
        <v>1819.59</v>
      </c>
      <c r="F531" t="s">
        <v>19</v>
      </c>
      <c r="G531" t="s">
        <v>12</v>
      </c>
      <c r="I531" t="s">
        <v>941</v>
      </c>
      <c r="J531" t="str">
        <f>IF(ISBLANK(Table1[[#This Row],[PaidDate]]),"Unpaid",IF(Table1[[#This Row],[PaidDate]]&gt;Table1[[#This Row],[DueDate]],"Late",IF(Table1[[#This Row],[PaidDate]]&lt;Table1[[#This Row],[DueDate]],"Early","On Time")))</f>
        <v>Unpaid</v>
      </c>
      <c r="K531" t="str">
        <f ca="1">IF(AND(Table1[[#This Row],[Status]]&lt;&gt;"Paid",TODAY()&gt;Table1[[#This Row],[DueDate]]),"Overdue","OK")</f>
        <v>Overdue</v>
      </c>
    </row>
    <row r="532" spans="1:11" x14ac:dyDescent="0.3">
      <c r="A532" t="s">
        <v>1476</v>
      </c>
      <c r="B532" t="s">
        <v>966</v>
      </c>
      <c r="C532" s="1">
        <v>45690</v>
      </c>
      <c r="D532" s="1">
        <v>45720</v>
      </c>
      <c r="E532" s="2">
        <v>3747.3</v>
      </c>
      <c r="F532" t="s">
        <v>26</v>
      </c>
      <c r="G532" t="s">
        <v>951</v>
      </c>
      <c r="H532" s="1">
        <v>45720</v>
      </c>
      <c r="I532" t="s">
        <v>941</v>
      </c>
      <c r="J532" t="str">
        <f>IF(ISBLANK(Table1[[#This Row],[PaidDate]]),"Unpaid",IF(Table1[[#This Row],[PaidDate]]&gt;Table1[[#This Row],[DueDate]],"Late",IF(Table1[[#This Row],[PaidDate]]&lt;Table1[[#This Row],[DueDate]],"Early","On Time")))</f>
        <v>On Time</v>
      </c>
      <c r="K532" t="str">
        <f ca="1">IF(AND(Table1[[#This Row],[Status]]&lt;&gt;"Paid",TODAY()&gt;Table1[[#This Row],[DueDate]]),"Overdue","OK")</f>
        <v>OK</v>
      </c>
    </row>
    <row r="533" spans="1:11" x14ac:dyDescent="0.3">
      <c r="A533" t="s">
        <v>1477</v>
      </c>
      <c r="B533" t="s">
        <v>944</v>
      </c>
      <c r="C533" s="1">
        <v>45154</v>
      </c>
      <c r="D533" s="1">
        <v>45184</v>
      </c>
      <c r="E533" s="2">
        <v>4706.8100000000004</v>
      </c>
      <c r="F533" t="s">
        <v>16</v>
      </c>
      <c r="G533" t="s">
        <v>951</v>
      </c>
      <c r="H533" s="1">
        <v>45184</v>
      </c>
      <c r="I533" t="s">
        <v>941</v>
      </c>
      <c r="J533" t="str">
        <f>IF(ISBLANK(Table1[[#This Row],[PaidDate]]),"Unpaid",IF(Table1[[#This Row],[PaidDate]]&gt;Table1[[#This Row],[DueDate]],"Late",IF(Table1[[#This Row],[PaidDate]]&lt;Table1[[#This Row],[DueDate]],"Early","On Time")))</f>
        <v>On Time</v>
      </c>
      <c r="K533" t="str">
        <f ca="1">IF(AND(Table1[[#This Row],[Status]]&lt;&gt;"Paid",TODAY()&gt;Table1[[#This Row],[DueDate]]),"Overdue","OK")</f>
        <v>OK</v>
      </c>
    </row>
    <row r="534" spans="1:11" x14ac:dyDescent="0.3">
      <c r="A534" t="s">
        <v>1478</v>
      </c>
      <c r="B534" t="s">
        <v>962</v>
      </c>
      <c r="C534" s="1">
        <v>45782</v>
      </c>
      <c r="D534" s="1">
        <v>45812</v>
      </c>
      <c r="E534" s="2">
        <v>2329.4299999999998</v>
      </c>
      <c r="F534" t="s">
        <v>26</v>
      </c>
      <c r="G534" t="s">
        <v>12</v>
      </c>
      <c r="I534" t="s">
        <v>941</v>
      </c>
      <c r="J534" t="str">
        <f>IF(ISBLANK(Table1[[#This Row],[PaidDate]]),"Unpaid",IF(Table1[[#This Row],[PaidDate]]&gt;Table1[[#This Row],[DueDate]],"Late",IF(Table1[[#This Row],[PaidDate]]&lt;Table1[[#This Row],[DueDate]],"Early","On Time")))</f>
        <v>Unpaid</v>
      </c>
      <c r="K534" t="str">
        <f ca="1">IF(AND(Table1[[#This Row],[Status]]&lt;&gt;"Paid",TODAY()&gt;Table1[[#This Row],[DueDate]]),"Overdue","OK")</f>
        <v>Overdue</v>
      </c>
    </row>
    <row r="535" spans="1:11" x14ac:dyDescent="0.3">
      <c r="A535" t="s">
        <v>1479</v>
      </c>
      <c r="B535" t="s">
        <v>946</v>
      </c>
      <c r="C535" s="1">
        <v>45516</v>
      </c>
      <c r="D535" s="1">
        <v>45546</v>
      </c>
      <c r="E535" s="2">
        <v>3499.14</v>
      </c>
      <c r="F535" t="s">
        <v>19</v>
      </c>
      <c r="G535" t="s">
        <v>12</v>
      </c>
      <c r="I535" t="s">
        <v>941</v>
      </c>
      <c r="J535" t="str">
        <f>IF(ISBLANK(Table1[[#This Row],[PaidDate]]),"Unpaid",IF(Table1[[#This Row],[PaidDate]]&gt;Table1[[#This Row],[DueDate]],"Late",IF(Table1[[#This Row],[PaidDate]]&lt;Table1[[#This Row],[DueDate]],"Early","On Time")))</f>
        <v>Unpaid</v>
      </c>
      <c r="K535" t="str">
        <f ca="1">IF(AND(Table1[[#This Row],[Status]]&lt;&gt;"Paid",TODAY()&gt;Table1[[#This Row],[DueDate]]),"Overdue","OK")</f>
        <v>Overdue</v>
      </c>
    </row>
    <row r="536" spans="1:11" x14ac:dyDescent="0.3">
      <c r="A536" t="s">
        <v>1480</v>
      </c>
      <c r="B536" t="s">
        <v>962</v>
      </c>
      <c r="C536" s="1">
        <v>45146</v>
      </c>
      <c r="D536" s="1">
        <v>45176</v>
      </c>
      <c r="E536" s="2">
        <v>3732.67</v>
      </c>
      <c r="F536" t="s">
        <v>19</v>
      </c>
      <c r="G536" t="s">
        <v>951</v>
      </c>
      <c r="H536" s="1">
        <v>45176</v>
      </c>
      <c r="I536" t="s">
        <v>941</v>
      </c>
      <c r="J536" t="str">
        <f>IF(ISBLANK(Table1[[#This Row],[PaidDate]]),"Unpaid",IF(Table1[[#This Row],[PaidDate]]&gt;Table1[[#This Row],[DueDate]],"Late",IF(Table1[[#This Row],[PaidDate]]&lt;Table1[[#This Row],[DueDate]],"Early","On Time")))</f>
        <v>On Time</v>
      </c>
      <c r="K536" t="str">
        <f ca="1">IF(AND(Table1[[#This Row],[Status]]&lt;&gt;"Paid",TODAY()&gt;Table1[[#This Row],[DueDate]]),"Overdue","OK")</f>
        <v>OK</v>
      </c>
    </row>
    <row r="537" spans="1:11" x14ac:dyDescent="0.3">
      <c r="A537" t="s">
        <v>1481</v>
      </c>
      <c r="B537" t="s">
        <v>962</v>
      </c>
      <c r="C537" s="1">
        <v>45542</v>
      </c>
      <c r="D537" s="1">
        <v>45572</v>
      </c>
      <c r="E537" s="2">
        <v>365.59</v>
      </c>
      <c r="F537" t="s">
        <v>26</v>
      </c>
      <c r="G537" t="s">
        <v>17</v>
      </c>
      <c r="I537" t="s">
        <v>941</v>
      </c>
      <c r="J537" t="str">
        <f>IF(ISBLANK(Table1[[#This Row],[PaidDate]]),"Unpaid",IF(Table1[[#This Row],[PaidDate]]&gt;Table1[[#This Row],[DueDate]],"Late",IF(Table1[[#This Row],[PaidDate]]&lt;Table1[[#This Row],[DueDate]],"Early","On Time")))</f>
        <v>Unpaid</v>
      </c>
      <c r="K537" t="str">
        <f ca="1">IF(AND(Table1[[#This Row],[Status]]&lt;&gt;"Paid",TODAY()&gt;Table1[[#This Row],[DueDate]]),"Overdue","OK")</f>
        <v>Overdue</v>
      </c>
    </row>
    <row r="538" spans="1:11" x14ac:dyDescent="0.3">
      <c r="A538" t="s">
        <v>1482</v>
      </c>
      <c r="B538" t="s">
        <v>966</v>
      </c>
      <c r="C538" s="1">
        <v>45383</v>
      </c>
      <c r="D538" s="1">
        <v>45413</v>
      </c>
      <c r="E538" s="2">
        <v>3778.67</v>
      </c>
      <c r="F538" t="s">
        <v>16</v>
      </c>
      <c r="G538" t="s">
        <v>17</v>
      </c>
      <c r="I538" t="s">
        <v>941</v>
      </c>
      <c r="J538" t="str">
        <f>IF(ISBLANK(Table1[[#This Row],[PaidDate]]),"Unpaid",IF(Table1[[#This Row],[PaidDate]]&gt;Table1[[#This Row],[DueDate]],"Late",IF(Table1[[#This Row],[PaidDate]]&lt;Table1[[#This Row],[DueDate]],"Early","On Time")))</f>
        <v>Unpaid</v>
      </c>
      <c r="K538" t="str">
        <f ca="1">IF(AND(Table1[[#This Row],[Status]]&lt;&gt;"Paid",TODAY()&gt;Table1[[#This Row],[DueDate]]),"Overdue","OK")</f>
        <v>Overdue</v>
      </c>
    </row>
    <row r="539" spans="1:11" x14ac:dyDescent="0.3">
      <c r="A539" t="s">
        <v>1483</v>
      </c>
      <c r="B539" t="s">
        <v>946</v>
      </c>
      <c r="C539" s="1">
        <v>45397</v>
      </c>
      <c r="D539" s="1">
        <v>45427</v>
      </c>
      <c r="E539" s="2">
        <v>4324.6400000000003</v>
      </c>
      <c r="F539" t="s">
        <v>16</v>
      </c>
      <c r="G539" t="s">
        <v>12</v>
      </c>
      <c r="I539" t="s">
        <v>941</v>
      </c>
      <c r="J539" t="str">
        <f>IF(ISBLANK(Table1[[#This Row],[PaidDate]]),"Unpaid",IF(Table1[[#This Row],[PaidDate]]&gt;Table1[[#This Row],[DueDate]],"Late",IF(Table1[[#This Row],[PaidDate]]&lt;Table1[[#This Row],[DueDate]],"Early","On Time")))</f>
        <v>Unpaid</v>
      </c>
      <c r="K539" t="str">
        <f ca="1">IF(AND(Table1[[#This Row],[Status]]&lt;&gt;"Paid",TODAY()&gt;Table1[[#This Row],[DueDate]]),"Overdue","OK")</f>
        <v>Overdue</v>
      </c>
    </row>
    <row r="540" spans="1:11" x14ac:dyDescent="0.3">
      <c r="A540" t="s">
        <v>1484</v>
      </c>
      <c r="B540" t="s">
        <v>966</v>
      </c>
      <c r="C540" s="1">
        <v>45500</v>
      </c>
      <c r="D540" s="1">
        <v>45530</v>
      </c>
      <c r="E540" s="2">
        <v>3648.16</v>
      </c>
      <c r="F540" t="s">
        <v>26</v>
      </c>
      <c r="G540" t="s">
        <v>951</v>
      </c>
      <c r="H540" s="1">
        <v>45530</v>
      </c>
      <c r="I540" t="s">
        <v>941</v>
      </c>
      <c r="J540" t="str">
        <f>IF(ISBLANK(Table1[[#This Row],[PaidDate]]),"Unpaid",IF(Table1[[#This Row],[PaidDate]]&gt;Table1[[#This Row],[DueDate]],"Late",IF(Table1[[#This Row],[PaidDate]]&lt;Table1[[#This Row],[DueDate]],"Early","On Time")))</f>
        <v>On Time</v>
      </c>
      <c r="K540" t="str">
        <f ca="1">IF(AND(Table1[[#This Row],[Status]]&lt;&gt;"Paid",TODAY()&gt;Table1[[#This Row],[DueDate]]),"Overdue","OK")</f>
        <v>OK</v>
      </c>
    </row>
    <row r="541" spans="1:11" x14ac:dyDescent="0.3">
      <c r="A541" t="s">
        <v>1485</v>
      </c>
      <c r="B541" t="s">
        <v>944</v>
      </c>
      <c r="C541" s="1">
        <v>45727</v>
      </c>
      <c r="D541" s="1">
        <v>45757</v>
      </c>
      <c r="E541" s="2">
        <v>106.75</v>
      </c>
      <c r="F541" t="s">
        <v>28</v>
      </c>
      <c r="G541" t="s">
        <v>951</v>
      </c>
      <c r="H541" s="1">
        <v>45757</v>
      </c>
      <c r="I541" t="s">
        <v>941</v>
      </c>
      <c r="J541" t="str">
        <f>IF(ISBLANK(Table1[[#This Row],[PaidDate]]),"Unpaid",IF(Table1[[#This Row],[PaidDate]]&gt;Table1[[#This Row],[DueDate]],"Late",IF(Table1[[#This Row],[PaidDate]]&lt;Table1[[#This Row],[DueDate]],"Early","On Time")))</f>
        <v>On Time</v>
      </c>
      <c r="K541" t="str">
        <f ca="1">IF(AND(Table1[[#This Row],[Status]]&lt;&gt;"Paid",TODAY()&gt;Table1[[#This Row],[DueDate]]),"Overdue","OK")</f>
        <v>OK</v>
      </c>
    </row>
    <row r="542" spans="1:11" x14ac:dyDescent="0.3">
      <c r="A542" t="s">
        <v>1486</v>
      </c>
      <c r="B542" t="s">
        <v>944</v>
      </c>
      <c r="C542" s="1">
        <v>44947</v>
      </c>
      <c r="D542" s="1">
        <v>44977</v>
      </c>
      <c r="E542" s="2">
        <v>2259.02</v>
      </c>
      <c r="F542" t="s">
        <v>26</v>
      </c>
      <c r="G542" t="s">
        <v>12</v>
      </c>
      <c r="I542" t="s">
        <v>941</v>
      </c>
      <c r="J542" t="str">
        <f>IF(ISBLANK(Table1[[#This Row],[PaidDate]]),"Unpaid",IF(Table1[[#This Row],[PaidDate]]&gt;Table1[[#This Row],[DueDate]],"Late",IF(Table1[[#This Row],[PaidDate]]&lt;Table1[[#This Row],[DueDate]],"Early","On Time")))</f>
        <v>Unpaid</v>
      </c>
      <c r="K542" t="str">
        <f ca="1">IF(AND(Table1[[#This Row],[Status]]&lt;&gt;"Paid",TODAY()&gt;Table1[[#This Row],[DueDate]]),"Overdue","OK")</f>
        <v>Overdue</v>
      </c>
    </row>
    <row r="543" spans="1:11" x14ac:dyDescent="0.3">
      <c r="A543" t="s">
        <v>1487</v>
      </c>
      <c r="B543" t="s">
        <v>962</v>
      </c>
      <c r="C543" s="1">
        <v>44941</v>
      </c>
      <c r="D543" s="1">
        <v>44971</v>
      </c>
      <c r="E543" s="2">
        <v>2046.68</v>
      </c>
      <c r="F543" t="s">
        <v>26</v>
      </c>
      <c r="G543" t="s">
        <v>17</v>
      </c>
      <c r="I543" t="s">
        <v>941</v>
      </c>
      <c r="J543" t="str">
        <f>IF(ISBLANK(Table1[[#This Row],[PaidDate]]),"Unpaid",IF(Table1[[#This Row],[PaidDate]]&gt;Table1[[#This Row],[DueDate]],"Late",IF(Table1[[#This Row],[PaidDate]]&lt;Table1[[#This Row],[DueDate]],"Early","On Time")))</f>
        <v>Unpaid</v>
      </c>
      <c r="K543" t="str">
        <f ca="1">IF(AND(Table1[[#This Row],[Status]]&lt;&gt;"Paid",TODAY()&gt;Table1[[#This Row],[DueDate]]),"Overdue","OK")</f>
        <v>Overdue</v>
      </c>
    </row>
    <row r="544" spans="1:11" x14ac:dyDescent="0.3">
      <c r="A544" t="s">
        <v>1488</v>
      </c>
      <c r="B544" t="s">
        <v>962</v>
      </c>
      <c r="C544" s="1">
        <v>45782</v>
      </c>
      <c r="D544" s="1">
        <v>45812</v>
      </c>
      <c r="E544" s="2">
        <v>3776.36</v>
      </c>
      <c r="F544" t="s">
        <v>19</v>
      </c>
      <c r="G544" t="s">
        <v>951</v>
      </c>
      <c r="H544" s="1">
        <v>45812</v>
      </c>
      <c r="I544" t="s">
        <v>941</v>
      </c>
      <c r="J544" t="str">
        <f>IF(ISBLANK(Table1[[#This Row],[PaidDate]]),"Unpaid",IF(Table1[[#This Row],[PaidDate]]&gt;Table1[[#This Row],[DueDate]],"Late",IF(Table1[[#This Row],[PaidDate]]&lt;Table1[[#This Row],[DueDate]],"Early","On Time")))</f>
        <v>On Time</v>
      </c>
      <c r="K544" t="str">
        <f ca="1">IF(AND(Table1[[#This Row],[Status]]&lt;&gt;"Paid",TODAY()&gt;Table1[[#This Row],[DueDate]]),"Overdue","OK")</f>
        <v>OK</v>
      </c>
    </row>
    <row r="545" spans="1:11" x14ac:dyDescent="0.3">
      <c r="A545" t="s">
        <v>1489</v>
      </c>
      <c r="B545" t="s">
        <v>944</v>
      </c>
      <c r="C545" s="1">
        <v>45815</v>
      </c>
      <c r="D545" s="1">
        <v>45845</v>
      </c>
      <c r="E545" s="2">
        <v>2839.95</v>
      </c>
      <c r="F545" t="s">
        <v>16</v>
      </c>
      <c r="G545" t="s">
        <v>951</v>
      </c>
      <c r="H545" s="1">
        <v>45845</v>
      </c>
      <c r="I545" t="s">
        <v>941</v>
      </c>
      <c r="J545" t="str">
        <f>IF(ISBLANK(Table1[[#This Row],[PaidDate]]),"Unpaid",IF(Table1[[#This Row],[PaidDate]]&gt;Table1[[#This Row],[DueDate]],"Late",IF(Table1[[#This Row],[PaidDate]]&lt;Table1[[#This Row],[DueDate]],"Early","On Time")))</f>
        <v>On Time</v>
      </c>
      <c r="K545" t="str">
        <f ca="1">IF(AND(Table1[[#This Row],[Status]]&lt;&gt;"Paid",TODAY()&gt;Table1[[#This Row],[DueDate]]),"Overdue","OK")</f>
        <v>OK</v>
      </c>
    </row>
    <row r="546" spans="1:11" x14ac:dyDescent="0.3">
      <c r="A546" t="s">
        <v>1490</v>
      </c>
      <c r="B546" t="s">
        <v>944</v>
      </c>
      <c r="C546" s="1">
        <v>45122</v>
      </c>
      <c r="D546" s="1">
        <v>45152</v>
      </c>
      <c r="E546" s="2">
        <v>2261.9499999999998</v>
      </c>
      <c r="F546" t="s">
        <v>19</v>
      </c>
      <c r="G546" t="s">
        <v>17</v>
      </c>
      <c r="I546" t="s">
        <v>941</v>
      </c>
      <c r="J546" t="str">
        <f>IF(ISBLANK(Table1[[#This Row],[PaidDate]]),"Unpaid",IF(Table1[[#This Row],[PaidDate]]&gt;Table1[[#This Row],[DueDate]],"Late",IF(Table1[[#This Row],[PaidDate]]&lt;Table1[[#This Row],[DueDate]],"Early","On Time")))</f>
        <v>Unpaid</v>
      </c>
      <c r="K546" t="str">
        <f ca="1">IF(AND(Table1[[#This Row],[Status]]&lt;&gt;"Paid",TODAY()&gt;Table1[[#This Row],[DueDate]]),"Overdue","OK")</f>
        <v>Overdue</v>
      </c>
    </row>
    <row r="547" spans="1:11" x14ac:dyDescent="0.3">
      <c r="A547" t="s">
        <v>1491</v>
      </c>
      <c r="B547" t="s">
        <v>944</v>
      </c>
      <c r="C547" s="1">
        <v>45686</v>
      </c>
      <c r="D547" s="1">
        <v>45716</v>
      </c>
      <c r="E547" s="2">
        <v>104.02</v>
      </c>
      <c r="F547" t="s">
        <v>16</v>
      </c>
      <c r="G547" t="s">
        <v>12</v>
      </c>
      <c r="I547" t="s">
        <v>941</v>
      </c>
      <c r="J547" t="str">
        <f>IF(ISBLANK(Table1[[#This Row],[PaidDate]]),"Unpaid",IF(Table1[[#This Row],[PaidDate]]&gt;Table1[[#This Row],[DueDate]],"Late",IF(Table1[[#This Row],[PaidDate]]&lt;Table1[[#This Row],[DueDate]],"Early","On Time")))</f>
        <v>Unpaid</v>
      </c>
      <c r="K547" t="str">
        <f ca="1">IF(AND(Table1[[#This Row],[Status]]&lt;&gt;"Paid",TODAY()&gt;Table1[[#This Row],[DueDate]]),"Overdue","OK")</f>
        <v>Overdue</v>
      </c>
    </row>
    <row r="548" spans="1:11" x14ac:dyDescent="0.3">
      <c r="A548" t="s">
        <v>1492</v>
      </c>
      <c r="B548" t="s">
        <v>966</v>
      </c>
      <c r="C548" s="1">
        <v>45818</v>
      </c>
      <c r="D548" s="1">
        <v>45848</v>
      </c>
      <c r="E548" s="2">
        <v>3899.93</v>
      </c>
      <c r="F548" t="s">
        <v>19</v>
      </c>
      <c r="G548" t="s">
        <v>12</v>
      </c>
      <c r="I548" t="s">
        <v>941</v>
      </c>
      <c r="J548" t="str">
        <f>IF(ISBLANK(Table1[[#This Row],[PaidDate]]),"Unpaid",IF(Table1[[#This Row],[PaidDate]]&gt;Table1[[#This Row],[DueDate]],"Late",IF(Table1[[#This Row],[PaidDate]]&lt;Table1[[#This Row],[DueDate]],"Early","On Time")))</f>
        <v>Unpaid</v>
      </c>
      <c r="K548" t="str">
        <f ca="1">IF(AND(Table1[[#This Row],[Status]]&lt;&gt;"Paid",TODAY()&gt;Table1[[#This Row],[DueDate]]),"Overdue","OK")</f>
        <v>Overdue</v>
      </c>
    </row>
    <row r="549" spans="1:11" x14ac:dyDescent="0.3">
      <c r="A549" t="s">
        <v>1493</v>
      </c>
      <c r="B549" t="s">
        <v>962</v>
      </c>
      <c r="C549" s="1">
        <v>45476</v>
      </c>
      <c r="D549" s="1">
        <v>45506</v>
      </c>
      <c r="E549" s="2">
        <v>276.7</v>
      </c>
      <c r="F549" t="s">
        <v>16</v>
      </c>
      <c r="G549" t="s">
        <v>17</v>
      </c>
      <c r="I549" t="s">
        <v>941</v>
      </c>
      <c r="J549" t="str">
        <f>IF(ISBLANK(Table1[[#This Row],[PaidDate]]),"Unpaid",IF(Table1[[#This Row],[PaidDate]]&gt;Table1[[#This Row],[DueDate]],"Late",IF(Table1[[#This Row],[PaidDate]]&lt;Table1[[#This Row],[DueDate]],"Early","On Time")))</f>
        <v>Unpaid</v>
      </c>
      <c r="K549" t="str">
        <f ca="1">IF(AND(Table1[[#This Row],[Status]]&lt;&gt;"Paid",TODAY()&gt;Table1[[#This Row],[DueDate]]),"Overdue","OK")</f>
        <v>Overdue</v>
      </c>
    </row>
    <row r="550" spans="1:11" x14ac:dyDescent="0.3">
      <c r="A550" t="s">
        <v>1494</v>
      </c>
      <c r="B550" t="s">
        <v>940</v>
      </c>
      <c r="C550" s="1">
        <v>45096</v>
      </c>
      <c r="D550" s="1">
        <v>45126</v>
      </c>
      <c r="E550" s="2">
        <v>4610.3100000000004</v>
      </c>
      <c r="F550" t="s">
        <v>11</v>
      </c>
      <c r="G550" t="s">
        <v>12</v>
      </c>
      <c r="I550" t="s">
        <v>941</v>
      </c>
      <c r="J550" t="str">
        <f>IF(ISBLANK(Table1[[#This Row],[PaidDate]]),"Unpaid",IF(Table1[[#This Row],[PaidDate]]&gt;Table1[[#This Row],[DueDate]],"Late",IF(Table1[[#This Row],[PaidDate]]&lt;Table1[[#This Row],[DueDate]],"Early","On Time")))</f>
        <v>Unpaid</v>
      </c>
      <c r="K550" t="str">
        <f ca="1">IF(AND(Table1[[#This Row],[Status]]&lt;&gt;"Paid",TODAY()&gt;Table1[[#This Row],[DueDate]]),"Overdue","OK")</f>
        <v>Overdue</v>
      </c>
    </row>
    <row r="551" spans="1:11" x14ac:dyDescent="0.3">
      <c r="A551" t="s">
        <v>1495</v>
      </c>
      <c r="B551" t="s">
        <v>946</v>
      </c>
      <c r="C551" s="1">
        <v>45812</v>
      </c>
      <c r="D551" s="1">
        <v>45842</v>
      </c>
      <c r="E551" s="2">
        <v>1285.1300000000001</v>
      </c>
      <c r="F551" t="s">
        <v>19</v>
      </c>
      <c r="G551" t="s">
        <v>951</v>
      </c>
      <c r="H551" s="1">
        <v>45842</v>
      </c>
      <c r="I551" t="s">
        <v>941</v>
      </c>
      <c r="J551" t="str">
        <f>IF(ISBLANK(Table1[[#This Row],[PaidDate]]),"Unpaid",IF(Table1[[#This Row],[PaidDate]]&gt;Table1[[#This Row],[DueDate]],"Late",IF(Table1[[#This Row],[PaidDate]]&lt;Table1[[#This Row],[DueDate]],"Early","On Time")))</f>
        <v>On Time</v>
      </c>
      <c r="K551" t="str">
        <f ca="1">IF(AND(Table1[[#This Row],[Status]]&lt;&gt;"Paid",TODAY()&gt;Table1[[#This Row],[DueDate]]),"Overdue","OK")</f>
        <v>OK</v>
      </c>
    </row>
    <row r="552" spans="1:11" x14ac:dyDescent="0.3">
      <c r="A552" t="s">
        <v>1496</v>
      </c>
      <c r="B552" t="s">
        <v>966</v>
      </c>
      <c r="C552" s="1">
        <v>45069</v>
      </c>
      <c r="D552" s="1">
        <v>45099</v>
      </c>
      <c r="E552" s="2">
        <v>3752.28</v>
      </c>
      <c r="F552" t="s">
        <v>19</v>
      </c>
      <c r="G552" t="s">
        <v>12</v>
      </c>
      <c r="I552" t="s">
        <v>941</v>
      </c>
      <c r="J552" t="str">
        <f>IF(ISBLANK(Table1[[#This Row],[PaidDate]]),"Unpaid",IF(Table1[[#This Row],[PaidDate]]&gt;Table1[[#This Row],[DueDate]],"Late",IF(Table1[[#This Row],[PaidDate]]&lt;Table1[[#This Row],[DueDate]],"Early","On Time")))</f>
        <v>Unpaid</v>
      </c>
      <c r="K552" t="str">
        <f ca="1">IF(AND(Table1[[#This Row],[Status]]&lt;&gt;"Paid",TODAY()&gt;Table1[[#This Row],[DueDate]]),"Overdue","OK")</f>
        <v>Overdue</v>
      </c>
    </row>
    <row r="553" spans="1:11" x14ac:dyDescent="0.3">
      <c r="A553" t="s">
        <v>1497</v>
      </c>
      <c r="B553" t="s">
        <v>944</v>
      </c>
      <c r="C553" s="1">
        <v>45234</v>
      </c>
      <c r="D553" s="1">
        <v>45264</v>
      </c>
      <c r="E553" s="2">
        <v>3746.16</v>
      </c>
      <c r="F553" t="s">
        <v>19</v>
      </c>
      <c r="G553" t="s">
        <v>17</v>
      </c>
      <c r="I553" t="s">
        <v>941</v>
      </c>
      <c r="J553" t="str">
        <f>IF(ISBLANK(Table1[[#This Row],[PaidDate]]),"Unpaid",IF(Table1[[#This Row],[PaidDate]]&gt;Table1[[#This Row],[DueDate]],"Late",IF(Table1[[#This Row],[PaidDate]]&lt;Table1[[#This Row],[DueDate]],"Early","On Time")))</f>
        <v>Unpaid</v>
      </c>
      <c r="K553" t="str">
        <f ca="1">IF(AND(Table1[[#This Row],[Status]]&lt;&gt;"Paid",TODAY()&gt;Table1[[#This Row],[DueDate]]),"Overdue","OK")</f>
        <v>Overdue</v>
      </c>
    </row>
    <row r="554" spans="1:11" x14ac:dyDescent="0.3">
      <c r="A554" t="s">
        <v>1498</v>
      </c>
      <c r="B554" t="s">
        <v>940</v>
      </c>
      <c r="C554" s="1">
        <v>45644</v>
      </c>
      <c r="D554" s="1">
        <v>45674</v>
      </c>
      <c r="E554" s="2">
        <v>4464.8999999999996</v>
      </c>
      <c r="F554" t="s">
        <v>11</v>
      </c>
      <c r="G554" t="s">
        <v>951</v>
      </c>
      <c r="H554" s="1">
        <v>45674</v>
      </c>
      <c r="I554" t="s">
        <v>941</v>
      </c>
      <c r="J554" t="str">
        <f>IF(ISBLANK(Table1[[#This Row],[PaidDate]]),"Unpaid",IF(Table1[[#This Row],[PaidDate]]&gt;Table1[[#This Row],[DueDate]],"Late",IF(Table1[[#This Row],[PaidDate]]&lt;Table1[[#This Row],[DueDate]],"Early","On Time")))</f>
        <v>On Time</v>
      </c>
      <c r="K554" t="str">
        <f ca="1">IF(AND(Table1[[#This Row],[Status]]&lt;&gt;"Paid",TODAY()&gt;Table1[[#This Row],[DueDate]]),"Overdue","OK")</f>
        <v>OK</v>
      </c>
    </row>
    <row r="555" spans="1:11" x14ac:dyDescent="0.3">
      <c r="A555" t="s">
        <v>1499</v>
      </c>
      <c r="B555" t="s">
        <v>966</v>
      </c>
      <c r="C555" s="1">
        <v>45471</v>
      </c>
      <c r="D555" s="1">
        <v>45501</v>
      </c>
      <c r="E555" s="2">
        <v>4957.1499999999996</v>
      </c>
      <c r="F555" t="s">
        <v>11</v>
      </c>
      <c r="G555" t="s">
        <v>17</v>
      </c>
      <c r="I555" t="s">
        <v>941</v>
      </c>
      <c r="J555" t="str">
        <f>IF(ISBLANK(Table1[[#This Row],[PaidDate]]),"Unpaid",IF(Table1[[#This Row],[PaidDate]]&gt;Table1[[#This Row],[DueDate]],"Late",IF(Table1[[#This Row],[PaidDate]]&lt;Table1[[#This Row],[DueDate]],"Early","On Time")))</f>
        <v>Unpaid</v>
      </c>
      <c r="K555" t="str">
        <f ca="1">IF(AND(Table1[[#This Row],[Status]]&lt;&gt;"Paid",TODAY()&gt;Table1[[#This Row],[DueDate]]),"Overdue","OK")</f>
        <v>Overdue</v>
      </c>
    </row>
    <row r="556" spans="1:11" x14ac:dyDescent="0.3">
      <c r="A556" t="s">
        <v>1500</v>
      </c>
      <c r="B556" t="s">
        <v>962</v>
      </c>
      <c r="C556" s="1">
        <v>45503</v>
      </c>
      <c r="D556" s="1">
        <v>45533</v>
      </c>
      <c r="E556" s="2">
        <v>129.91</v>
      </c>
      <c r="F556" t="s">
        <v>19</v>
      </c>
      <c r="G556" t="s">
        <v>17</v>
      </c>
      <c r="I556" t="s">
        <v>941</v>
      </c>
      <c r="J556" t="str">
        <f>IF(ISBLANK(Table1[[#This Row],[PaidDate]]),"Unpaid",IF(Table1[[#This Row],[PaidDate]]&gt;Table1[[#This Row],[DueDate]],"Late",IF(Table1[[#This Row],[PaidDate]]&lt;Table1[[#This Row],[DueDate]],"Early","On Time")))</f>
        <v>Unpaid</v>
      </c>
      <c r="K556" t="str">
        <f ca="1">IF(AND(Table1[[#This Row],[Status]]&lt;&gt;"Paid",TODAY()&gt;Table1[[#This Row],[DueDate]]),"Overdue","OK")</f>
        <v>Overdue</v>
      </c>
    </row>
    <row r="557" spans="1:11" x14ac:dyDescent="0.3">
      <c r="A557" t="s">
        <v>1501</v>
      </c>
      <c r="B557" t="s">
        <v>944</v>
      </c>
      <c r="C557" s="1">
        <v>45080</v>
      </c>
      <c r="D557" s="1">
        <v>45110</v>
      </c>
      <c r="E557" s="2">
        <v>4151.46</v>
      </c>
      <c r="F557" t="s">
        <v>28</v>
      </c>
      <c r="G557" t="s">
        <v>951</v>
      </c>
      <c r="H557" s="1">
        <v>45110</v>
      </c>
      <c r="I557" t="s">
        <v>941</v>
      </c>
      <c r="J557" t="str">
        <f>IF(ISBLANK(Table1[[#This Row],[PaidDate]]),"Unpaid",IF(Table1[[#This Row],[PaidDate]]&gt;Table1[[#This Row],[DueDate]],"Late",IF(Table1[[#This Row],[PaidDate]]&lt;Table1[[#This Row],[DueDate]],"Early","On Time")))</f>
        <v>On Time</v>
      </c>
      <c r="K557" t="str">
        <f ca="1">IF(AND(Table1[[#This Row],[Status]]&lt;&gt;"Paid",TODAY()&gt;Table1[[#This Row],[DueDate]]),"Overdue","OK")</f>
        <v>OK</v>
      </c>
    </row>
    <row r="558" spans="1:11" x14ac:dyDescent="0.3">
      <c r="A558" t="s">
        <v>1502</v>
      </c>
      <c r="B558" t="s">
        <v>966</v>
      </c>
      <c r="C558" s="1">
        <v>45345</v>
      </c>
      <c r="D558" s="1">
        <v>45375</v>
      </c>
      <c r="E558" s="2">
        <v>4386</v>
      </c>
      <c r="F558" t="s">
        <v>28</v>
      </c>
      <c r="G558" t="s">
        <v>17</v>
      </c>
      <c r="I558" t="s">
        <v>941</v>
      </c>
      <c r="J558" t="str">
        <f>IF(ISBLANK(Table1[[#This Row],[PaidDate]]),"Unpaid",IF(Table1[[#This Row],[PaidDate]]&gt;Table1[[#This Row],[DueDate]],"Late",IF(Table1[[#This Row],[PaidDate]]&lt;Table1[[#This Row],[DueDate]],"Early","On Time")))</f>
        <v>Unpaid</v>
      </c>
      <c r="K558" t="str">
        <f ca="1">IF(AND(Table1[[#This Row],[Status]]&lt;&gt;"Paid",TODAY()&gt;Table1[[#This Row],[DueDate]]),"Overdue","OK")</f>
        <v>Overdue</v>
      </c>
    </row>
    <row r="559" spans="1:11" x14ac:dyDescent="0.3">
      <c r="A559" t="s">
        <v>1503</v>
      </c>
      <c r="B559" t="s">
        <v>962</v>
      </c>
      <c r="C559" s="1">
        <v>45452</v>
      </c>
      <c r="D559" s="1">
        <v>45482</v>
      </c>
      <c r="E559" s="2">
        <v>2792.29</v>
      </c>
      <c r="F559" t="s">
        <v>28</v>
      </c>
      <c r="G559" t="s">
        <v>951</v>
      </c>
      <c r="H559" s="1">
        <v>45482</v>
      </c>
      <c r="I559" t="s">
        <v>941</v>
      </c>
      <c r="J559" t="str">
        <f>IF(ISBLANK(Table1[[#This Row],[PaidDate]]),"Unpaid",IF(Table1[[#This Row],[PaidDate]]&gt;Table1[[#This Row],[DueDate]],"Late",IF(Table1[[#This Row],[PaidDate]]&lt;Table1[[#This Row],[DueDate]],"Early","On Time")))</f>
        <v>On Time</v>
      </c>
      <c r="K559" t="str">
        <f ca="1">IF(AND(Table1[[#This Row],[Status]]&lt;&gt;"Paid",TODAY()&gt;Table1[[#This Row],[DueDate]]),"Overdue","OK")</f>
        <v>OK</v>
      </c>
    </row>
    <row r="560" spans="1:11" x14ac:dyDescent="0.3">
      <c r="A560" t="s">
        <v>1504</v>
      </c>
      <c r="B560" t="s">
        <v>966</v>
      </c>
      <c r="C560" s="1">
        <v>45738</v>
      </c>
      <c r="D560" s="1">
        <v>45768</v>
      </c>
      <c r="E560" s="2">
        <v>2307.9</v>
      </c>
      <c r="F560" t="s">
        <v>19</v>
      </c>
      <c r="G560" t="s">
        <v>17</v>
      </c>
      <c r="I560" t="s">
        <v>941</v>
      </c>
      <c r="J560" t="str">
        <f>IF(ISBLANK(Table1[[#This Row],[PaidDate]]),"Unpaid",IF(Table1[[#This Row],[PaidDate]]&gt;Table1[[#This Row],[DueDate]],"Late",IF(Table1[[#This Row],[PaidDate]]&lt;Table1[[#This Row],[DueDate]],"Early","On Time")))</f>
        <v>Unpaid</v>
      </c>
      <c r="K560" t="str">
        <f ca="1">IF(AND(Table1[[#This Row],[Status]]&lt;&gt;"Paid",TODAY()&gt;Table1[[#This Row],[DueDate]]),"Overdue","OK")</f>
        <v>Overdue</v>
      </c>
    </row>
    <row r="561" spans="1:11" x14ac:dyDescent="0.3">
      <c r="A561" t="s">
        <v>1505</v>
      </c>
      <c r="B561" t="s">
        <v>940</v>
      </c>
      <c r="C561" s="1">
        <v>45537</v>
      </c>
      <c r="D561" s="1">
        <v>45567</v>
      </c>
      <c r="E561" s="2">
        <v>1432.07</v>
      </c>
      <c r="F561" t="s">
        <v>28</v>
      </c>
      <c r="G561" t="s">
        <v>951</v>
      </c>
      <c r="H561" s="1">
        <v>45567</v>
      </c>
      <c r="I561" t="s">
        <v>941</v>
      </c>
      <c r="J561" t="str">
        <f>IF(ISBLANK(Table1[[#This Row],[PaidDate]]),"Unpaid",IF(Table1[[#This Row],[PaidDate]]&gt;Table1[[#This Row],[DueDate]],"Late",IF(Table1[[#This Row],[PaidDate]]&lt;Table1[[#This Row],[DueDate]],"Early","On Time")))</f>
        <v>On Time</v>
      </c>
      <c r="K561" t="str">
        <f ca="1">IF(AND(Table1[[#This Row],[Status]]&lt;&gt;"Paid",TODAY()&gt;Table1[[#This Row],[DueDate]]),"Overdue","OK")</f>
        <v>OK</v>
      </c>
    </row>
    <row r="562" spans="1:11" x14ac:dyDescent="0.3">
      <c r="A562" t="s">
        <v>1506</v>
      </c>
      <c r="B562" t="s">
        <v>962</v>
      </c>
      <c r="C562" s="1">
        <v>45472</v>
      </c>
      <c r="D562" s="1">
        <v>45502</v>
      </c>
      <c r="E562" s="2">
        <v>2127.41</v>
      </c>
      <c r="F562" t="s">
        <v>11</v>
      </c>
      <c r="G562" t="s">
        <v>17</v>
      </c>
      <c r="I562" t="s">
        <v>941</v>
      </c>
      <c r="J562" t="str">
        <f>IF(ISBLANK(Table1[[#This Row],[PaidDate]]),"Unpaid",IF(Table1[[#This Row],[PaidDate]]&gt;Table1[[#This Row],[DueDate]],"Late",IF(Table1[[#This Row],[PaidDate]]&lt;Table1[[#This Row],[DueDate]],"Early","On Time")))</f>
        <v>Unpaid</v>
      </c>
      <c r="K562" t="str">
        <f ca="1">IF(AND(Table1[[#This Row],[Status]]&lt;&gt;"Paid",TODAY()&gt;Table1[[#This Row],[DueDate]]),"Overdue","OK")</f>
        <v>Overdue</v>
      </c>
    </row>
    <row r="563" spans="1:11" x14ac:dyDescent="0.3">
      <c r="A563" t="s">
        <v>1507</v>
      </c>
      <c r="B563" t="s">
        <v>946</v>
      </c>
      <c r="C563" s="1">
        <v>45623</v>
      </c>
      <c r="D563" s="1">
        <v>45653</v>
      </c>
      <c r="E563" s="2">
        <v>254.96</v>
      </c>
      <c r="F563" t="s">
        <v>19</v>
      </c>
      <c r="G563" t="s">
        <v>951</v>
      </c>
      <c r="H563" s="1">
        <v>45653</v>
      </c>
      <c r="I563" t="s">
        <v>941</v>
      </c>
      <c r="J563" t="str">
        <f>IF(ISBLANK(Table1[[#This Row],[PaidDate]]),"Unpaid",IF(Table1[[#This Row],[PaidDate]]&gt;Table1[[#This Row],[DueDate]],"Late",IF(Table1[[#This Row],[PaidDate]]&lt;Table1[[#This Row],[DueDate]],"Early","On Time")))</f>
        <v>On Time</v>
      </c>
      <c r="K563" t="str">
        <f ca="1">IF(AND(Table1[[#This Row],[Status]]&lt;&gt;"Paid",TODAY()&gt;Table1[[#This Row],[DueDate]]),"Overdue","OK")</f>
        <v>OK</v>
      </c>
    </row>
    <row r="564" spans="1:11" x14ac:dyDescent="0.3">
      <c r="A564" t="s">
        <v>1508</v>
      </c>
      <c r="B564" t="s">
        <v>962</v>
      </c>
      <c r="C564" s="1">
        <v>45160</v>
      </c>
      <c r="D564" s="1">
        <v>45190</v>
      </c>
      <c r="E564" s="2">
        <v>2704.91</v>
      </c>
      <c r="F564" t="s">
        <v>28</v>
      </c>
      <c r="G564" t="s">
        <v>17</v>
      </c>
      <c r="I564" t="s">
        <v>941</v>
      </c>
      <c r="J564" t="str">
        <f>IF(ISBLANK(Table1[[#This Row],[PaidDate]]),"Unpaid",IF(Table1[[#This Row],[PaidDate]]&gt;Table1[[#This Row],[DueDate]],"Late",IF(Table1[[#This Row],[PaidDate]]&lt;Table1[[#This Row],[DueDate]],"Early","On Time")))</f>
        <v>Unpaid</v>
      </c>
      <c r="K564" t="str">
        <f ca="1">IF(AND(Table1[[#This Row],[Status]]&lt;&gt;"Paid",TODAY()&gt;Table1[[#This Row],[DueDate]]),"Overdue","OK")</f>
        <v>Overdue</v>
      </c>
    </row>
    <row r="565" spans="1:11" x14ac:dyDescent="0.3">
      <c r="A565" t="s">
        <v>1509</v>
      </c>
      <c r="B565" t="s">
        <v>946</v>
      </c>
      <c r="C565" s="1">
        <v>45438</v>
      </c>
      <c r="D565" s="1">
        <v>45468</v>
      </c>
      <c r="E565" s="2">
        <v>1222.6300000000001</v>
      </c>
      <c r="F565" t="s">
        <v>26</v>
      </c>
      <c r="G565" t="s">
        <v>951</v>
      </c>
      <c r="H565" s="1">
        <v>45468</v>
      </c>
      <c r="I565" t="s">
        <v>941</v>
      </c>
      <c r="J565" t="str">
        <f>IF(ISBLANK(Table1[[#This Row],[PaidDate]]),"Unpaid",IF(Table1[[#This Row],[PaidDate]]&gt;Table1[[#This Row],[DueDate]],"Late",IF(Table1[[#This Row],[PaidDate]]&lt;Table1[[#This Row],[DueDate]],"Early","On Time")))</f>
        <v>On Time</v>
      </c>
      <c r="K565" t="str">
        <f ca="1">IF(AND(Table1[[#This Row],[Status]]&lt;&gt;"Paid",TODAY()&gt;Table1[[#This Row],[DueDate]]),"Overdue","OK")</f>
        <v>OK</v>
      </c>
    </row>
    <row r="566" spans="1:11" x14ac:dyDescent="0.3">
      <c r="A566" t="s">
        <v>1510</v>
      </c>
      <c r="B566" t="s">
        <v>944</v>
      </c>
      <c r="C566" s="1">
        <v>44951</v>
      </c>
      <c r="D566" s="1">
        <v>44981</v>
      </c>
      <c r="E566" s="2">
        <v>2660.77</v>
      </c>
      <c r="F566" t="s">
        <v>11</v>
      </c>
      <c r="G566" t="s">
        <v>12</v>
      </c>
      <c r="I566" t="s">
        <v>941</v>
      </c>
      <c r="J566" t="str">
        <f>IF(ISBLANK(Table1[[#This Row],[PaidDate]]),"Unpaid",IF(Table1[[#This Row],[PaidDate]]&gt;Table1[[#This Row],[DueDate]],"Late",IF(Table1[[#This Row],[PaidDate]]&lt;Table1[[#This Row],[DueDate]],"Early","On Time")))</f>
        <v>Unpaid</v>
      </c>
      <c r="K566" t="str">
        <f ca="1">IF(AND(Table1[[#This Row],[Status]]&lt;&gt;"Paid",TODAY()&gt;Table1[[#This Row],[DueDate]]),"Overdue","OK")</f>
        <v>Overdue</v>
      </c>
    </row>
    <row r="567" spans="1:11" x14ac:dyDescent="0.3">
      <c r="A567" t="s">
        <v>1511</v>
      </c>
      <c r="B567" t="s">
        <v>962</v>
      </c>
      <c r="C567" s="1">
        <v>45120</v>
      </c>
      <c r="D567" s="1">
        <v>45150</v>
      </c>
      <c r="E567" s="2">
        <v>1359</v>
      </c>
      <c r="F567" t="s">
        <v>16</v>
      </c>
      <c r="G567" t="s">
        <v>17</v>
      </c>
      <c r="I567" t="s">
        <v>941</v>
      </c>
      <c r="J567" t="str">
        <f>IF(ISBLANK(Table1[[#This Row],[PaidDate]]),"Unpaid",IF(Table1[[#This Row],[PaidDate]]&gt;Table1[[#This Row],[DueDate]],"Late",IF(Table1[[#This Row],[PaidDate]]&lt;Table1[[#This Row],[DueDate]],"Early","On Time")))</f>
        <v>Unpaid</v>
      </c>
      <c r="K567" t="str">
        <f ca="1">IF(AND(Table1[[#This Row],[Status]]&lt;&gt;"Paid",TODAY()&gt;Table1[[#This Row],[DueDate]]),"Overdue","OK")</f>
        <v>Overdue</v>
      </c>
    </row>
    <row r="568" spans="1:11" x14ac:dyDescent="0.3">
      <c r="A568" t="s">
        <v>1512</v>
      </c>
      <c r="B568" t="s">
        <v>962</v>
      </c>
      <c r="C568" s="1">
        <v>45182</v>
      </c>
      <c r="D568" s="1">
        <v>45212</v>
      </c>
      <c r="E568" s="2">
        <v>1597.59</v>
      </c>
      <c r="F568" t="s">
        <v>16</v>
      </c>
      <c r="G568" t="s">
        <v>951</v>
      </c>
      <c r="H568" s="1">
        <v>45212</v>
      </c>
      <c r="I568" t="s">
        <v>941</v>
      </c>
      <c r="J568" t="str">
        <f>IF(ISBLANK(Table1[[#This Row],[PaidDate]]),"Unpaid",IF(Table1[[#This Row],[PaidDate]]&gt;Table1[[#This Row],[DueDate]],"Late",IF(Table1[[#This Row],[PaidDate]]&lt;Table1[[#This Row],[DueDate]],"Early","On Time")))</f>
        <v>On Time</v>
      </c>
      <c r="K568" t="str">
        <f ca="1">IF(AND(Table1[[#This Row],[Status]]&lt;&gt;"Paid",TODAY()&gt;Table1[[#This Row],[DueDate]]),"Overdue","OK")</f>
        <v>OK</v>
      </c>
    </row>
    <row r="569" spans="1:11" x14ac:dyDescent="0.3">
      <c r="A569" t="s">
        <v>1513</v>
      </c>
      <c r="B569" t="s">
        <v>940</v>
      </c>
      <c r="C569" s="1">
        <v>44997</v>
      </c>
      <c r="D569" s="1">
        <v>45027</v>
      </c>
      <c r="E569" s="2">
        <v>4456.2</v>
      </c>
      <c r="F569" t="s">
        <v>26</v>
      </c>
      <c r="G569" t="s">
        <v>12</v>
      </c>
      <c r="I569" t="s">
        <v>941</v>
      </c>
      <c r="J569" t="str">
        <f>IF(ISBLANK(Table1[[#This Row],[PaidDate]]),"Unpaid",IF(Table1[[#This Row],[PaidDate]]&gt;Table1[[#This Row],[DueDate]],"Late",IF(Table1[[#This Row],[PaidDate]]&lt;Table1[[#This Row],[DueDate]],"Early","On Time")))</f>
        <v>Unpaid</v>
      </c>
      <c r="K569" t="str">
        <f ca="1">IF(AND(Table1[[#This Row],[Status]]&lt;&gt;"Paid",TODAY()&gt;Table1[[#This Row],[DueDate]]),"Overdue","OK")</f>
        <v>Overdue</v>
      </c>
    </row>
    <row r="570" spans="1:11" x14ac:dyDescent="0.3">
      <c r="A570" t="s">
        <v>1514</v>
      </c>
      <c r="B570" t="s">
        <v>966</v>
      </c>
      <c r="C570" s="1">
        <v>45587</v>
      </c>
      <c r="D570" s="1">
        <v>45617</v>
      </c>
      <c r="E570" s="2">
        <v>583.61</v>
      </c>
      <c r="F570" t="s">
        <v>19</v>
      </c>
      <c r="G570" t="s">
        <v>12</v>
      </c>
      <c r="I570" t="s">
        <v>941</v>
      </c>
      <c r="J570" t="str">
        <f>IF(ISBLANK(Table1[[#This Row],[PaidDate]]),"Unpaid",IF(Table1[[#This Row],[PaidDate]]&gt;Table1[[#This Row],[DueDate]],"Late",IF(Table1[[#This Row],[PaidDate]]&lt;Table1[[#This Row],[DueDate]],"Early","On Time")))</f>
        <v>Unpaid</v>
      </c>
      <c r="K570" t="str">
        <f ca="1">IF(AND(Table1[[#This Row],[Status]]&lt;&gt;"Paid",TODAY()&gt;Table1[[#This Row],[DueDate]]),"Overdue","OK")</f>
        <v>Overdue</v>
      </c>
    </row>
    <row r="571" spans="1:11" x14ac:dyDescent="0.3">
      <c r="A571" t="s">
        <v>1515</v>
      </c>
      <c r="B571" t="s">
        <v>966</v>
      </c>
      <c r="C571" s="1">
        <v>45511</v>
      </c>
      <c r="D571" s="1">
        <v>45541</v>
      </c>
      <c r="E571" s="2">
        <v>3912.65</v>
      </c>
      <c r="F571" t="s">
        <v>11</v>
      </c>
      <c r="G571" t="s">
        <v>12</v>
      </c>
      <c r="I571" t="s">
        <v>941</v>
      </c>
      <c r="J571" t="str">
        <f>IF(ISBLANK(Table1[[#This Row],[PaidDate]]),"Unpaid",IF(Table1[[#This Row],[PaidDate]]&gt;Table1[[#This Row],[DueDate]],"Late",IF(Table1[[#This Row],[PaidDate]]&lt;Table1[[#This Row],[DueDate]],"Early","On Time")))</f>
        <v>Unpaid</v>
      </c>
      <c r="K571" t="str">
        <f ca="1">IF(AND(Table1[[#This Row],[Status]]&lt;&gt;"Paid",TODAY()&gt;Table1[[#This Row],[DueDate]]),"Overdue","OK")</f>
        <v>Overdue</v>
      </c>
    </row>
    <row r="572" spans="1:11" x14ac:dyDescent="0.3">
      <c r="A572" t="s">
        <v>1516</v>
      </c>
      <c r="B572" t="s">
        <v>962</v>
      </c>
      <c r="C572" s="1">
        <v>45070</v>
      </c>
      <c r="D572" s="1">
        <v>45100</v>
      </c>
      <c r="E572" s="2">
        <v>2835.21</v>
      </c>
      <c r="F572" t="s">
        <v>11</v>
      </c>
      <c r="G572" t="s">
        <v>951</v>
      </c>
      <c r="H572" s="1">
        <v>45100</v>
      </c>
      <c r="I572" t="s">
        <v>941</v>
      </c>
      <c r="J572" t="str">
        <f>IF(ISBLANK(Table1[[#This Row],[PaidDate]]),"Unpaid",IF(Table1[[#This Row],[PaidDate]]&gt;Table1[[#This Row],[DueDate]],"Late",IF(Table1[[#This Row],[PaidDate]]&lt;Table1[[#This Row],[DueDate]],"Early","On Time")))</f>
        <v>On Time</v>
      </c>
      <c r="K572" t="str">
        <f ca="1">IF(AND(Table1[[#This Row],[Status]]&lt;&gt;"Paid",TODAY()&gt;Table1[[#This Row],[DueDate]]),"Overdue","OK")</f>
        <v>OK</v>
      </c>
    </row>
    <row r="573" spans="1:11" x14ac:dyDescent="0.3">
      <c r="A573" t="s">
        <v>1517</v>
      </c>
      <c r="B573" t="s">
        <v>962</v>
      </c>
      <c r="C573" s="1">
        <v>45461</v>
      </c>
      <c r="D573" s="1">
        <v>45491</v>
      </c>
      <c r="E573" s="2">
        <v>865.54</v>
      </c>
      <c r="F573" t="s">
        <v>16</v>
      </c>
      <c r="G573" t="s">
        <v>12</v>
      </c>
      <c r="I573" t="s">
        <v>941</v>
      </c>
      <c r="J573" t="str">
        <f>IF(ISBLANK(Table1[[#This Row],[PaidDate]]),"Unpaid",IF(Table1[[#This Row],[PaidDate]]&gt;Table1[[#This Row],[DueDate]],"Late",IF(Table1[[#This Row],[PaidDate]]&lt;Table1[[#This Row],[DueDate]],"Early","On Time")))</f>
        <v>Unpaid</v>
      </c>
      <c r="K573" t="str">
        <f ca="1">IF(AND(Table1[[#This Row],[Status]]&lt;&gt;"Paid",TODAY()&gt;Table1[[#This Row],[DueDate]]),"Overdue","OK")</f>
        <v>Overdue</v>
      </c>
    </row>
    <row r="574" spans="1:11" x14ac:dyDescent="0.3">
      <c r="A574" t="s">
        <v>1518</v>
      </c>
      <c r="B574" t="s">
        <v>962</v>
      </c>
      <c r="C574" s="1">
        <v>45455</v>
      </c>
      <c r="D574" s="1">
        <v>45485</v>
      </c>
      <c r="E574" s="2">
        <v>3671.15</v>
      </c>
      <c r="F574" t="s">
        <v>19</v>
      </c>
      <c r="G574" t="s">
        <v>12</v>
      </c>
      <c r="I574" t="s">
        <v>941</v>
      </c>
      <c r="J574" t="str">
        <f>IF(ISBLANK(Table1[[#This Row],[PaidDate]]),"Unpaid",IF(Table1[[#This Row],[PaidDate]]&gt;Table1[[#This Row],[DueDate]],"Late",IF(Table1[[#This Row],[PaidDate]]&lt;Table1[[#This Row],[DueDate]],"Early","On Time")))</f>
        <v>Unpaid</v>
      </c>
      <c r="K574" t="str">
        <f ca="1">IF(AND(Table1[[#This Row],[Status]]&lt;&gt;"Paid",TODAY()&gt;Table1[[#This Row],[DueDate]]),"Overdue","OK")</f>
        <v>Overdue</v>
      </c>
    </row>
    <row r="575" spans="1:11" x14ac:dyDescent="0.3">
      <c r="A575" t="s">
        <v>1519</v>
      </c>
      <c r="B575" t="s">
        <v>946</v>
      </c>
      <c r="C575" s="1">
        <v>45775</v>
      </c>
      <c r="D575" s="1">
        <v>45805</v>
      </c>
      <c r="E575" s="2">
        <v>2131.81</v>
      </c>
      <c r="F575" t="s">
        <v>11</v>
      </c>
      <c r="G575" t="s">
        <v>951</v>
      </c>
      <c r="H575" s="1">
        <v>45805</v>
      </c>
      <c r="I575" t="s">
        <v>941</v>
      </c>
      <c r="J575" t="str">
        <f>IF(ISBLANK(Table1[[#This Row],[PaidDate]]),"Unpaid",IF(Table1[[#This Row],[PaidDate]]&gt;Table1[[#This Row],[DueDate]],"Late",IF(Table1[[#This Row],[PaidDate]]&lt;Table1[[#This Row],[DueDate]],"Early","On Time")))</f>
        <v>On Time</v>
      </c>
      <c r="K575" t="str">
        <f ca="1">IF(AND(Table1[[#This Row],[Status]]&lt;&gt;"Paid",TODAY()&gt;Table1[[#This Row],[DueDate]]),"Overdue","OK")</f>
        <v>OK</v>
      </c>
    </row>
    <row r="576" spans="1:11" x14ac:dyDescent="0.3">
      <c r="A576" t="s">
        <v>1520</v>
      </c>
      <c r="B576" t="s">
        <v>944</v>
      </c>
      <c r="C576" s="1">
        <v>45616</v>
      </c>
      <c r="D576" s="1">
        <v>45646</v>
      </c>
      <c r="E576" s="2">
        <v>4512.54</v>
      </c>
      <c r="F576" t="s">
        <v>28</v>
      </c>
      <c r="G576" t="s">
        <v>12</v>
      </c>
      <c r="I576" t="s">
        <v>941</v>
      </c>
      <c r="J576" t="str">
        <f>IF(ISBLANK(Table1[[#This Row],[PaidDate]]),"Unpaid",IF(Table1[[#This Row],[PaidDate]]&gt;Table1[[#This Row],[DueDate]],"Late",IF(Table1[[#This Row],[PaidDate]]&lt;Table1[[#This Row],[DueDate]],"Early","On Time")))</f>
        <v>Unpaid</v>
      </c>
      <c r="K576" t="str">
        <f ca="1">IF(AND(Table1[[#This Row],[Status]]&lt;&gt;"Paid",TODAY()&gt;Table1[[#This Row],[DueDate]]),"Overdue","OK")</f>
        <v>Overdue</v>
      </c>
    </row>
    <row r="577" spans="1:11" x14ac:dyDescent="0.3">
      <c r="A577" t="s">
        <v>1521</v>
      </c>
      <c r="B577" t="s">
        <v>940</v>
      </c>
      <c r="C577" s="1">
        <v>45491</v>
      </c>
      <c r="D577" s="1">
        <v>45521</v>
      </c>
      <c r="E577" s="2">
        <v>4516.3100000000004</v>
      </c>
      <c r="F577" t="s">
        <v>11</v>
      </c>
      <c r="G577" t="s">
        <v>17</v>
      </c>
      <c r="I577" t="s">
        <v>941</v>
      </c>
      <c r="J577" t="str">
        <f>IF(ISBLANK(Table1[[#This Row],[PaidDate]]),"Unpaid",IF(Table1[[#This Row],[PaidDate]]&gt;Table1[[#This Row],[DueDate]],"Late",IF(Table1[[#This Row],[PaidDate]]&lt;Table1[[#This Row],[DueDate]],"Early","On Time")))</f>
        <v>Unpaid</v>
      </c>
      <c r="K577" t="str">
        <f ca="1">IF(AND(Table1[[#This Row],[Status]]&lt;&gt;"Paid",TODAY()&gt;Table1[[#This Row],[DueDate]]),"Overdue","OK")</f>
        <v>Overdue</v>
      </c>
    </row>
    <row r="578" spans="1:11" x14ac:dyDescent="0.3">
      <c r="A578" t="s">
        <v>1522</v>
      </c>
      <c r="B578" t="s">
        <v>944</v>
      </c>
      <c r="C578" s="1">
        <v>45554</v>
      </c>
      <c r="D578" s="1">
        <v>45584</v>
      </c>
      <c r="E578" s="2">
        <v>1978.27</v>
      </c>
      <c r="F578" t="s">
        <v>11</v>
      </c>
      <c r="G578" t="s">
        <v>951</v>
      </c>
      <c r="H578" s="1">
        <v>45584</v>
      </c>
      <c r="I578" t="s">
        <v>941</v>
      </c>
      <c r="J578" t="str">
        <f>IF(ISBLANK(Table1[[#This Row],[PaidDate]]),"Unpaid",IF(Table1[[#This Row],[PaidDate]]&gt;Table1[[#This Row],[DueDate]],"Late",IF(Table1[[#This Row],[PaidDate]]&lt;Table1[[#This Row],[DueDate]],"Early","On Time")))</f>
        <v>On Time</v>
      </c>
      <c r="K578" t="str">
        <f ca="1">IF(AND(Table1[[#This Row],[Status]]&lt;&gt;"Paid",TODAY()&gt;Table1[[#This Row],[DueDate]]),"Overdue","OK")</f>
        <v>OK</v>
      </c>
    </row>
    <row r="579" spans="1:11" x14ac:dyDescent="0.3">
      <c r="A579" t="s">
        <v>1523</v>
      </c>
      <c r="B579" t="s">
        <v>946</v>
      </c>
      <c r="C579" s="1">
        <v>45417</v>
      </c>
      <c r="D579" s="1">
        <v>45447</v>
      </c>
      <c r="E579" s="2">
        <v>1703.15</v>
      </c>
      <c r="F579" t="s">
        <v>19</v>
      </c>
      <c r="G579" t="s">
        <v>951</v>
      </c>
      <c r="H579" s="1">
        <v>45447</v>
      </c>
      <c r="I579" t="s">
        <v>941</v>
      </c>
      <c r="J579" t="str">
        <f>IF(ISBLANK(Table1[[#This Row],[PaidDate]]),"Unpaid",IF(Table1[[#This Row],[PaidDate]]&gt;Table1[[#This Row],[DueDate]],"Late",IF(Table1[[#This Row],[PaidDate]]&lt;Table1[[#This Row],[DueDate]],"Early","On Time")))</f>
        <v>On Time</v>
      </c>
      <c r="K579" t="str">
        <f ca="1">IF(AND(Table1[[#This Row],[Status]]&lt;&gt;"Paid",TODAY()&gt;Table1[[#This Row],[DueDate]]),"Overdue","OK")</f>
        <v>OK</v>
      </c>
    </row>
    <row r="580" spans="1:11" x14ac:dyDescent="0.3">
      <c r="A580" t="s">
        <v>1524</v>
      </c>
      <c r="B580" t="s">
        <v>940</v>
      </c>
      <c r="C580" s="1">
        <v>45287</v>
      </c>
      <c r="D580" s="1">
        <v>45317</v>
      </c>
      <c r="E580" s="2">
        <v>765.18</v>
      </c>
      <c r="F580" t="s">
        <v>11</v>
      </c>
      <c r="G580" t="s">
        <v>17</v>
      </c>
      <c r="I580" t="s">
        <v>941</v>
      </c>
      <c r="J580" t="str">
        <f>IF(ISBLANK(Table1[[#This Row],[PaidDate]]),"Unpaid",IF(Table1[[#This Row],[PaidDate]]&gt;Table1[[#This Row],[DueDate]],"Late",IF(Table1[[#This Row],[PaidDate]]&lt;Table1[[#This Row],[DueDate]],"Early","On Time")))</f>
        <v>Unpaid</v>
      </c>
      <c r="K580" t="str">
        <f ca="1">IF(AND(Table1[[#This Row],[Status]]&lt;&gt;"Paid",TODAY()&gt;Table1[[#This Row],[DueDate]]),"Overdue","OK")</f>
        <v>Overdue</v>
      </c>
    </row>
    <row r="581" spans="1:11" x14ac:dyDescent="0.3">
      <c r="A581" t="s">
        <v>1525</v>
      </c>
      <c r="B581" t="s">
        <v>944</v>
      </c>
      <c r="C581" s="1">
        <v>44992</v>
      </c>
      <c r="D581" s="1">
        <v>45022</v>
      </c>
      <c r="E581" s="2">
        <v>4823.6099999999997</v>
      </c>
      <c r="F581" t="s">
        <v>28</v>
      </c>
      <c r="G581" t="s">
        <v>17</v>
      </c>
      <c r="I581" t="s">
        <v>941</v>
      </c>
      <c r="J581" t="str">
        <f>IF(ISBLANK(Table1[[#This Row],[PaidDate]]),"Unpaid",IF(Table1[[#This Row],[PaidDate]]&gt;Table1[[#This Row],[DueDate]],"Late",IF(Table1[[#This Row],[PaidDate]]&lt;Table1[[#This Row],[DueDate]],"Early","On Time")))</f>
        <v>Unpaid</v>
      </c>
      <c r="K581" t="str">
        <f ca="1">IF(AND(Table1[[#This Row],[Status]]&lt;&gt;"Paid",TODAY()&gt;Table1[[#This Row],[DueDate]]),"Overdue","OK")</f>
        <v>Overdue</v>
      </c>
    </row>
    <row r="582" spans="1:11" x14ac:dyDescent="0.3">
      <c r="A582" t="s">
        <v>1526</v>
      </c>
      <c r="B582" t="s">
        <v>966</v>
      </c>
      <c r="C582" s="1">
        <v>45813</v>
      </c>
      <c r="D582" s="1">
        <v>45843</v>
      </c>
      <c r="E582" s="2">
        <v>929.8</v>
      </c>
      <c r="F582" t="s">
        <v>11</v>
      </c>
      <c r="G582" t="s">
        <v>951</v>
      </c>
      <c r="H582" s="1">
        <v>45843</v>
      </c>
      <c r="I582" t="s">
        <v>941</v>
      </c>
      <c r="J582" t="str">
        <f>IF(ISBLANK(Table1[[#This Row],[PaidDate]]),"Unpaid",IF(Table1[[#This Row],[PaidDate]]&gt;Table1[[#This Row],[DueDate]],"Late",IF(Table1[[#This Row],[PaidDate]]&lt;Table1[[#This Row],[DueDate]],"Early","On Time")))</f>
        <v>On Time</v>
      </c>
      <c r="K582" t="str">
        <f ca="1">IF(AND(Table1[[#This Row],[Status]]&lt;&gt;"Paid",TODAY()&gt;Table1[[#This Row],[DueDate]]),"Overdue","OK")</f>
        <v>OK</v>
      </c>
    </row>
    <row r="583" spans="1:11" x14ac:dyDescent="0.3">
      <c r="A583" t="s">
        <v>1527</v>
      </c>
      <c r="B583" t="s">
        <v>962</v>
      </c>
      <c r="C583" s="1">
        <v>45349</v>
      </c>
      <c r="D583" s="1">
        <v>45379</v>
      </c>
      <c r="E583" s="2">
        <v>4543.1099999999997</v>
      </c>
      <c r="F583" t="s">
        <v>11</v>
      </c>
      <c r="G583" t="s">
        <v>951</v>
      </c>
      <c r="H583" s="1">
        <v>45379</v>
      </c>
      <c r="I583" t="s">
        <v>941</v>
      </c>
      <c r="J583" t="str">
        <f>IF(ISBLANK(Table1[[#This Row],[PaidDate]]),"Unpaid",IF(Table1[[#This Row],[PaidDate]]&gt;Table1[[#This Row],[DueDate]],"Late",IF(Table1[[#This Row],[PaidDate]]&lt;Table1[[#This Row],[DueDate]],"Early","On Time")))</f>
        <v>On Time</v>
      </c>
      <c r="K583" t="str">
        <f ca="1">IF(AND(Table1[[#This Row],[Status]]&lt;&gt;"Paid",TODAY()&gt;Table1[[#This Row],[DueDate]]),"Overdue","OK")</f>
        <v>OK</v>
      </c>
    </row>
    <row r="584" spans="1:11" x14ac:dyDescent="0.3">
      <c r="A584" t="s">
        <v>1528</v>
      </c>
      <c r="B584" t="s">
        <v>940</v>
      </c>
      <c r="C584" s="1">
        <v>45354</v>
      </c>
      <c r="D584" s="1">
        <v>45384</v>
      </c>
      <c r="E584" s="2">
        <v>3165.91</v>
      </c>
      <c r="F584" t="s">
        <v>28</v>
      </c>
      <c r="G584" t="s">
        <v>12</v>
      </c>
      <c r="I584" t="s">
        <v>941</v>
      </c>
      <c r="J584" t="str">
        <f>IF(ISBLANK(Table1[[#This Row],[PaidDate]]),"Unpaid",IF(Table1[[#This Row],[PaidDate]]&gt;Table1[[#This Row],[DueDate]],"Late",IF(Table1[[#This Row],[PaidDate]]&lt;Table1[[#This Row],[DueDate]],"Early","On Time")))</f>
        <v>Unpaid</v>
      </c>
      <c r="K584" t="str">
        <f ca="1">IF(AND(Table1[[#This Row],[Status]]&lt;&gt;"Paid",TODAY()&gt;Table1[[#This Row],[DueDate]]),"Overdue","OK")</f>
        <v>Overdue</v>
      </c>
    </row>
    <row r="585" spans="1:11" x14ac:dyDescent="0.3">
      <c r="A585" t="s">
        <v>1529</v>
      </c>
      <c r="B585" t="s">
        <v>966</v>
      </c>
      <c r="C585" s="1">
        <v>45749</v>
      </c>
      <c r="D585" s="1">
        <v>45779</v>
      </c>
      <c r="E585" s="2">
        <v>674.53</v>
      </c>
      <c r="F585" t="s">
        <v>11</v>
      </c>
      <c r="G585" t="s">
        <v>12</v>
      </c>
      <c r="I585" t="s">
        <v>941</v>
      </c>
      <c r="J585" t="str">
        <f>IF(ISBLANK(Table1[[#This Row],[PaidDate]]),"Unpaid",IF(Table1[[#This Row],[PaidDate]]&gt;Table1[[#This Row],[DueDate]],"Late",IF(Table1[[#This Row],[PaidDate]]&lt;Table1[[#This Row],[DueDate]],"Early","On Time")))</f>
        <v>Unpaid</v>
      </c>
      <c r="K585" t="str">
        <f ca="1">IF(AND(Table1[[#This Row],[Status]]&lt;&gt;"Paid",TODAY()&gt;Table1[[#This Row],[DueDate]]),"Overdue","OK")</f>
        <v>Overdue</v>
      </c>
    </row>
    <row r="586" spans="1:11" x14ac:dyDescent="0.3">
      <c r="A586" t="s">
        <v>1530</v>
      </c>
      <c r="B586" t="s">
        <v>940</v>
      </c>
      <c r="C586" s="1">
        <v>45342</v>
      </c>
      <c r="D586" s="1">
        <v>45372</v>
      </c>
      <c r="E586" s="2">
        <v>860.37</v>
      </c>
      <c r="F586" t="s">
        <v>16</v>
      </c>
      <c r="G586" t="s">
        <v>951</v>
      </c>
      <c r="H586" s="1">
        <v>45372</v>
      </c>
      <c r="I586" t="s">
        <v>941</v>
      </c>
      <c r="J586" t="str">
        <f>IF(ISBLANK(Table1[[#This Row],[PaidDate]]),"Unpaid",IF(Table1[[#This Row],[PaidDate]]&gt;Table1[[#This Row],[DueDate]],"Late",IF(Table1[[#This Row],[PaidDate]]&lt;Table1[[#This Row],[DueDate]],"Early","On Time")))</f>
        <v>On Time</v>
      </c>
      <c r="K586" t="str">
        <f ca="1">IF(AND(Table1[[#This Row],[Status]]&lt;&gt;"Paid",TODAY()&gt;Table1[[#This Row],[DueDate]]),"Overdue","OK")</f>
        <v>OK</v>
      </c>
    </row>
    <row r="587" spans="1:11" x14ac:dyDescent="0.3">
      <c r="A587" t="s">
        <v>1531</v>
      </c>
      <c r="B587" t="s">
        <v>940</v>
      </c>
      <c r="C587" s="1">
        <v>44953</v>
      </c>
      <c r="D587" s="1">
        <v>44983</v>
      </c>
      <c r="E587" s="2">
        <v>1506.08</v>
      </c>
      <c r="F587" t="s">
        <v>16</v>
      </c>
      <c r="G587" t="s">
        <v>12</v>
      </c>
      <c r="I587" t="s">
        <v>941</v>
      </c>
      <c r="J587" t="str">
        <f>IF(ISBLANK(Table1[[#This Row],[PaidDate]]),"Unpaid",IF(Table1[[#This Row],[PaidDate]]&gt;Table1[[#This Row],[DueDate]],"Late",IF(Table1[[#This Row],[PaidDate]]&lt;Table1[[#This Row],[DueDate]],"Early","On Time")))</f>
        <v>Unpaid</v>
      </c>
      <c r="K587" t="str">
        <f ca="1">IF(AND(Table1[[#This Row],[Status]]&lt;&gt;"Paid",TODAY()&gt;Table1[[#This Row],[DueDate]]),"Overdue","OK")</f>
        <v>Overdue</v>
      </c>
    </row>
    <row r="588" spans="1:11" x14ac:dyDescent="0.3">
      <c r="A588" t="s">
        <v>1532</v>
      </c>
      <c r="B588" t="s">
        <v>962</v>
      </c>
      <c r="C588" s="1">
        <v>45163</v>
      </c>
      <c r="D588" s="1">
        <v>45193</v>
      </c>
      <c r="E588" s="2">
        <v>1413.73</v>
      </c>
      <c r="F588" t="s">
        <v>28</v>
      </c>
      <c r="G588" t="s">
        <v>17</v>
      </c>
      <c r="I588" t="s">
        <v>941</v>
      </c>
      <c r="J588" t="str">
        <f>IF(ISBLANK(Table1[[#This Row],[PaidDate]]),"Unpaid",IF(Table1[[#This Row],[PaidDate]]&gt;Table1[[#This Row],[DueDate]],"Late",IF(Table1[[#This Row],[PaidDate]]&lt;Table1[[#This Row],[DueDate]],"Early","On Time")))</f>
        <v>Unpaid</v>
      </c>
      <c r="K588" t="str">
        <f ca="1">IF(AND(Table1[[#This Row],[Status]]&lt;&gt;"Paid",TODAY()&gt;Table1[[#This Row],[DueDate]]),"Overdue","OK")</f>
        <v>Overdue</v>
      </c>
    </row>
    <row r="589" spans="1:11" x14ac:dyDescent="0.3">
      <c r="A589" t="s">
        <v>1533</v>
      </c>
      <c r="B589" t="s">
        <v>946</v>
      </c>
      <c r="C589" s="1">
        <v>45230</v>
      </c>
      <c r="D589" s="1">
        <v>45260</v>
      </c>
      <c r="E589" s="2">
        <v>3386.32</v>
      </c>
      <c r="F589" t="s">
        <v>16</v>
      </c>
      <c r="G589" t="s">
        <v>951</v>
      </c>
      <c r="H589" s="1">
        <v>45260</v>
      </c>
      <c r="I589" t="s">
        <v>941</v>
      </c>
      <c r="J589" t="str">
        <f>IF(ISBLANK(Table1[[#This Row],[PaidDate]]),"Unpaid",IF(Table1[[#This Row],[PaidDate]]&gt;Table1[[#This Row],[DueDate]],"Late",IF(Table1[[#This Row],[PaidDate]]&lt;Table1[[#This Row],[DueDate]],"Early","On Time")))</f>
        <v>On Time</v>
      </c>
      <c r="K589" t="str">
        <f ca="1">IF(AND(Table1[[#This Row],[Status]]&lt;&gt;"Paid",TODAY()&gt;Table1[[#This Row],[DueDate]]),"Overdue","OK")</f>
        <v>OK</v>
      </c>
    </row>
    <row r="590" spans="1:11" x14ac:dyDescent="0.3">
      <c r="A590" t="s">
        <v>1534</v>
      </c>
      <c r="B590" t="s">
        <v>940</v>
      </c>
      <c r="C590" s="1">
        <v>45633</v>
      </c>
      <c r="D590" s="1">
        <v>45663</v>
      </c>
      <c r="E590" s="2">
        <v>3632.78</v>
      </c>
      <c r="F590" t="s">
        <v>11</v>
      </c>
      <c r="G590" t="s">
        <v>951</v>
      </c>
      <c r="H590" s="1">
        <v>45663</v>
      </c>
      <c r="I590" t="s">
        <v>941</v>
      </c>
      <c r="J590" t="str">
        <f>IF(ISBLANK(Table1[[#This Row],[PaidDate]]),"Unpaid",IF(Table1[[#This Row],[PaidDate]]&gt;Table1[[#This Row],[DueDate]],"Late",IF(Table1[[#This Row],[PaidDate]]&lt;Table1[[#This Row],[DueDate]],"Early","On Time")))</f>
        <v>On Time</v>
      </c>
      <c r="K590" t="str">
        <f ca="1">IF(AND(Table1[[#This Row],[Status]]&lt;&gt;"Paid",TODAY()&gt;Table1[[#This Row],[DueDate]]),"Overdue","OK")</f>
        <v>OK</v>
      </c>
    </row>
    <row r="591" spans="1:11" x14ac:dyDescent="0.3">
      <c r="A591" t="s">
        <v>1535</v>
      </c>
      <c r="B591" t="s">
        <v>966</v>
      </c>
      <c r="C591" s="1">
        <v>45474</v>
      </c>
      <c r="D591" s="1">
        <v>45504</v>
      </c>
      <c r="E591" s="2">
        <v>994.97</v>
      </c>
      <c r="F591" t="s">
        <v>26</v>
      </c>
      <c r="G591" t="s">
        <v>951</v>
      </c>
      <c r="H591" s="1">
        <v>45504</v>
      </c>
      <c r="I591" t="s">
        <v>941</v>
      </c>
      <c r="J591" t="str">
        <f>IF(ISBLANK(Table1[[#This Row],[PaidDate]]),"Unpaid",IF(Table1[[#This Row],[PaidDate]]&gt;Table1[[#This Row],[DueDate]],"Late",IF(Table1[[#This Row],[PaidDate]]&lt;Table1[[#This Row],[DueDate]],"Early","On Time")))</f>
        <v>On Time</v>
      </c>
      <c r="K591" t="str">
        <f ca="1">IF(AND(Table1[[#This Row],[Status]]&lt;&gt;"Paid",TODAY()&gt;Table1[[#This Row],[DueDate]]),"Overdue","OK")</f>
        <v>OK</v>
      </c>
    </row>
    <row r="592" spans="1:11" x14ac:dyDescent="0.3">
      <c r="A592" t="s">
        <v>1536</v>
      </c>
      <c r="B592" t="s">
        <v>966</v>
      </c>
      <c r="C592" s="1">
        <v>45282</v>
      </c>
      <c r="D592" s="1">
        <v>45312</v>
      </c>
      <c r="E592" s="2">
        <v>2164.98</v>
      </c>
      <c r="F592" t="s">
        <v>28</v>
      </c>
      <c r="G592" t="s">
        <v>951</v>
      </c>
      <c r="H592" s="1">
        <v>45312</v>
      </c>
      <c r="I592" t="s">
        <v>941</v>
      </c>
      <c r="J592" t="str">
        <f>IF(ISBLANK(Table1[[#This Row],[PaidDate]]),"Unpaid",IF(Table1[[#This Row],[PaidDate]]&gt;Table1[[#This Row],[DueDate]],"Late",IF(Table1[[#This Row],[PaidDate]]&lt;Table1[[#This Row],[DueDate]],"Early","On Time")))</f>
        <v>On Time</v>
      </c>
      <c r="K592" t="str">
        <f ca="1">IF(AND(Table1[[#This Row],[Status]]&lt;&gt;"Paid",TODAY()&gt;Table1[[#This Row],[DueDate]]),"Overdue","OK")</f>
        <v>OK</v>
      </c>
    </row>
    <row r="593" spans="1:11" x14ac:dyDescent="0.3">
      <c r="A593" t="s">
        <v>1537</v>
      </c>
      <c r="B593" t="s">
        <v>962</v>
      </c>
      <c r="C593" s="1">
        <v>45510</v>
      </c>
      <c r="D593" s="1">
        <v>45540</v>
      </c>
      <c r="E593" s="2">
        <v>3042.89</v>
      </c>
      <c r="F593" t="s">
        <v>28</v>
      </c>
      <c r="G593" t="s">
        <v>951</v>
      </c>
      <c r="H593" s="1">
        <v>45540</v>
      </c>
      <c r="I593" t="s">
        <v>941</v>
      </c>
      <c r="J593" t="str">
        <f>IF(ISBLANK(Table1[[#This Row],[PaidDate]]),"Unpaid",IF(Table1[[#This Row],[PaidDate]]&gt;Table1[[#This Row],[DueDate]],"Late",IF(Table1[[#This Row],[PaidDate]]&lt;Table1[[#This Row],[DueDate]],"Early","On Time")))</f>
        <v>On Time</v>
      </c>
      <c r="K593" t="str">
        <f ca="1">IF(AND(Table1[[#This Row],[Status]]&lt;&gt;"Paid",TODAY()&gt;Table1[[#This Row],[DueDate]]),"Overdue","OK")</f>
        <v>OK</v>
      </c>
    </row>
    <row r="594" spans="1:11" x14ac:dyDescent="0.3">
      <c r="A594" t="s">
        <v>1538</v>
      </c>
      <c r="B594" t="s">
        <v>940</v>
      </c>
      <c r="C594" s="1">
        <v>45245</v>
      </c>
      <c r="D594" s="1">
        <v>45275</v>
      </c>
      <c r="E594" s="2">
        <v>4101.79</v>
      </c>
      <c r="F594" t="s">
        <v>28</v>
      </c>
      <c r="G594" t="s">
        <v>951</v>
      </c>
      <c r="H594" s="1">
        <v>45275</v>
      </c>
      <c r="I594" t="s">
        <v>941</v>
      </c>
      <c r="J594" t="str">
        <f>IF(ISBLANK(Table1[[#This Row],[PaidDate]]),"Unpaid",IF(Table1[[#This Row],[PaidDate]]&gt;Table1[[#This Row],[DueDate]],"Late",IF(Table1[[#This Row],[PaidDate]]&lt;Table1[[#This Row],[DueDate]],"Early","On Time")))</f>
        <v>On Time</v>
      </c>
      <c r="K594" t="str">
        <f ca="1">IF(AND(Table1[[#This Row],[Status]]&lt;&gt;"Paid",TODAY()&gt;Table1[[#This Row],[DueDate]]),"Overdue","OK")</f>
        <v>OK</v>
      </c>
    </row>
    <row r="595" spans="1:11" x14ac:dyDescent="0.3">
      <c r="A595" t="s">
        <v>1539</v>
      </c>
      <c r="B595" t="s">
        <v>966</v>
      </c>
      <c r="C595" s="1">
        <v>45190</v>
      </c>
      <c r="D595" s="1">
        <v>45220</v>
      </c>
      <c r="E595" s="2">
        <v>3506.57</v>
      </c>
      <c r="F595" t="s">
        <v>19</v>
      </c>
      <c r="G595" t="s">
        <v>951</v>
      </c>
      <c r="H595" s="1">
        <v>45220</v>
      </c>
      <c r="I595" t="s">
        <v>941</v>
      </c>
      <c r="J595" t="str">
        <f>IF(ISBLANK(Table1[[#This Row],[PaidDate]]),"Unpaid",IF(Table1[[#This Row],[PaidDate]]&gt;Table1[[#This Row],[DueDate]],"Late",IF(Table1[[#This Row],[PaidDate]]&lt;Table1[[#This Row],[DueDate]],"Early","On Time")))</f>
        <v>On Time</v>
      </c>
      <c r="K595" t="str">
        <f ca="1">IF(AND(Table1[[#This Row],[Status]]&lt;&gt;"Paid",TODAY()&gt;Table1[[#This Row],[DueDate]]),"Overdue","OK")</f>
        <v>OK</v>
      </c>
    </row>
    <row r="596" spans="1:11" x14ac:dyDescent="0.3">
      <c r="A596" t="s">
        <v>1540</v>
      </c>
      <c r="B596" t="s">
        <v>966</v>
      </c>
      <c r="C596" s="1">
        <v>45797</v>
      </c>
      <c r="D596" s="1">
        <v>45827</v>
      </c>
      <c r="E596" s="2">
        <v>3352.25</v>
      </c>
      <c r="F596" t="s">
        <v>16</v>
      </c>
      <c r="G596" t="s">
        <v>12</v>
      </c>
      <c r="I596" t="s">
        <v>941</v>
      </c>
      <c r="J596" t="str">
        <f>IF(ISBLANK(Table1[[#This Row],[PaidDate]]),"Unpaid",IF(Table1[[#This Row],[PaidDate]]&gt;Table1[[#This Row],[DueDate]],"Late",IF(Table1[[#This Row],[PaidDate]]&lt;Table1[[#This Row],[DueDate]],"Early","On Time")))</f>
        <v>Unpaid</v>
      </c>
      <c r="K596" t="str">
        <f ca="1">IF(AND(Table1[[#This Row],[Status]]&lt;&gt;"Paid",TODAY()&gt;Table1[[#This Row],[DueDate]]),"Overdue","OK")</f>
        <v>Overdue</v>
      </c>
    </row>
    <row r="597" spans="1:11" x14ac:dyDescent="0.3">
      <c r="A597" t="s">
        <v>1541</v>
      </c>
      <c r="B597" t="s">
        <v>966</v>
      </c>
      <c r="C597" s="1">
        <v>45220</v>
      </c>
      <c r="D597" s="1">
        <v>45250</v>
      </c>
      <c r="E597" s="2">
        <v>940.15</v>
      </c>
      <c r="F597" t="s">
        <v>11</v>
      </c>
      <c r="G597" t="s">
        <v>17</v>
      </c>
      <c r="I597" t="s">
        <v>941</v>
      </c>
      <c r="J597" t="str">
        <f>IF(ISBLANK(Table1[[#This Row],[PaidDate]]),"Unpaid",IF(Table1[[#This Row],[PaidDate]]&gt;Table1[[#This Row],[DueDate]],"Late",IF(Table1[[#This Row],[PaidDate]]&lt;Table1[[#This Row],[DueDate]],"Early","On Time")))</f>
        <v>Unpaid</v>
      </c>
      <c r="K597" t="str">
        <f ca="1">IF(AND(Table1[[#This Row],[Status]]&lt;&gt;"Paid",TODAY()&gt;Table1[[#This Row],[DueDate]]),"Overdue","OK")</f>
        <v>Overdue</v>
      </c>
    </row>
    <row r="598" spans="1:11" x14ac:dyDescent="0.3">
      <c r="A598" t="s">
        <v>1542</v>
      </c>
      <c r="B598" t="s">
        <v>940</v>
      </c>
      <c r="C598" s="1">
        <v>45162</v>
      </c>
      <c r="D598" s="1">
        <v>45192</v>
      </c>
      <c r="E598" s="2">
        <v>3505.16</v>
      </c>
      <c r="F598" t="s">
        <v>11</v>
      </c>
      <c r="G598" t="s">
        <v>17</v>
      </c>
      <c r="I598" t="s">
        <v>941</v>
      </c>
      <c r="J598" t="str">
        <f>IF(ISBLANK(Table1[[#This Row],[PaidDate]]),"Unpaid",IF(Table1[[#This Row],[PaidDate]]&gt;Table1[[#This Row],[DueDate]],"Late",IF(Table1[[#This Row],[PaidDate]]&lt;Table1[[#This Row],[DueDate]],"Early","On Time")))</f>
        <v>Unpaid</v>
      </c>
      <c r="K598" t="str">
        <f ca="1">IF(AND(Table1[[#This Row],[Status]]&lt;&gt;"Paid",TODAY()&gt;Table1[[#This Row],[DueDate]]),"Overdue","OK")</f>
        <v>Overdue</v>
      </c>
    </row>
    <row r="599" spans="1:11" x14ac:dyDescent="0.3">
      <c r="A599" t="s">
        <v>1543</v>
      </c>
      <c r="B599" t="s">
        <v>962</v>
      </c>
      <c r="C599" s="1">
        <v>45420</v>
      </c>
      <c r="D599" s="1">
        <v>45450</v>
      </c>
      <c r="E599" s="2">
        <v>319.55</v>
      </c>
      <c r="F599" t="s">
        <v>16</v>
      </c>
      <c r="G599" t="s">
        <v>12</v>
      </c>
      <c r="I599" t="s">
        <v>941</v>
      </c>
      <c r="J599" t="str">
        <f>IF(ISBLANK(Table1[[#This Row],[PaidDate]]),"Unpaid",IF(Table1[[#This Row],[PaidDate]]&gt;Table1[[#This Row],[DueDate]],"Late",IF(Table1[[#This Row],[PaidDate]]&lt;Table1[[#This Row],[DueDate]],"Early","On Time")))</f>
        <v>Unpaid</v>
      </c>
      <c r="K599" t="str">
        <f ca="1">IF(AND(Table1[[#This Row],[Status]]&lt;&gt;"Paid",TODAY()&gt;Table1[[#This Row],[DueDate]]),"Overdue","OK")</f>
        <v>Overdue</v>
      </c>
    </row>
    <row r="600" spans="1:11" x14ac:dyDescent="0.3">
      <c r="A600" t="s">
        <v>1544</v>
      </c>
      <c r="B600" t="s">
        <v>946</v>
      </c>
      <c r="C600" s="1">
        <v>45223</v>
      </c>
      <c r="D600" s="1">
        <v>45253</v>
      </c>
      <c r="E600" s="2">
        <v>1360.57</v>
      </c>
      <c r="F600" t="s">
        <v>26</v>
      </c>
      <c r="G600" t="s">
        <v>951</v>
      </c>
      <c r="H600" s="1">
        <v>45253</v>
      </c>
      <c r="I600" t="s">
        <v>941</v>
      </c>
      <c r="J600" t="str">
        <f>IF(ISBLANK(Table1[[#This Row],[PaidDate]]),"Unpaid",IF(Table1[[#This Row],[PaidDate]]&gt;Table1[[#This Row],[DueDate]],"Late",IF(Table1[[#This Row],[PaidDate]]&lt;Table1[[#This Row],[DueDate]],"Early","On Time")))</f>
        <v>On Time</v>
      </c>
      <c r="K600" t="str">
        <f ca="1">IF(AND(Table1[[#This Row],[Status]]&lt;&gt;"Paid",TODAY()&gt;Table1[[#This Row],[DueDate]]),"Overdue","OK")</f>
        <v>OK</v>
      </c>
    </row>
    <row r="601" spans="1:11" x14ac:dyDescent="0.3">
      <c r="A601" t="s">
        <v>1545</v>
      </c>
      <c r="B601" t="s">
        <v>946</v>
      </c>
      <c r="C601" s="1">
        <v>45277</v>
      </c>
      <c r="D601" s="1">
        <v>45307</v>
      </c>
      <c r="E601" s="2">
        <v>2177.67</v>
      </c>
      <c r="F601" t="s">
        <v>11</v>
      </c>
      <c r="G601" t="s">
        <v>951</v>
      </c>
      <c r="H601" s="1">
        <v>45307</v>
      </c>
      <c r="I601" t="s">
        <v>941</v>
      </c>
      <c r="J601" t="str">
        <f>IF(ISBLANK(Table1[[#This Row],[PaidDate]]),"Unpaid",IF(Table1[[#This Row],[PaidDate]]&gt;Table1[[#This Row],[DueDate]],"Late",IF(Table1[[#This Row],[PaidDate]]&lt;Table1[[#This Row],[DueDate]],"Early","On Time")))</f>
        <v>On Time</v>
      </c>
      <c r="K601" t="str">
        <f ca="1">IF(AND(Table1[[#This Row],[Status]]&lt;&gt;"Paid",TODAY()&gt;Table1[[#This Row],[DueDate]]),"Overdue","OK")</f>
        <v>OK</v>
      </c>
    </row>
    <row r="602" spans="1:11" x14ac:dyDescent="0.3">
      <c r="A602" t="s">
        <v>1546</v>
      </c>
      <c r="B602" t="s">
        <v>962</v>
      </c>
      <c r="C602" s="1">
        <v>45004</v>
      </c>
      <c r="D602" s="1">
        <v>45034</v>
      </c>
      <c r="E602" s="2">
        <v>203.9</v>
      </c>
      <c r="F602" t="s">
        <v>26</v>
      </c>
      <c r="G602" t="s">
        <v>17</v>
      </c>
      <c r="I602" t="s">
        <v>941</v>
      </c>
      <c r="J602" t="str">
        <f>IF(ISBLANK(Table1[[#This Row],[PaidDate]]),"Unpaid",IF(Table1[[#This Row],[PaidDate]]&gt;Table1[[#This Row],[DueDate]],"Late",IF(Table1[[#This Row],[PaidDate]]&lt;Table1[[#This Row],[DueDate]],"Early","On Time")))</f>
        <v>Unpaid</v>
      </c>
      <c r="K602" t="str">
        <f ca="1">IF(AND(Table1[[#This Row],[Status]]&lt;&gt;"Paid",TODAY()&gt;Table1[[#This Row],[DueDate]]),"Overdue","OK")</f>
        <v>Overdue</v>
      </c>
    </row>
    <row r="603" spans="1:11" x14ac:dyDescent="0.3">
      <c r="A603" t="s">
        <v>1547</v>
      </c>
      <c r="B603" t="s">
        <v>940</v>
      </c>
      <c r="C603" s="1">
        <v>45227</v>
      </c>
      <c r="D603" s="1">
        <v>45257</v>
      </c>
      <c r="E603" s="2">
        <v>868.73</v>
      </c>
      <c r="F603" t="s">
        <v>28</v>
      </c>
      <c r="G603" t="s">
        <v>951</v>
      </c>
      <c r="H603" s="1">
        <v>45257</v>
      </c>
      <c r="I603" t="s">
        <v>941</v>
      </c>
      <c r="J603" t="str">
        <f>IF(ISBLANK(Table1[[#This Row],[PaidDate]]),"Unpaid",IF(Table1[[#This Row],[PaidDate]]&gt;Table1[[#This Row],[DueDate]],"Late",IF(Table1[[#This Row],[PaidDate]]&lt;Table1[[#This Row],[DueDate]],"Early","On Time")))</f>
        <v>On Time</v>
      </c>
      <c r="K603" t="str">
        <f ca="1">IF(AND(Table1[[#This Row],[Status]]&lt;&gt;"Paid",TODAY()&gt;Table1[[#This Row],[DueDate]]),"Overdue","OK")</f>
        <v>OK</v>
      </c>
    </row>
    <row r="604" spans="1:11" x14ac:dyDescent="0.3">
      <c r="A604" t="s">
        <v>1548</v>
      </c>
      <c r="B604" t="s">
        <v>966</v>
      </c>
      <c r="C604" s="1">
        <v>45082</v>
      </c>
      <c r="D604" s="1">
        <v>45112</v>
      </c>
      <c r="E604" s="2">
        <v>283.51</v>
      </c>
      <c r="F604" t="s">
        <v>28</v>
      </c>
      <c r="G604" t="s">
        <v>17</v>
      </c>
      <c r="I604" t="s">
        <v>941</v>
      </c>
      <c r="J604" t="str">
        <f>IF(ISBLANK(Table1[[#This Row],[PaidDate]]),"Unpaid",IF(Table1[[#This Row],[PaidDate]]&gt;Table1[[#This Row],[DueDate]],"Late",IF(Table1[[#This Row],[PaidDate]]&lt;Table1[[#This Row],[DueDate]],"Early","On Time")))</f>
        <v>Unpaid</v>
      </c>
      <c r="K604" t="str">
        <f ca="1">IF(AND(Table1[[#This Row],[Status]]&lt;&gt;"Paid",TODAY()&gt;Table1[[#This Row],[DueDate]]),"Overdue","OK")</f>
        <v>Overdue</v>
      </c>
    </row>
    <row r="605" spans="1:11" x14ac:dyDescent="0.3">
      <c r="A605" t="s">
        <v>1549</v>
      </c>
      <c r="B605" t="s">
        <v>944</v>
      </c>
      <c r="C605" s="1">
        <v>45625</v>
      </c>
      <c r="D605" s="1">
        <v>45655</v>
      </c>
      <c r="E605" s="2">
        <v>1373.89</v>
      </c>
      <c r="F605" t="s">
        <v>11</v>
      </c>
      <c r="G605" t="s">
        <v>12</v>
      </c>
      <c r="I605" t="s">
        <v>941</v>
      </c>
      <c r="J605" t="str">
        <f>IF(ISBLANK(Table1[[#This Row],[PaidDate]]),"Unpaid",IF(Table1[[#This Row],[PaidDate]]&gt;Table1[[#This Row],[DueDate]],"Late",IF(Table1[[#This Row],[PaidDate]]&lt;Table1[[#This Row],[DueDate]],"Early","On Time")))</f>
        <v>Unpaid</v>
      </c>
      <c r="K605" t="str">
        <f ca="1">IF(AND(Table1[[#This Row],[Status]]&lt;&gt;"Paid",TODAY()&gt;Table1[[#This Row],[DueDate]]),"Overdue","OK")</f>
        <v>Overdue</v>
      </c>
    </row>
    <row r="606" spans="1:11" x14ac:dyDescent="0.3">
      <c r="A606" t="s">
        <v>1550</v>
      </c>
      <c r="B606" t="s">
        <v>940</v>
      </c>
      <c r="C606" s="1">
        <v>45794</v>
      </c>
      <c r="D606" s="1">
        <v>45824</v>
      </c>
      <c r="E606" s="2">
        <v>1032.8399999999999</v>
      </c>
      <c r="F606" t="s">
        <v>11</v>
      </c>
      <c r="G606" t="s">
        <v>12</v>
      </c>
      <c r="I606" t="s">
        <v>941</v>
      </c>
      <c r="J606" t="str">
        <f>IF(ISBLANK(Table1[[#This Row],[PaidDate]]),"Unpaid",IF(Table1[[#This Row],[PaidDate]]&gt;Table1[[#This Row],[DueDate]],"Late",IF(Table1[[#This Row],[PaidDate]]&lt;Table1[[#This Row],[DueDate]],"Early","On Time")))</f>
        <v>Unpaid</v>
      </c>
      <c r="K606" t="str">
        <f ca="1">IF(AND(Table1[[#This Row],[Status]]&lt;&gt;"Paid",TODAY()&gt;Table1[[#This Row],[DueDate]]),"Overdue","OK")</f>
        <v>Overdue</v>
      </c>
    </row>
    <row r="607" spans="1:11" x14ac:dyDescent="0.3">
      <c r="A607" t="s">
        <v>1551</v>
      </c>
      <c r="B607" t="s">
        <v>946</v>
      </c>
      <c r="C607" s="1">
        <v>45623</v>
      </c>
      <c r="D607" s="1">
        <v>45653</v>
      </c>
      <c r="E607" s="2">
        <v>389.67</v>
      </c>
      <c r="F607" t="s">
        <v>19</v>
      </c>
      <c r="G607" t="s">
        <v>12</v>
      </c>
      <c r="I607" t="s">
        <v>941</v>
      </c>
      <c r="J607" t="str">
        <f>IF(ISBLANK(Table1[[#This Row],[PaidDate]]),"Unpaid",IF(Table1[[#This Row],[PaidDate]]&gt;Table1[[#This Row],[DueDate]],"Late",IF(Table1[[#This Row],[PaidDate]]&lt;Table1[[#This Row],[DueDate]],"Early","On Time")))</f>
        <v>Unpaid</v>
      </c>
      <c r="K607" t="str">
        <f ca="1">IF(AND(Table1[[#This Row],[Status]]&lt;&gt;"Paid",TODAY()&gt;Table1[[#This Row],[DueDate]]),"Overdue","OK")</f>
        <v>Overdue</v>
      </c>
    </row>
    <row r="608" spans="1:11" x14ac:dyDescent="0.3">
      <c r="A608" t="s">
        <v>1552</v>
      </c>
      <c r="B608" t="s">
        <v>940</v>
      </c>
      <c r="C608" s="1">
        <v>44988</v>
      </c>
      <c r="D608" s="1">
        <v>45018</v>
      </c>
      <c r="E608" s="2">
        <v>3748.86</v>
      </c>
      <c r="F608" t="s">
        <v>16</v>
      </c>
      <c r="G608" t="s">
        <v>12</v>
      </c>
      <c r="I608" t="s">
        <v>941</v>
      </c>
      <c r="J608" t="str">
        <f>IF(ISBLANK(Table1[[#This Row],[PaidDate]]),"Unpaid",IF(Table1[[#This Row],[PaidDate]]&gt;Table1[[#This Row],[DueDate]],"Late",IF(Table1[[#This Row],[PaidDate]]&lt;Table1[[#This Row],[DueDate]],"Early","On Time")))</f>
        <v>Unpaid</v>
      </c>
      <c r="K608" t="str">
        <f ca="1">IF(AND(Table1[[#This Row],[Status]]&lt;&gt;"Paid",TODAY()&gt;Table1[[#This Row],[DueDate]]),"Overdue","OK")</f>
        <v>Overdue</v>
      </c>
    </row>
    <row r="609" spans="1:11" x14ac:dyDescent="0.3">
      <c r="A609" t="s">
        <v>1553</v>
      </c>
      <c r="B609" t="s">
        <v>966</v>
      </c>
      <c r="C609" s="1">
        <v>45635</v>
      </c>
      <c r="D609" s="1">
        <v>45665</v>
      </c>
      <c r="E609" s="2">
        <v>4546.88</v>
      </c>
      <c r="F609" t="s">
        <v>11</v>
      </c>
      <c r="G609" t="s">
        <v>17</v>
      </c>
      <c r="I609" t="s">
        <v>941</v>
      </c>
      <c r="J609" t="str">
        <f>IF(ISBLANK(Table1[[#This Row],[PaidDate]]),"Unpaid",IF(Table1[[#This Row],[PaidDate]]&gt;Table1[[#This Row],[DueDate]],"Late",IF(Table1[[#This Row],[PaidDate]]&lt;Table1[[#This Row],[DueDate]],"Early","On Time")))</f>
        <v>Unpaid</v>
      </c>
      <c r="K609" t="str">
        <f ca="1">IF(AND(Table1[[#This Row],[Status]]&lt;&gt;"Paid",TODAY()&gt;Table1[[#This Row],[DueDate]]),"Overdue","OK")</f>
        <v>Overdue</v>
      </c>
    </row>
    <row r="610" spans="1:11" x14ac:dyDescent="0.3">
      <c r="A610" t="s">
        <v>1554</v>
      </c>
      <c r="B610" t="s">
        <v>962</v>
      </c>
      <c r="C610" s="1">
        <v>45299</v>
      </c>
      <c r="D610" s="1">
        <v>45329</v>
      </c>
      <c r="E610" s="2">
        <v>3439.51</v>
      </c>
      <c r="F610" t="s">
        <v>28</v>
      </c>
      <c r="G610" t="s">
        <v>12</v>
      </c>
      <c r="I610" t="s">
        <v>941</v>
      </c>
      <c r="J610" t="str">
        <f>IF(ISBLANK(Table1[[#This Row],[PaidDate]]),"Unpaid",IF(Table1[[#This Row],[PaidDate]]&gt;Table1[[#This Row],[DueDate]],"Late",IF(Table1[[#This Row],[PaidDate]]&lt;Table1[[#This Row],[DueDate]],"Early","On Time")))</f>
        <v>Unpaid</v>
      </c>
      <c r="K610" t="str">
        <f ca="1">IF(AND(Table1[[#This Row],[Status]]&lt;&gt;"Paid",TODAY()&gt;Table1[[#This Row],[DueDate]]),"Overdue","OK")</f>
        <v>Overdue</v>
      </c>
    </row>
    <row r="611" spans="1:11" x14ac:dyDescent="0.3">
      <c r="A611" t="s">
        <v>1555</v>
      </c>
      <c r="B611" t="s">
        <v>966</v>
      </c>
      <c r="C611" s="1">
        <v>44976</v>
      </c>
      <c r="D611" s="1">
        <v>45006</v>
      </c>
      <c r="E611" s="2">
        <v>3319.57</v>
      </c>
      <c r="F611" t="s">
        <v>19</v>
      </c>
      <c r="G611" t="s">
        <v>17</v>
      </c>
      <c r="I611" t="s">
        <v>941</v>
      </c>
      <c r="J611" t="str">
        <f>IF(ISBLANK(Table1[[#This Row],[PaidDate]]),"Unpaid",IF(Table1[[#This Row],[PaidDate]]&gt;Table1[[#This Row],[DueDate]],"Late",IF(Table1[[#This Row],[PaidDate]]&lt;Table1[[#This Row],[DueDate]],"Early","On Time")))</f>
        <v>Unpaid</v>
      </c>
      <c r="K611" t="str">
        <f ca="1">IF(AND(Table1[[#This Row],[Status]]&lt;&gt;"Paid",TODAY()&gt;Table1[[#This Row],[DueDate]]),"Overdue","OK")</f>
        <v>Overdue</v>
      </c>
    </row>
    <row r="612" spans="1:11" x14ac:dyDescent="0.3">
      <c r="A612" t="s">
        <v>1556</v>
      </c>
      <c r="B612" t="s">
        <v>962</v>
      </c>
      <c r="C612" s="1">
        <v>44929</v>
      </c>
      <c r="D612" s="1">
        <v>44959</v>
      </c>
      <c r="E612" s="2">
        <v>3057.93</v>
      </c>
      <c r="F612" t="s">
        <v>26</v>
      </c>
      <c r="G612" t="s">
        <v>951</v>
      </c>
      <c r="H612" s="1">
        <v>44959</v>
      </c>
      <c r="I612" t="s">
        <v>941</v>
      </c>
      <c r="J612" t="str">
        <f>IF(ISBLANK(Table1[[#This Row],[PaidDate]]),"Unpaid",IF(Table1[[#This Row],[PaidDate]]&gt;Table1[[#This Row],[DueDate]],"Late",IF(Table1[[#This Row],[PaidDate]]&lt;Table1[[#This Row],[DueDate]],"Early","On Time")))</f>
        <v>On Time</v>
      </c>
      <c r="K612" t="str">
        <f ca="1">IF(AND(Table1[[#This Row],[Status]]&lt;&gt;"Paid",TODAY()&gt;Table1[[#This Row],[DueDate]]),"Overdue","OK")</f>
        <v>OK</v>
      </c>
    </row>
    <row r="613" spans="1:11" x14ac:dyDescent="0.3">
      <c r="A613" t="s">
        <v>1557</v>
      </c>
      <c r="B613" t="s">
        <v>946</v>
      </c>
      <c r="C613" s="1">
        <v>45495</v>
      </c>
      <c r="D613" s="1">
        <v>45525</v>
      </c>
      <c r="E613" s="2">
        <v>1043.05</v>
      </c>
      <c r="F613" t="s">
        <v>28</v>
      </c>
      <c r="G613" t="s">
        <v>12</v>
      </c>
      <c r="I613" t="s">
        <v>941</v>
      </c>
      <c r="J613" t="str">
        <f>IF(ISBLANK(Table1[[#This Row],[PaidDate]]),"Unpaid",IF(Table1[[#This Row],[PaidDate]]&gt;Table1[[#This Row],[DueDate]],"Late",IF(Table1[[#This Row],[PaidDate]]&lt;Table1[[#This Row],[DueDate]],"Early","On Time")))</f>
        <v>Unpaid</v>
      </c>
      <c r="K613" t="str">
        <f ca="1">IF(AND(Table1[[#This Row],[Status]]&lt;&gt;"Paid",TODAY()&gt;Table1[[#This Row],[DueDate]]),"Overdue","OK")</f>
        <v>Overdue</v>
      </c>
    </row>
    <row r="614" spans="1:11" x14ac:dyDescent="0.3">
      <c r="A614" t="s">
        <v>1558</v>
      </c>
      <c r="B614" t="s">
        <v>962</v>
      </c>
      <c r="C614" s="1">
        <v>45401</v>
      </c>
      <c r="D614" s="1">
        <v>45431</v>
      </c>
      <c r="E614" s="2">
        <v>1216.7</v>
      </c>
      <c r="F614" t="s">
        <v>19</v>
      </c>
      <c r="G614" t="s">
        <v>17</v>
      </c>
      <c r="I614" t="s">
        <v>941</v>
      </c>
      <c r="J614" t="str">
        <f>IF(ISBLANK(Table1[[#This Row],[PaidDate]]),"Unpaid",IF(Table1[[#This Row],[PaidDate]]&gt;Table1[[#This Row],[DueDate]],"Late",IF(Table1[[#This Row],[PaidDate]]&lt;Table1[[#This Row],[DueDate]],"Early","On Time")))</f>
        <v>Unpaid</v>
      </c>
      <c r="K614" t="str">
        <f ca="1">IF(AND(Table1[[#This Row],[Status]]&lt;&gt;"Paid",TODAY()&gt;Table1[[#This Row],[DueDate]]),"Overdue","OK")</f>
        <v>Overdue</v>
      </c>
    </row>
    <row r="615" spans="1:11" x14ac:dyDescent="0.3">
      <c r="A615" t="s">
        <v>1559</v>
      </c>
      <c r="B615" t="s">
        <v>966</v>
      </c>
      <c r="C615" s="1">
        <v>45085</v>
      </c>
      <c r="D615" s="1">
        <v>45115</v>
      </c>
      <c r="E615" s="2">
        <v>1242.77</v>
      </c>
      <c r="F615" t="s">
        <v>28</v>
      </c>
      <c r="G615" t="s">
        <v>17</v>
      </c>
      <c r="I615" t="s">
        <v>941</v>
      </c>
      <c r="J615" t="str">
        <f>IF(ISBLANK(Table1[[#This Row],[PaidDate]]),"Unpaid",IF(Table1[[#This Row],[PaidDate]]&gt;Table1[[#This Row],[DueDate]],"Late",IF(Table1[[#This Row],[PaidDate]]&lt;Table1[[#This Row],[DueDate]],"Early","On Time")))</f>
        <v>Unpaid</v>
      </c>
      <c r="K615" t="str">
        <f ca="1">IF(AND(Table1[[#This Row],[Status]]&lt;&gt;"Paid",TODAY()&gt;Table1[[#This Row],[DueDate]]),"Overdue","OK")</f>
        <v>Overdue</v>
      </c>
    </row>
    <row r="616" spans="1:11" x14ac:dyDescent="0.3">
      <c r="A616" t="s">
        <v>1560</v>
      </c>
      <c r="B616" t="s">
        <v>962</v>
      </c>
      <c r="C616" s="1">
        <v>44943</v>
      </c>
      <c r="D616" s="1">
        <v>44973</v>
      </c>
      <c r="E616" s="2">
        <v>1253.18</v>
      </c>
      <c r="F616" t="s">
        <v>16</v>
      </c>
      <c r="G616" t="s">
        <v>17</v>
      </c>
      <c r="I616" t="s">
        <v>941</v>
      </c>
      <c r="J616" t="str">
        <f>IF(ISBLANK(Table1[[#This Row],[PaidDate]]),"Unpaid",IF(Table1[[#This Row],[PaidDate]]&gt;Table1[[#This Row],[DueDate]],"Late",IF(Table1[[#This Row],[PaidDate]]&lt;Table1[[#This Row],[DueDate]],"Early","On Time")))</f>
        <v>Unpaid</v>
      </c>
      <c r="K616" t="str">
        <f ca="1">IF(AND(Table1[[#This Row],[Status]]&lt;&gt;"Paid",TODAY()&gt;Table1[[#This Row],[DueDate]]),"Overdue","OK")</f>
        <v>Overdue</v>
      </c>
    </row>
    <row r="617" spans="1:11" x14ac:dyDescent="0.3">
      <c r="A617" t="s">
        <v>1561</v>
      </c>
      <c r="B617" t="s">
        <v>946</v>
      </c>
      <c r="C617" s="1">
        <v>45278</v>
      </c>
      <c r="D617" s="1">
        <v>45308</v>
      </c>
      <c r="E617" s="2">
        <v>1423.03</v>
      </c>
      <c r="F617" t="s">
        <v>19</v>
      </c>
      <c r="G617" t="s">
        <v>17</v>
      </c>
      <c r="I617" t="s">
        <v>941</v>
      </c>
      <c r="J617" t="str">
        <f>IF(ISBLANK(Table1[[#This Row],[PaidDate]]),"Unpaid",IF(Table1[[#This Row],[PaidDate]]&gt;Table1[[#This Row],[DueDate]],"Late",IF(Table1[[#This Row],[PaidDate]]&lt;Table1[[#This Row],[DueDate]],"Early","On Time")))</f>
        <v>Unpaid</v>
      </c>
      <c r="K617" t="str">
        <f ca="1">IF(AND(Table1[[#This Row],[Status]]&lt;&gt;"Paid",TODAY()&gt;Table1[[#This Row],[DueDate]]),"Overdue","OK")</f>
        <v>Overdue</v>
      </c>
    </row>
    <row r="618" spans="1:11" x14ac:dyDescent="0.3">
      <c r="A618" t="s">
        <v>1562</v>
      </c>
      <c r="B618" t="s">
        <v>962</v>
      </c>
      <c r="C618" s="1">
        <v>44940</v>
      </c>
      <c r="D618" s="1">
        <v>44970</v>
      </c>
      <c r="E618" s="2">
        <v>908.37</v>
      </c>
      <c r="F618" t="s">
        <v>16</v>
      </c>
      <c r="G618" t="s">
        <v>951</v>
      </c>
      <c r="H618" s="1">
        <v>44970</v>
      </c>
      <c r="I618" t="s">
        <v>941</v>
      </c>
      <c r="J618" t="str">
        <f>IF(ISBLANK(Table1[[#This Row],[PaidDate]]),"Unpaid",IF(Table1[[#This Row],[PaidDate]]&gt;Table1[[#This Row],[DueDate]],"Late",IF(Table1[[#This Row],[PaidDate]]&lt;Table1[[#This Row],[DueDate]],"Early","On Time")))</f>
        <v>On Time</v>
      </c>
      <c r="K618" t="str">
        <f ca="1">IF(AND(Table1[[#This Row],[Status]]&lt;&gt;"Paid",TODAY()&gt;Table1[[#This Row],[DueDate]]),"Overdue","OK")</f>
        <v>OK</v>
      </c>
    </row>
    <row r="619" spans="1:11" x14ac:dyDescent="0.3">
      <c r="A619" t="s">
        <v>1563</v>
      </c>
      <c r="B619" t="s">
        <v>940</v>
      </c>
      <c r="C619" s="1">
        <v>45607</v>
      </c>
      <c r="D619" s="1">
        <v>45637</v>
      </c>
      <c r="E619" s="2">
        <v>4103.24</v>
      </c>
      <c r="F619" t="s">
        <v>19</v>
      </c>
      <c r="G619" t="s">
        <v>17</v>
      </c>
      <c r="I619" t="s">
        <v>941</v>
      </c>
      <c r="J619" t="str">
        <f>IF(ISBLANK(Table1[[#This Row],[PaidDate]]),"Unpaid",IF(Table1[[#This Row],[PaidDate]]&gt;Table1[[#This Row],[DueDate]],"Late",IF(Table1[[#This Row],[PaidDate]]&lt;Table1[[#This Row],[DueDate]],"Early","On Time")))</f>
        <v>Unpaid</v>
      </c>
      <c r="K619" t="str">
        <f ca="1">IF(AND(Table1[[#This Row],[Status]]&lt;&gt;"Paid",TODAY()&gt;Table1[[#This Row],[DueDate]]),"Overdue","OK")</f>
        <v>Overdue</v>
      </c>
    </row>
    <row r="620" spans="1:11" x14ac:dyDescent="0.3">
      <c r="A620" t="s">
        <v>1564</v>
      </c>
      <c r="B620" t="s">
        <v>962</v>
      </c>
      <c r="C620" s="1">
        <v>45591</v>
      </c>
      <c r="D620" s="1">
        <v>45621</v>
      </c>
      <c r="E620" s="2">
        <v>2557.84</v>
      </c>
      <c r="F620" t="s">
        <v>19</v>
      </c>
      <c r="G620" t="s">
        <v>12</v>
      </c>
      <c r="I620" t="s">
        <v>941</v>
      </c>
      <c r="J620" t="str">
        <f>IF(ISBLANK(Table1[[#This Row],[PaidDate]]),"Unpaid",IF(Table1[[#This Row],[PaidDate]]&gt;Table1[[#This Row],[DueDate]],"Late",IF(Table1[[#This Row],[PaidDate]]&lt;Table1[[#This Row],[DueDate]],"Early","On Time")))</f>
        <v>Unpaid</v>
      </c>
      <c r="K620" t="str">
        <f ca="1">IF(AND(Table1[[#This Row],[Status]]&lt;&gt;"Paid",TODAY()&gt;Table1[[#This Row],[DueDate]]),"Overdue","OK")</f>
        <v>Overdue</v>
      </c>
    </row>
    <row r="621" spans="1:11" x14ac:dyDescent="0.3">
      <c r="A621" t="s">
        <v>1565</v>
      </c>
      <c r="B621" t="s">
        <v>944</v>
      </c>
      <c r="C621" s="1">
        <v>44927</v>
      </c>
      <c r="D621" s="1">
        <v>44957</v>
      </c>
      <c r="E621" s="2">
        <v>4192.79</v>
      </c>
      <c r="F621" t="s">
        <v>28</v>
      </c>
      <c r="G621" t="s">
        <v>12</v>
      </c>
      <c r="I621" t="s">
        <v>941</v>
      </c>
      <c r="J621" t="str">
        <f>IF(ISBLANK(Table1[[#This Row],[PaidDate]]),"Unpaid",IF(Table1[[#This Row],[PaidDate]]&gt;Table1[[#This Row],[DueDate]],"Late",IF(Table1[[#This Row],[PaidDate]]&lt;Table1[[#This Row],[DueDate]],"Early","On Time")))</f>
        <v>Unpaid</v>
      </c>
      <c r="K621" t="str">
        <f ca="1">IF(AND(Table1[[#This Row],[Status]]&lt;&gt;"Paid",TODAY()&gt;Table1[[#This Row],[DueDate]]),"Overdue","OK")</f>
        <v>Overdue</v>
      </c>
    </row>
    <row r="622" spans="1:11" x14ac:dyDescent="0.3">
      <c r="A622" t="s">
        <v>1566</v>
      </c>
      <c r="B622" t="s">
        <v>946</v>
      </c>
      <c r="C622" s="1">
        <v>45605</v>
      </c>
      <c r="D622" s="1">
        <v>45635</v>
      </c>
      <c r="E622" s="2">
        <v>2144.7199999999998</v>
      </c>
      <c r="F622" t="s">
        <v>28</v>
      </c>
      <c r="G622" t="s">
        <v>12</v>
      </c>
      <c r="I622" t="s">
        <v>941</v>
      </c>
      <c r="J622" t="str">
        <f>IF(ISBLANK(Table1[[#This Row],[PaidDate]]),"Unpaid",IF(Table1[[#This Row],[PaidDate]]&gt;Table1[[#This Row],[DueDate]],"Late",IF(Table1[[#This Row],[PaidDate]]&lt;Table1[[#This Row],[DueDate]],"Early","On Time")))</f>
        <v>Unpaid</v>
      </c>
      <c r="K622" t="str">
        <f ca="1">IF(AND(Table1[[#This Row],[Status]]&lt;&gt;"Paid",TODAY()&gt;Table1[[#This Row],[DueDate]]),"Overdue","OK")</f>
        <v>Overdue</v>
      </c>
    </row>
    <row r="623" spans="1:11" x14ac:dyDescent="0.3">
      <c r="A623" t="s">
        <v>1567</v>
      </c>
      <c r="B623" t="s">
        <v>946</v>
      </c>
      <c r="C623" s="1">
        <v>45604</v>
      </c>
      <c r="D623" s="1">
        <v>45634</v>
      </c>
      <c r="E623" s="2">
        <v>669.43</v>
      </c>
      <c r="F623" t="s">
        <v>11</v>
      </c>
      <c r="G623" t="s">
        <v>17</v>
      </c>
      <c r="I623" t="s">
        <v>941</v>
      </c>
      <c r="J623" t="str">
        <f>IF(ISBLANK(Table1[[#This Row],[PaidDate]]),"Unpaid",IF(Table1[[#This Row],[PaidDate]]&gt;Table1[[#This Row],[DueDate]],"Late",IF(Table1[[#This Row],[PaidDate]]&lt;Table1[[#This Row],[DueDate]],"Early","On Time")))</f>
        <v>Unpaid</v>
      </c>
      <c r="K623" t="str">
        <f ca="1">IF(AND(Table1[[#This Row],[Status]]&lt;&gt;"Paid",TODAY()&gt;Table1[[#This Row],[DueDate]]),"Overdue","OK")</f>
        <v>Overdue</v>
      </c>
    </row>
    <row r="624" spans="1:11" x14ac:dyDescent="0.3">
      <c r="A624" t="s">
        <v>1568</v>
      </c>
      <c r="B624" t="s">
        <v>940</v>
      </c>
      <c r="C624" s="1">
        <v>45717</v>
      </c>
      <c r="D624" s="1">
        <v>45747</v>
      </c>
      <c r="E624" s="2">
        <v>2583.87</v>
      </c>
      <c r="F624" t="s">
        <v>28</v>
      </c>
      <c r="G624" t="s">
        <v>951</v>
      </c>
      <c r="H624" s="1">
        <v>45747</v>
      </c>
      <c r="I624" t="s">
        <v>941</v>
      </c>
      <c r="J624" t="str">
        <f>IF(ISBLANK(Table1[[#This Row],[PaidDate]]),"Unpaid",IF(Table1[[#This Row],[PaidDate]]&gt;Table1[[#This Row],[DueDate]],"Late",IF(Table1[[#This Row],[PaidDate]]&lt;Table1[[#This Row],[DueDate]],"Early","On Time")))</f>
        <v>On Time</v>
      </c>
      <c r="K624" t="str">
        <f ca="1">IF(AND(Table1[[#This Row],[Status]]&lt;&gt;"Paid",TODAY()&gt;Table1[[#This Row],[DueDate]]),"Overdue","OK")</f>
        <v>OK</v>
      </c>
    </row>
    <row r="625" spans="1:11" x14ac:dyDescent="0.3">
      <c r="A625" t="s">
        <v>1569</v>
      </c>
      <c r="B625" t="s">
        <v>944</v>
      </c>
      <c r="C625" s="1">
        <v>45683</v>
      </c>
      <c r="D625" s="1">
        <v>45713</v>
      </c>
      <c r="E625" s="2">
        <v>2870.13</v>
      </c>
      <c r="F625" t="s">
        <v>19</v>
      </c>
      <c r="G625" t="s">
        <v>17</v>
      </c>
      <c r="I625" t="s">
        <v>941</v>
      </c>
      <c r="J625" t="str">
        <f>IF(ISBLANK(Table1[[#This Row],[PaidDate]]),"Unpaid",IF(Table1[[#This Row],[PaidDate]]&gt;Table1[[#This Row],[DueDate]],"Late",IF(Table1[[#This Row],[PaidDate]]&lt;Table1[[#This Row],[DueDate]],"Early","On Time")))</f>
        <v>Unpaid</v>
      </c>
      <c r="K625" t="str">
        <f ca="1">IF(AND(Table1[[#This Row],[Status]]&lt;&gt;"Paid",TODAY()&gt;Table1[[#This Row],[DueDate]]),"Overdue","OK")</f>
        <v>Overdue</v>
      </c>
    </row>
    <row r="626" spans="1:11" x14ac:dyDescent="0.3">
      <c r="A626" t="s">
        <v>1570</v>
      </c>
      <c r="B626" t="s">
        <v>962</v>
      </c>
      <c r="C626" s="1">
        <v>45748</v>
      </c>
      <c r="D626" s="1">
        <v>45778</v>
      </c>
      <c r="E626" s="2">
        <v>308.64</v>
      </c>
      <c r="F626" t="s">
        <v>26</v>
      </c>
      <c r="G626" t="s">
        <v>17</v>
      </c>
      <c r="I626" t="s">
        <v>941</v>
      </c>
      <c r="J626" t="str">
        <f>IF(ISBLANK(Table1[[#This Row],[PaidDate]]),"Unpaid",IF(Table1[[#This Row],[PaidDate]]&gt;Table1[[#This Row],[DueDate]],"Late",IF(Table1[[#This Row],[PaidDate]]&lt;Table1[[#This Row],[DueDate]],"Early","On Time")))</f>
        <v>Unpaid</v>
      </c>
      <c r="K626" t="str">
        <f ca="1">IF(AND(Table1[[#This Row],[Status]]&lt;&gt;"Paid",TODAY()&gt;Table1[[#This Row],[DueDate]]),"Overdue","OK")</f>
        <v>Overdue</v>
      </c>
    </row>
    <row r="627" spans="1:11" x14ac:dyDescent="0.3">
      <c r="A627" t="s">
        <v>1571</v>
      </c>
      <c r="B627" t="s">
        <v>944</v>
      </c>
      <c r="C627" s="1">
        <v>45542</v>
      </c>
      <c r="D627" s="1">
        <v>45572</v>
      </c>
      <c r="E627" s="2">
        <v>754.61</v>
      </c>
      <c r="F627" t="s">
        <v>11</v>
      </c>
      <c r="G627" t="s">
        <v>951</v>
      </c>
      <c r="H627" s="1">
        <v>45572</v>
      </c>
      <c r="I627" t="s">
        <v>941</v>
      </c>
      <c r="J627" t="str">
        <f>IF(ISBLANK(Table1[[#This Row],[PaidDate]]),"Unpaid",IF(Table1[[#This Row],[PaidDate]]&gt;Table1[[#This Row],[DueDate]],"Late",IF(Table1[[#This Row],[PaidDate]]&lt;Table1[[#This Row],[DueDate]],"Early","On Time")))</f>
        <v>On Time</v>
      </c>
      <c r="K627" t="str">
        <f ca="1">IF(AND(Table1[[#This Row],[Status]]&lt;&gt;"Paid",TODAY()&gt;Table1[[#This Row],[DueDate]]),"Overdue","OK")</f>
        <v>OK</v>
      </c>
    </row>
    <row r="628" spans="1:11" x14ac:dyDescent="0.3">
      <c r="A628" t="s">
        <v>1572</v>
      </c>
      <c r="B628" t="s">
        <v>962</v>
      </c>
      <c r="C628" s="1">
        <v>45799</v>
      </c>
      <c r="D628" s="1">
        <v>45829</v>
      </c>
      <c r="E628" s="2">
        <v>1564.86</v>
      </c>
      <c r="F628" t="s">
        <v>16</v>
      </c>
      <c r="G628" t="s">
        <v>17</v>
      </c>
      <c r="I628" t="s">
        <v>941</v>
      </c>
      <c r="J628" t="str">
        <f>IF(ISBLANK(Table1[[#This Row],[PaidDate]]),"Unpaid",IF(Table1[[#This Row],[PaidDate]]&gt;Table1[[#This Row],[DueDate]],"Late",IF(Table1[[#This Row],[PaidDate]]&lt;Table1[[#This Row],[DueDate]],"Early","On Time")))</f>
        <v>Unpaid</v>
      </c>
      <c r="K628" t="str">
        <f ca="1">IF(AND(Table1[[#This Row],[Status]]&lt;&gt;"Paid",TODAY()&gt;Table1[[#This Row],[DueDate]]),"Overdue","OK")</f>
        <v>Overdue</v>
      </c>
    </row>
    <row r="629" spans="1:11" x14ac:dyDescent="0.3">
      <c r="A629" t="s">
        <v>1573</v>
      </c>
      <c r="B629" t="s">
        <v>944</v>
      </c>
      <c r="C629" s="1">
        <v>44941</v>
      </c>
      <c r="D629" s="1">
        <v>44971</v>
      </c>
      <c r="E629" s="2">
        <v>2205.11</v>
      </c>
      <c r="F629" t="s">
        <v>19</v>
      </c>
      <c r="G629" t="s">
        <v>12</v>
      </c>
      <c r="I629" t="s">
        <v>941</v>
      </c>
      <c r="J629" t="str">
        <f>IF(ISBLANK(Table1[[#This Row],[PaidDate]]),"Unpaid",IF(Table1[[#This Row],[PaidDate]]&gt;Table1[[#This Row],[DueDate]],"Late",IF(Table1[[#This Row],[PaidDate]]&lt;Table1[[#This Row],[DueDate]],"Early","On Time")))</f>
        <v>Unpaid</v>
      </c>
      <c r="K629" t="str">
        <f ca="1">IF(AND(Table1[[#This Row],[Status]]&lt;&gt;"Paid",TODAY()&gt;Table1[[#This Row],[DueDate]]),"Overdue","OK")</f>
        <v>Overdue</v>
      </c>
    </row>
    <row r="630" spans="1:11" x14ac:dyDescent="0.3">
      <c r="A630" t="s">
        <v>1574</v>
      </c>
      <c r="B630" t="s">
        <v>962</v>
      </c>
      <c r="C630" s="1">
        <v>45421</v>
      </c>
      <c r="D630" s="1">
        <v>45451</v>
      </c>
      <c r="E630" s="2">
        <v>562.79999999999995</v>
      </c>
      <c r="F630" t="s">
        <v>19</v>
      </c>
      <c r="G630" t="s">
        <v>12</v>
      </c>
      <c r="I630" t="s">
        <v>941</v>
      </c>
      <c r="J630" t="str">
        <f>IF(ISBLANK(Table1[[#This Row],[PaidDate]]),"Unpaid",IF(Table1[[#This Row],[PaidDate]]&gt;Table1[[#This Row],[DueDate]],"Late",IF(Table1[[#This Row],[PaidDate]]&lt;Table1[[#This Row],[DueDate]],"Early","On Time")))</f>
        <v>Unpaid</v>
      </c>
      <c r="K630" t="str">
        <f ca="1">IF(AND(Table1[[#This Row],[Status]]&lt;&gt;"Paid",TODAY()&gt;Table1[[#This Row],[DueDate]]),"Overdue","OK")</f>
        <v>Overdue</v>
      </c>
    </row>
    <row r="631" spans="1:11" x14ac:dyDescent="0.3">
      <c r="A631" t="s">
        <v>1575</v>
      </c>
      <c r="B631" t="s">
        <v>940</v>
      </c>
      <c r="C631" s="1">
        <v>44987</v>
      </c>
      <c r="D631" s="1">
        <v>45017</v>
      </c>
      <c r="E631" s="2">
        <v>3911.54</v>
      </c>
      <c r="F631" t="s">
        <v>11</v>
      </c>
      <c r="G631" t="s">
        <v>12</v>
      </c>
      <c r="I631" t="s">
        <v>941</v>
      </c>
      <c r="J631" t="str">
        <f>IF(ISBLANK(Table1[[#This Row],[PaidDate]]),"Unpaid",IF(Table1[[#This Row],[PaidDate]]&gt;Table1[[#This Row],[DueDate]],"Late",IF(Table1[[#This Row],[PaidDate]]&lt;Table1[[#This Row],[DueDate]],"Early","On Time")))</f>
        <v>Unpaid</v>
      </c>
      <c r="K631" t="str">
        <f ca="1">IF(AND(Table1[[#This Row],[Status]]&lt;&gt;"Paid",TODAY()&gt;Table1[[#This Row],[DueDate]]),"Overdue","OK")</f>
        <v>Overdue</v>
      </c>
    </row>
    <row r="632" spans="1:11" x14ac:dyDescent="0.3">
      <c r="A632" t="s">
        <v>1576</v>
      </c>
      <c r="B632" t="s">
        <v>966</v>
      </c>
      <c r="C632" s="1">
        <v>45836</v>
      </c>
      <c r="D632" s="1">
        <v>45866</v>
      </c>
      <c r="E632" s="2">
        <v>3891.61</v>
      </c>
      <c r="F632" t="s">
        <v>26</v>
      </c>
      <c r="G632" t="s">
        <v>12</v>
      </c>
      <c r="I632" t="s">
        <v>941</v>
      </c>
      <c r="J632" t="str">
        <f>IF(ISBLANK(Table1[[#This Row],[PaidDate]]),"Unpaid",IF(Table1[[#This Row],[PaidDate]]&gt;Table1[[#This Row],[DueDate]],"Late",IF(Table1[[#This Row],[PaidDate]]&lt;Table1[[#This Row],[DueDate]],"Early","On Time")))</f>
        <v>Unpaid</v>
      </c>
      <c r="K632" t="str">
        <f ca="1">IF(AND(Table1[[#This Row],[Status]]&lt;&gt;"Paid",TODAY()&gt;Table1[[#This Row],[DueDate]]),"Overdue","OK")</f>
        <v>Overdue</v>
      </c>
    </row>
    <row r="633" spans="1:11" x14ac:dyDescent="0.3">
      <c r="A633" t="s">
        <v>1577</v>
      </c>
      <c r="B633" t="s">
        <v>946</v>
      </c>
      <c r="C633" s="1">
        <v>44972</v>
      </c>
      <c r="D633" s="1">
        <v>45002</v>
      </c>
      <c r="E633" s="2">
        <v>2302.46</v>
      </c>
      <c r="F633" t="s">
        <v>19</v>
      </c>
      <c r="G633" t="s">
        <v>17</v>
      </c>
      <c r="I633" t="s">
        <v>941</v>
      </c>
      <c r="J633" t="str">
        <f>IF(ISBLANK(Table1[[#This Row],[PaidDate]]),"Unpaid",IF(Table1[[#This Row],[PaidDate]]&gt;Table1[[#This Row],[DueDate]],"Late",IF(Table1[[#This Row],[PaidDate]]&lt;Table1[[#This Row],[DueDate]],"Early","On Time")))</f>
        <v>Unpaid</v>
      </c>
      <c r="K633" t="str">
        <f ca="1">IF(AND(Table1[[#This Row],[Status]]&lt;&gt;"Paid",TODAY()&gt;Table1[[#This Row],[DueDate]]),"Overdue","OK")</f>
        <v>Overdue</v>
      </c>
    </row>
    <row r="634" spans="1:11" x14ac:dyDescent="0.3">
      <c r="A634" t="s">
        <v>1578</v>
      </c>
      <c r="B634" t="s">
        <v>962</v>
      </c>
      <c r="C634" s="1">
        <v>45388</v>
      </c>
      <c r="D634" s="1">
        <v>45418</v>
      </c>
      <c r="E634" s="2">
        <v>3723.61</v>
      </c>
      <c r="F634" t="s">
        <v>11</v>
      </c>
      <c r="G634" t="s">
        <v>17</v>
      </c>
      <c r="I634" t="s">
        <v>941</v>
      </c>
      <c r="J634" t="str">
        <f>IF(ISBLANK(Table1[[#This Row],[PaidDate]]),"Unpaid",IF(Table1[[#This Row],[PaidDate]]&gt;Table1[[#This Row],[DueDate]],"Late",IF(Table1[[#This Row],[PaidDate]]&lt;Table1[[#This Row],[DueDate]],"Early","On Time")))</f>
        <v>Unpaid</v>
      </c>
      <c r="K634" t="str">
        <f ca="1">IF(AND(Table1[[#This Row],[Status]]&lt;&gt;"Paid",TODAY()&gt;Table1[[#This Row],[DueDate]]),"Overdue","OK")</f>
        <v>Overdue</v>
      </c>
    </row>
    <row r="635" spans="1:11" x14ac:dyDescent="0.3">
      <c r="A635" t="s">
        <v>1579</v>
      </c>
      <c r="B635" t="s">
        <v>940</v>
      </c>
      <c r="C635" s="1">
        <v>45348</v>
      </c>
      <c r="D635" s="1">
        <v>45378</v>
      </c>
      <c r="E635" s="2">
        <v>2892.87</v>
      </c>
      <c r="F635" t="s">
        <v>16</v>
      </c>
      <c r="G635" t="s">
        <v>17</v>
      </c>
      <c r="I635" t="s">
        <v>941</v>
      </c>
      <c r="J635" t="str">
        <f>IF(ISBLANK(Table1[[#This Row],[PaidDate]]),"Unpaid",IF(Table1[[#This Row],[PaidDate]]&gt;Table1[[#This Row],[DueDate]],"Late",IF(Table1[[#This Row],[PaidDate]]&lt;Table1[[#This Row],[DueDate]],"Early","On Time")))</f>
        <v>Unpaid</v>
      </c>
      <c r="K635" t="str">
        <f ca="1">IF(AND(Table1[[#This Row],[Status]]&lt;&gt;"Paid",TODAY()&gt;Table1[[#This Row],[DueDate]]),"Overdue","OK")</f>
        <v>Overdue</v>
      </c>
    </row>
    <row r="636" spans="1:11" x14ac:dyDescent="0.3">
      <c r="A636" t="s">
        <v>1580</v>
      </c>
      <c r="B636" t="s">
        <v>946</v>
      </c>
      <c r="C636" s="1">
        <v>45650</v>
      </c>
      <c r="D636" s="1">
        <v>45680</v>
      </c>
      <c r="E636" s="2">
        <v>2261.7399999999998</v>
      </c>
      <c r="F636" t="s">
        <v>19</v>
      </c>
      <c r="G636" t="s">
        <v>17</v>
      </c>
      <c r="I636" t="s">
        <v>941</v>
      </c>
      <c r="J636" t="str">
        <f>IF(ISBLANK(Table1[[#This Row],[PaidDate]]),"Unpaid",IF(Table1[[#This Row],[PaidDate]]&gt;Table1[[#This Row],[DueDate]],"Late",IF(Table1[[#This Row],[PaidDate]]&lt;Table1[[#This Row],[DueDate]],"Early","On Time")))</f>
        <v>Unpaid</v>
      </c>
      <c r="K636" t="str">
        <f ca="1">IF(AND(Table1[[#This Row],[Status]]&lt;&gt;"Paid",TODAY()&gt;Table1[[#This Row],[DueDate]]),"Overdue","OK")</f>
        <v>Overdue</v>
      </c>
    </row>
    <row r="637" spans="1:11" x14ac:dyDescent="0.3">
      <c r="A637" t="s">
        <v>1581</v>
      </c>
      <c r="B637" t="s">
        <v>962</v>
      </c>
      <c r="C637" s="1">
        <v>45361</v>
      </c>
      <c r="D637" s="1">
        <v>45391</v>
      </c>
      <c r="E637" s="2">
        <v>3900.62</v>
      </c>
      <c r="F637" t="s">
        <v>28</v>
      </c>
      <c r="G637" t="s">
        <v>12</v>
      </c>
      <c r="I637" t="s">
        <v>941</v>
      </c>
      <c r="J637" t="str">
        <f>IF(ISBLANK(Table1[[#This Row],[PaidDate]]),"Unpaid",IF(Table1[[#This Row],[PaidDate]]&gt;Table1[[#This Row],[DueDate]],"Late",IF(Table1[[#This Row],[PaidDate]]&lt;Table1[[#This Row],[DueDate]],"Early","On Time")))</f>
        <v>Unpaid</v>
      </c>
      <c r="K637" t="str">
        <f ca="1">IF(AND(Table1[[#This Row],[Status]]&lt;&gt;"Paid",TODAY()&gt;Table1[[#This Row],[DueDate]]),"Overdue","OK")</f>
        <v>Overdue</v>
      </c>
    </row>
    <row r="638" spans="1:11" x14ac:dyDescent="0.3">
      <c r="A638" t="s">
        <v>1582</v>
      </c>
      <c r="B638" t="s">
        <v>962</v>
      </c>
      <c r="C638" s="1">
        <v>45419</v>
      </c>
      <c r="D638" s="1">
        <v>45449</v>
      </c>
      <c r="E638" s="2">
        <v>4377.2</v>
      </c>
      <c r="F638" t="s">
        <v>19</v>
      </c>
      <c r="G638" t="s">
        <v>17</v>
      </c>
      <c r="I638" t="s">
        <v>941</v>
      </c>
      <c r="J638" t="str">
        <f>IF(ISBLANK(Table1[[#This Row],[PaidDate]]),"Unpaid",IF(Table1[[#This Row],[PaidDate]]&gt;Table1[[#This Row],[DueDate]],"Late",IF(Table1[[#This Row],[PaidDate]]&lt;Table1[[#This Row],[DueDate]],"Early","On Time")))</f>
        <v>Unpaid</v>
      </c>
      <c r="K638" t="str">
        <f ca="1">IF(AND(Table1[[#This Row],[Status]]&lt;&gt;"Paid",TODAY()&gt;Table1[[#This Row],[DueDate]]),"Overdue","OK")</f>
        <v>Overdue</v>
      </c>
    </row>
    <row r="639" spans="1:11" x14ac:dyDescent="0.3">
      <c r="A639" t="s">
        <v>1583</v>
      </c>
      <c r="B639" t="s">
        <v>966</v>
      </c>
      <c r="C639" s="1">
        <v>45670</v>
      </c>
      <c r="D639" s="1">
        <v>45700</v>
      </c>
      <c r="E639" s="2">
        <v>4656.51</v>
      </c>
      <c r="F639" t="s">
        <v>28</v>
      </c>
      <c r="G639" t="s">
        <v>951</v>
      </c>
      <c r="H639" s="1">
        <v>45700</v>
      </c>
      <c r="I639" t="s">
        <v>941</v>
      </c>
      <c r="J639" t="str">
        <f>IF(ISBLANK(Table1[[#This Row],[PaidDate]]),"Unpaid",IF(Table1[[#This Row],[PaidDate]]&gt;Table1[[#This Row],[DueDate]],"Late",IF(Table1[[#This Row],[PaidDate]]&lt;Table1[[#This Row],[DueDate]],"Early","On Time")))</f>
        <v>On Time</v>
      </c>
      <c r="K639" t="str">
        <f ca="1">IF(AND(Table1[[#This Row],[Status]]&lt;&gt;"Paid",TODAY()&gt;Table1[[#This Row],[DueDate]]),"Overdue","OK")</f>
        <v>OK</v>
      </c>
    </row>
    <row r="640" spans="1:11" x14ac:dyDescent="0.3">
      <c r="A640" t="s">
        <v>1584</v>
      </c>
      <c r="B640" t="s">
        <v>946</v>
      </c>
      <c r="C640" s="1">
        <v>45704</v>
      </c>
      <c r="D640" s="1">
        <v>45734</v>
      </c>
      <c r="E640" s="2">
        <v>4576.1099999999997</v>
      </c>
      <c r="F640" t="s">
        <v>11</v>
      </c>
      <c r="G640" t="s">
        <v>17</v>
      </c>
      <c r="I640" t="s">
        <v>941</v>
      </c>
      <c r="J640" t="str">
        <f>IF(ISBLANK(Table1[[#This Row],[PaidDate]]),"Unpaid",IF(Table1[[#This Row],[PaidDate]]&gt;Table1[[#This Row],[DueDate]],"Late",IF(Table1[[#This Row],[PaidDate]]&lt;Table1[[#This Row],[DueDate]],"Early","On Time")))</f>
        <v>Unpaid</v>
      </c>
      <c r="K640" t="str">
        <f ca="1">IF(AND(Table1[[#This Row],[Status]]&lt;&gt;"Paid",TODAY()&gt;Table1[[#This Row],[DueDate]]),"Overdue","OK")</f>
        <v>Overdue</v>
      </c>
    </row>
    <row r="641" spans="1:11" x14ac:dyDescent="0.3">
      <c r="A641" t="s">
        <v>1585</v>
      </c>
      <c r="B641" t="s">
        <v>962</v>
      </c>
      <c r="C641" s="1">
        <v>45781</v>
      </c>
      <c r="D641" s="1">
        <v>45811</v>
      </c>
      <c r="E641" s="2">
        <v>1039.52</v>
      </c>
      <c r="F641" t="s">
        <v>16</v>
      </c>
      <c r="G641" t="s">
        <v>12</v>
      </c>
      <c r="I641" t="s">
        <v>941</v>
      </c>
      <c r="J641" t="str">
        <f>IF(ISBLANK(Table1[[#This Row],[PaidDate]]),"Unpaid",IF(Table1[[#This Row],[PaidDate]]&gt;Table1[[#This Row],[DueDate]],"Late",IF(Table1[[#This Row],[PaidDate]]&lt;Table1[[#This Row],[DueDate]],"Early","On Time")))</f>
        <v>Unpaid</v>
      </c>
      <c r="K641" t="str">
        <f ca="1">IF(AND(Table1[[#This Row],[Status]]&lt;&gt;"Paid",TODAY()&gt;Table1[[#This Row],[DueDate]]),"Overdue","OK")</f>
        <v>Overdue</v>
      </c>
    </row>
    <row r="642" spans="1:11" x14ac:dyDescent="0.3">
      <c r="A642" t="s">
        <v>1586</v>
      </c>
      <c r="B642" t="s">
        <v>966</v>
      </c>
      <c r="C642" s="1">
        <v>45171</v>
      </c>
      <c r="D642" s="1">
        <v>45201</v>
      </c>
      <c r="E642" s="2">
        <v>179.18</v>
      </c>
      <c r="F642" t="s">
        <v>19</v>
      </c>
      <c r="G642" t="s">
        <v>951</v>
      </c>
      <c r="H642" s="1">
        <v>45201</v>
      </c>
      <c r="I642" t="s">
        <v>941</v>
      </c>
      <c r="J642" t="str">
        <f>IF(ISBLANK(Table1[[#This Row],[PaidDate]]),"Unpaid",IF(Table1[[#This Row],[PaidDate]]&gt;Table1[[#This Row],[DueDate]],"Late",IF(Table1[[#This Row],[PaidDate]]&lt;Table1[[#This Row],[DueDate]],"Early","On Time")))</f>
        <v>On Time</v>
      </c>
      <c r="K642" t="str">
        <f ca="1">IF(AND(Table1[[#This Row],[Status]]&lt;&gt;"Paid",TODAY()&gt;Table1[[#This Row],[DueDate]]),"Overdue","OK")</f>
        <v>OK</v>
      </c>
    </row>
    <row r="643" spans="1:11" x14ac:dyDescent="0.3">
      <c r="A643" t="s">
        <v>1587</v>
      </c>
      <c r="B643" t="s">
        <v>946</v>
      </c>
      <c r="C643" s="1">
        <v>45235</v>
      </c>
      <c r="D643" s="1">
        <v>45265</v>
      </c>
      <c r="E643" s="2">
        <v>2198.02</v>
      </c>
      <c r="F643" t="s">
        <v>28</v>
      </c>
      <c r="G643" t="s">
        <v>951</v>
      </c>
      <c r="H643" s="1">
        <v>45265</v>
      </c>
      <c r="I643" t="s">
        <v>941</v>
      </c>
      <c r="J643" t="str">
        <f>IF(ISBLANK(Table1[[#This Row],[PaidDate]]),"Unpaid",IF(Table1[[#This Row],[PaidDate]]&gt;Table1[[#This Row],[DueDate]],"Late",IF(Table1[[#This Row],[PaidDate]]&lt;Table1[[#This Row],[DueDate]],"Early","On Time")))</f>
        <v>On Time</v>
      </c>
      <c r="K643" t="str">
        <f ca="1">IF(AND(Table1[[#This Row],[Status]]&lt;&gt;"Paid",TODAY()&gt;Table1[[#This Row],[DueDate]]),"Overdue","OK")</f>
        <v>OK</v>
      </c>
    </row>
    <row r="644" spans="1:11" x14ac:dyDescent="0.3">
      <c r="A644" t="s">
        <v>1588</v>
      </c>
      <c r="B644" t="s">
        <v>944</v>
      </c>
      <c r="C644" s="1">
        <v>45362</v>
      </c>
      <c r="D644" s="1">
        <v>45392</v>
      </c>
      <c r="E644" s="2">
        <v>3150.23</v>
      </c>
      <c r="F644" t="s">
        <v>28</v>
      </c>
      <c r="G644" t="s">
        <v>12</v>
      </c>
      <c r="I644" t="s">
        <v>941</v>
      </c>
      <c r="J644" t="str">
        <f>IF(ISBLANK(Table1[[#This Row],[PaidDate]]),"Unpaid",IF(Table1[[#This Row],[PaidDate]]&gt;Table1[[#This Row],[DueDate]],"Late",IF(Table1[[#This Row],[PaidDate]]&lt;Table1[[#This Row],[DueDate]],"Early","On Time")))</f>
        <v>Unpaid</v>
      </c>
      <c r="K644" t="str">
        <f ca="1">IF(AND(Table1[[#This Row],[Status]]&lt;&gt;"Paid",TODAY()&gt;Table1[[#This Row],[DueDate]]),"Overdue","OK")</f>
        <v>Overdue</v>
      </c>
    </row>
    <row r="645" spans="1:11" x14ac:dyDescent="0.3">
      <c r="A645" t="s">
        <v>1589</v>
      </c>
      <c r="B645" t="s">
        <v>944</v>
      </c>
      <c r="C645" s="1">
        <v>45236</v>
      </c>
      <c r="D645" s="1">
        <v>45266</v>
      </c>
      <c r="E645" s="2">
        <v>4973.37</v>
      </c>
      <c r="F645" t="s">
        <v>28</v>
      </c>
      <c r="G645" t="s">
        <v>12</v>
      </c>
      <c r="I645" t="s">
        <v>941</v>
      </c>
      <c r="J645" t="str">
        <f>IF(ISBLANK(Table1[[#This Row],[PaidDate]]),"Unpaid",IF(Table1[[#This Row],[PaidDate]]&gt;Table1[[#This Row],[DueDate]],"Late",IF(Table1[[#This Row],[PaidDate]]&lt;Table1[[#This Row],[DueDate]],"Early","On Time")))</f>
        <v>Unpaid</v>
      </c>
      <c r="K645" t="str">
        <f ca="1">IF(AND(Table1[[#This Row],[Status]]&lt;&gt;"Paid",TODAY()&gt;Table1[[#This Row],[DueDate]]),"Overdue","OK")</f>
        <v>Overdue</v>
      </c>
    </row>
    <row r="646" spans="1:11" x14ac:dyDescent="0.3">
      <c r="A646" t="s">
        <v>1590</v>
      </c>
      <c r="B646" t="s">
        <v>946</v>
      </c>
      <c r="C646" s="1">
        <v>45757</v>
      </c>
      <c r="D646" s="1">
        <v>45787</v>
      </c>
      <c r="E646" s="2">
        <v>4507.3999999999996</v>
      </c>
      <c r="F646" t="s">
        <v>26</v>
      </c>
      <c r="G646" t="s">
        <v>951</v>
      </c>
      <c r="H646" s="1">
        <v>45787</v>
      </c>
      <c r="I646" t="s">
        <v>941</v>
      </c>
      <c r="J646" t="str">
        <f>IF(ISBLANK(Table1[[#This Row],[PaidDate]]),"Unpaid",IF(Table1[[#This Row],[PaidDate]]&gt;Table1[[#This Row],[DueDate]],"Late",IF(Table1[[#This Row],[PaidDate]]&lt;Table1[[#This Row],[DueDate]],"Early","On Time")))</f>
        <v>On Time</v>
      </c>
      <c r="K646" t="str">
        <f ca="1">IF(AND(Table1[[#This Row],[Status]]&lt;&gt;"Paid",TODAY()&gt;Table1[[#This Row],[DueDate]]),"Overdue","OK")</f>
        <v>OK</v>
      </c>
    </row>
    <row r="647" spans="1:11" x14ac:dyDescent="0.3">
      <c r="A647" t="s">
        <v>1591</v>
      </c>
      <c r="B647" t="s">
        <v>940</v>
      </c>
      <c r="C647" s="1">
        <v>45125</v>
      </c>
      <c r="D647" s="1">
        <v>45155</v>
      </c>
      <c r="E647" s="2">
        <v>2432.37</v>
      </c>
      <c r="F647" t="s">
        <v>19</v>
      </c>
      <c r="G647" t="s">
        <v>12</v>
      </c>
      <c r="I647" t="s">
        <v>941</v>
      </c>
      <c r="J647" t="str">
        <f>IF(ISBLANK(Table1[[#This Row],[PaidDate]]),"Unpaid",IF(Table1[[#This Row],[PaidDate]]&gt;Table1[[#This Row],[DueDate]],"Late",IF(Table1[[#This Row],[PaidDate]]&lt;Table1[[#This Row],[DueDate]],"Early","On Time")))</f>
        <v>Unpaid</v>
      </c>
      <c r="K647" t="str">
        <f ca="1">IF(AND(Table1[[#This Row],[Status]]&lt;&gt;"Paid",TODAY()&gt;Table1[[#This Row],[DueDate]]),"Overdue","OK")</f>
        <v>Overdue</v>
      </c>
    </row>
    <row r="648" spans="1:11" x14ac:dyDescent="0.3">
      <c r="A648" t="s">
        <v>1592</v>
      </c>
      <c r="B648" t="s">
        <v>962</v>
      </c>
      <c r="C648" s="1">
        <v>45171</v>
      </c>
      <c r="D648" s="1">
        <v>45201</v>
      </c>
      <c r="E648" s="2">
        <v>3421.02</v>
      </c>
      <c r="F648" t="s">
        <v>28</v>
      </c>
      <c r="G648" t="s">
        <v>17</v>
      </c>
      <c r="I648" t="s">
        <v>941</v>
      </c>
      <c r="J648" t="str">
        <f>IF(ISBLANK(Table1[[#This Row],[PaidDate]]),"Unpaid",IF(Table1[[#This Row],[PaidDate]]&gt;Table1[[#This Row],[DueDate]],"Late",IF(Table1[[#This Row],[PaidDate]]&lt;Table1[[#This Row],[DueDate]],"Early","On Time")))</f>
        <v>Unpaid</v>
      </c>
      <c r="K648" t="str">
        <f ca="1">IF(AND(Table1[[#This Row],[Status]]&lt;&gt;"Paid",TODAY()&gt;Table1[[#This Row],[DueDate]]),"Overdue","OK")</f>
        <v>Overdue</v>
      </c>
    </row>
    <row r="649" spans="1:11" x14ac:dyDescent="0.3">
      <c r="A649" t="s">
        <v>1593</v>
      </c>
      <c r="B649" t="s">
        <v>962</v>
      </c>
      <c r="C649" s="1">
        <v>45146</v>
      </c>
      <c r="D649" s="1">
        <v>45176</v>
      </c>
      <c r="E649" s="2">
        <v>223.05</v>
      </c>
      <c r="F649" t="s">
        <v>19</v>
      </c>
      <c r="G649" t="s">
        <v>951</v>
      </c>
      <c r="H649" s="1">
        <v>45176</v>
      </c>
      <c r="I649" t="s">
        <v>941</v>
      </c>
      <c r="J649" t="str">
        <f>IF(ISBLANK(Table1[[#This Row],[PaidDate]]),"Unpaid",IF(Table1[[#This Row],[PaidDate]]&gt;Table1[[#This Row],[DueDate]],"Late",IF(Table1[[#This Row],[PaidDate]]&lt;Table1[[#This Row],[DueDate]],"Early","On Time")))</f>
        <v>On Time</v>
      </c>
      <c r="K649" t="str">
        <f ca="1">IF(AND(Table1[[#This Row],[Status]]&lt;&gt;"Paid",TODAY()&gt;Table1[[#This Row],[DueDate]]),"Overdue","OK")</f>
        <v>OK</v>
      </c>
    </row>
    <row r="650" spans="1:11" x14ac:dyDescent="0.3">
      <c r="A650" t="s">
        <v>1594</v>
      </c>
      <c r="B650" t="s">
        <v>940</v>
      </c>
      <c r="C650" s="1">
        <v>45455</v>
      </c>
      <c r="D650" s="1">
        <v>45485</v>
      </c>
      <c r="E650" s="2">
        <v>599.71</v>
      </c>
      <c r="F650" t="s">
        <v>11</v>
      </c>
      <c r="G650" t="s">
        <v>17</v>
      </c>
      <c r="I650" t="s">
        <v>941</v>
      </c>
      <c r="J650" t="str">
        <f>IF(ISBLANK(Table1[[#This Row],[PaidDate]]),"Unpaid",IF(Table1[[#This Row],[PaidDate]]&gt;Table1[[#This Row],[DueDate]],"Late",IF(Table1[[#This Row],[PaidDate]]&lt;Table1[[#This Row],[DueDate]],"Early","On Time")))</f>
        <v>Unpaid</v>
      </c>
      <c r="K650" t="str">
        <f ca="1">IF(AND(Table1[[#This Row],[Status]]&lt;&gt;"Paid",TODAY()&gt;Table1[[#This Row],[DueDate]]),"Overdue","OK")</f>
        <v>Overdue</v>
      </c>
    </row>
    <row r="651" spans="1:11" x14ac:dyDescent="0.3">
      <c r="A651" t="s">
        <v>1595</v>
      </c>
      <c r="B651" t="s">
        <v>940</v>
      </c>
      <c r="C651" s="1">
        <v>45029</v>
      </c>
      <c r="D651" s="1">
        <v>45059</v>
      </c>
      <c r="E651" s="2">
        <v>4739.08</v>
      </c>
      <c r="F651" t="s">
        <v>16</v>
      </c>
      <c r="G651" t="s">
        <v>12</v>
      </c>
      <c r="I651" t="s">
        <v>941</v>
      </c>
      <c r="J651" t="str">
        <f>IF(ISBLANK(Table1[[#This Row],[PaidDate]]),"Unpaid",IF(Table1[[#This Row],[PaidDate]]&gt;Table1[[#This Row],[DueDate]],"Late",IF(Table1[[#This Row],[PaidDate]]&lt;Table1[[#This Row],[DueDate]],"Early","On Time")))</f>
        <v>Unpaid</v>
      </c>
      <c r="K651" t="str">
        <f ca="1">IF(AND(Table1[[#This Row],[Status]]&lt;&gt;"Paid",TODAY()&gt;Table1[[#This Row],[DueDate]]),"Overdue","OK")</f>
        <v>Overdue</v>
      </c>
    </row>
    <row r="652" spans="1:11" x14ac:dyDescent="0.3">
      <c r="A652" t="s">
        <v>1596</v>
      </c>
      <c r="B652" t="s">
        <v>946</v>
      </c>
      <c r="C652" s="1">
        <v>45609</v>
      </c>
      <c r="D652" s="1">
        <v>45639</v>
      </c>
      <c r="E652" s="2">
        <v>332.35</v>
      </c>
      <c r="F652" t="s">
        <v>28</v>
      </c>
      <c r="G652" t="s">
        <v>12</v>
      </c>
      <c r="I652" t="s">
        <v>941</v>
      </c>
      <c r="J652" t="str">
        <f>IF(ISBLANK(Table1[[#This Row],[PaidDate]]),"Unpaid",IF(Table1[[#This Row],[PaidDate]]&gt;Table1[[#This Row],[DueDate]],"Late",IF(Table1[[#This Row],[PaidDate]]&lt;Table1[[#This Row],[DueDate]],"Early","On Time")))</f>
        <v>Unpaid</v>
      </c>
      <c r="K652" t="str">
        <f ca="1">IF(AND(Table1[[#This Row],[Status]]&lt;&gt;"Paid",TODAY()&gt;Table1[[#This Row],[DueDate]]),"Overdue","OK")</f>
        <v>Overdue</v>
      </c>
    </row>
    <row r="653" spans="1:11" x14ac:dyDescent="0.3">
      <c r="A653" t="s">
        <v>1597</v>
      </c>
      <c r="B653" t="s">
        <v>940</v>
      </c>
      <c r="C653" s="1">
        <v>45475</v>
      </c>
      <c r="D653" s="1">
        <v>45505</v>
      </c>
      <c r="E653" s="2">
        <v>4746.3999999999996</v>
      </c>
      <c r="F653" t="s">
        <v>11</v>
      </c>
      <c r="G653" t="s">
        <v>951</v>
      </c>
      <c r="H653" s="1">
        <v>45505</v>
      </c>
      <c r="I653" t="s">
        <v>941</v>
      </c>
      <c r="J653" t="str">
        <f>IF(ISBLANK(Table1[[#This Row],[PaidDate]]),"Unpaid",IF(Table1[[#This Row],[PaidDate]]&gt;Table1[[#This Row],[DueDate]],"Late",IF(Table1[[#This Row],[PaidDate]]&lt;Table1[[#This Row],[DueDate]],"Early","On Time")))</f>
        <v>On Time</v>
      </c>
      <c r="K653" t="str">
        <f ca="1">IF(AND(Table1[[#This Row],[Status]]&lt;&gt;"Paid",TODAY()&gt;Table1[[#This Row],[DueDate]]),"Overdue","OK")</f>
        <v>OK</v>
      </c>
    </row>
    <row r="654" spans="1:11" x14ac:dyDescent="0.3">
      <c r="A654" t="s">
        <v>1598</v>
      </c>
      <c r="B654" t="s">
        <v>946</v>
      </c>
      <c r="C654" s="1">
        <v>45113</v>
      </c>
      <c r="D654" s="1">
        <v>45143</v>
      </c>
      <c r="E654" s="2">
        <v>4124.6000000000004</v>
      </c>
      <c r="F654" t="s">
        <v>19</v>
      </c>
      <c r="G654" t="s">
        <v>17</v>
      </c>
      <c r="I654" t="s">
        <v>941</v>
      </c>
      <c r="J654" t="str">
        <f>IF(ISBLANK(Table1[[#This Row],[PaidDate]]),"Unpaid",IF(Table1[[#This Row],[PaidDate]]&gt;Table1[[#This Row],[DueDate]],"Late",IF(Table1[[#This Row],[PaidDate]]&lt;Table1[[#This Row],[DueDate]],"Early","On Time")))</f>
        <v>Unpaid</v>
      </c>
      <c r="K654" t="str">
        <f ca="1">IF(AND(Table1[[#This Row],[Status]]&lt;&gt;"Paid",TODAY()&gt;Table1[[#This Row],[DueDate]]),"Overdue","OK")</f>
        <v>Overdue</v>
      </c>
    </row>
    <row r="655" spans="1:11" x14ac:dyDescent="0.3">
      <c r="A655" t="s">
        <v>1599</v>
      </c>
      <c r="B655" t="s">
        <v>966</v>
      </c>
      <c r="C655" s="1">
        <v>45083</v>
      </c>
      <c r="D655" s="1">
        <v>45113</v>
      </c>
      <c r="E655" s="2">
        <v>1630.69</v>
      </c>
      <c r="F655" t="s">
        <v>19</v>
      </c>
      <c r="G655" t="s">
        <v>951</v>
      </c>
      <c r="H655" s="1">
        <v>45113</v>
      </c>
      <c r="I655" t="s">
        <v>941</v>
      </c>
      <c r="J655" t="str">
        <f>IF(ISBLANK(Table1[[#This Row],[PaidDate]]),"Unpaid",IF(Table1[[#This Row],[PaidDate]]&gt;Table1[[#This Row],[DueDate]],"Late",IF(Table1[[#This Row],[PaidDate]]&lt;Table1[[#This Row],[DueDate]],"Early","On Time")))</f>
        <v>On Time</v>
      </c>
      <c r="K655" t="str">
        <f ca="1">IF(AND(Table1[[#This Row],[Status]]&lt;&gt;"Paid",TODAY()&gt;Table1[[#This Row],[DueDate]]),"Overdue","OK")</f>
        <v>OK</v>
      </c>
    </row>
    <row r="656" spans="1:11" x14ac:dyDescent="0.3">
      <c r="A656" t="s">
        <v>1600</v>
      </c>
      <c r="B656" t="s">
        <v>962</v>
      </c>
      <c r="C656" s="1">
        <v>45549</v>
      </c>
      <c r="D656" s="1">
        <v>45579</v>
      </c>
      <c r="E656" s="2">
        <v>4643.99</v>
      </c>
      <c r="F656" t="s">
        <v>19</v>
      </c>
      <c r="G656" t="s">
        <v>12</v>
      </c>
      <c r="I656" t="s">
        <v>941</v>
      </c>
      <c r="J656" t="str">
        <f>IF(ISBLANK(Table1[[#This Row],[PaidDate]]),"Unpaid",IF(Table1[[#This Row],[PaidDate]]&gt;Table1[[#This Row],[DueDate]],"Late",IF(Table1[[#This Row],[PaidDate]]&lt;Table1[[#This Row],[DueDate]],"Early","On Time")))</f>
        <v>Unpaid</v>
      </c>
      <c r="K656" t="str">
        <f ca="1">IF(AND(Table1[[#This Row],[Status]]&lt;&gt;"Paid",TODAY()&gt;Table1[[#This Row],[DueDate]]),"Overdue","OK")</f>
        <v>Overdue</v>
      </c>
    </row>
    <row r="657" spans="1:11" x14ac:dyDescent="0.3">
      <c r="A657" t="s">
        <v>1601</v>
      </c>
      <c r="B657" t="s">
        <v>944</v>
      </c>
      <c r="C657" s="1">
        <v>45198</v>
      </c>
      <c r="D657" s="1">
        <v>45228</v>
      </c>
      <c r="E657" s="2">
        <v>121.66</v>
      </c>
      <c r="F657" t="s">
        <v>26</v>
      </c>
      <c r="G657" t="s">
        <v>17</v>
      </c>
      <c r="I657" t="s">
        <v>941</v>
      </c>
      <c r="J657" t="str">
        <f>IF(ISBLANK(Table1[[#This Row],[PaidDate]]),"Unpaid",IF(Table1[[#This Row],[PaidDate]]&gt;Table1[[#This Row],[DueDate]],"Late",IF(Table1[[#This Row],[PaidDate]]&lt;Table1[[#This Row],[DueDate]],"Early","On Time")))</f>
        <v>Unpaid</v>
      </c>
      <c r="K657" t="str">
        <f ca="1">IF(AND(Table1[[#This Row],[Status]]&lt;&gt;"Paid",TODAY()&gt;Table1[[#This Row],[DueDate]]),"Overdue","OK")</f>
        <v>Overdue</v>
      </c>
    </row>
    <row r="658" spans="1:11" x14ac:dyDescent="0.3">
      <c r="A658" t="s">
        <v>1602</v>
      </c>
      <c r="B658" t="s">
        <v>946</v>
      </c>
      <c r="C658" s="1">
        <v>45111</v>
      </c>
      <c r="D658" s="1">
        <v>45141</v>
      </c>
      <c r="E658" s="2">
        <v>2464.2399999999998</v>
      </c>
      <c r="F658" t="s">
        <v>11</v>
      </c>
      <c r="G658" t="s">
        <v>12</v>
      </c>
      <c r="I658" t="s">
        <v>941</v>
      </c>
      <c r="J658" t="str">
        <f>IF(ISBLANK(Table1[[#This Row],[PaidDate]]),"Unpaid",IF(Table1[[#This Row],[PaidDate]]&gt;Table1[[#This Row],[DueDate]],"Late",IF(Table1[[#This Row],[PaidDate]]&lt;Table1[[#This Row],[DueDate]],"Early","On Time")))</f>
        <v>Unpaid</v>
      </c>
      <c r="K658" t="str">
        <f ca="1">IF(AND(Table1[[#This Row],[Status]]&lt;&gt;"Paid",TODAY()&gt;Table1[[#This Row],[DueDate]]),"Overdue","OK")</f>
        <v>Overdue</v>
      </c>
    </row>
    <row r="659" spans="1:11" x14ac:dyDescent="0.3">
      <c r="A659" t="s">
        <v>1603</v>
      </c>
      <c r="B659" t="s">
        <v>966</v>
      </c>
      <c r="C659" s="1">
        <v>45271</v>
      </c>
      <c r="D659" s="1">
        <v>45301</v>
      </c>
      <c r="E659" s="2">
        <v>4354.51</v>
      </c>
      <c r="F659" t="s">
        <v>19</v>
      </c>
      <c r="G659" t="s">
        <v>12</v>
      </c>
      <c r="I659" t="s">
        <v>941</v>
      </c>
      <c r="J659" t="str">
        <f>IF(ISBLANK(Table1[[#This Row],[PaidDate]]),"Unpaid",IF(Table1[[#This Row],[PaidDate]]&gt;Table1[[#This Row],[DueDate]],"Late",IF(Table1[[#This Row],[PaidDate]]&lt;Table1[[#This Row],[DueDate]],"Early","On Time")))</f>
        <v>Unpaid</v>
      </c>
      <c r="K659" t="str">
        <f ca="1">IF(AND(Table1[[#This Row],[Status]]&lt;&gt;"Paid",TODAY()&gt;Table1[[#This Row],[DueDate]]),"Overdue","OK")</f>
        <v>Overdue</v>
      </c>
    </row>
    <row r="660" spans="1:11" x14ac:dyDescent="0.3">
      <c r="A660" t="s">
        <v>1604</v>
      </c>
      <c r="B660" t="s">
        <v>966</v>
      </c>
      <c r="C660" s="1">
        <v>45273</v>
      </c>
      <c r="D660" s="1">
        <v>45303</v>
      </c>
      <c r="E660" s="2">
        <v>1809.68</v>
      </c>
      <c r="F660" t="s">
        <v>11</v>
      </c>
      <c r="G660" t="s">
        <v>12</v>
      </c>
      <c r="I660" t="s">
        <v>941</v>
      </c>
      <c r="J660" t="str">
        <f>IF(ISBLANK(Table1[[#This Row],[PaidDate]]),"Unpaid",IF(Table1[[#This Row],[PaidDate]]&gt;Table1[[#This Row],[DueDate]],"Late",IF(Table1[[#This Row],[PaidDate]]&lt;Table1[[#This Row],[DueDate]],"Early","On Time")))</f>
        <v>Unpaid</v>
      </c>
      <c r="K660" t="str">
        <f ca="1">IF(AND(Table1[[#This Row],[Status]]&lt;&gt;"Paid",TODAY()&gt;Table1[[#This Row],[DueDate]]),"Overdue","OK")</f>
        <v>Overdue</v>
      </c>
    </row>
    <row r="661" spans="1:11" x14ac:dyDescent="0.3">
      <c r="A661" t="s">
        <v>1605</v>
      </c>
      <c r="B661" t="s">
        <v>966</v>
      </c>
      <c r="C661" s="1">
        <v>45588</v>
      </c>
      <c r="D661" s="1">
        <v>45618</v>
      </c>
      <c r="E661" s="2">
        <v>4448.67</v>
      </c>
      <c r="F661" t="s">
        <v>11</v>
      </c>
      <c r="G661" t="s">
        <v>17</v>
      </c>
      <c r="I661" t="s">
        <v>941</v>
      </c>
      <c r="J661" t="str">
        <f>IF(ISBLANK(Table1[[#This Row],[PaidDate]]),"Unpaid",IF(Table1[[#This Row],[PaidDate]]&gt;Table1[[#This Row],[DueDate]],"Late",IF(Table1[[#This Row],[PaidDate]]&lt;Table1[[#This Row],[DueDate]],"Early","On Time")))</f>
        <v>Unpaid</v>
      </c>
      <c r="K661" t="str">
        <f ca="1">IF(AND(Table1[[#This Row],[Status]]&lt;&gt;"Paid",TODAY()&gt;Table1[[#This Row],[DueDate]]),"Overdue","OK")</f>
        <v>Overdue</v>
      </c>
    </row>
    <row r="662" spans="1:11" x14ac:dyDescent="0.3">
      <c r="A662" t="s">
        <v>1606</v>
      </c>
      <c r="B662" t="s">
        <v>944</v>
      </c>
      <c r="C662" s="1">
        <v>45810</v>
      </c>
      <c r="D662" s="1">
        <v>45840</v>
      </c>
      <c r="E662" s="2">
        <v>3810.59</v>
      </c>
      <c r="F662" t="s">
        <v>26</v>
      </c>
      <c r="G662" t="s">
        <v>951</v>
      </c>
      <c r="H662" s="1">
        <v>45840</v>
      </c>
      <c r="I662" t="s">
        <v>941</v>
      </c>
      <c r="J662" t="str">
        <f>IF(ISBLANK(Table1[[#This Row],[PaidDate]]),"Unpaid",IF(Table1[[#This Row],[PaidDate]]&gt;Table1[[#This Row],[DueDate]],"Late",IF(Table1[[#This Row],[PaidDate]]&lt;Table1[[#This Row],[DueDate]],"Early","On Time")))</f>
        <v>On Time</v>
      </c>
      <c r="K662" t="str">
        <f ca="1">IF(AND(Table1[[#This Row],[Status]]&lt;&gt;"Paid",TODAY()&gt;Table1[[#This Row],[DueDate]]),"Overdue","OK")</f>
        <v>OK</v>
      </c>
    </row>
    <row r="663" spans="1:11" x14ac:dyDescent="0.3">
      <c r="A663" t="s">
        <v>1607</v>
      </c>
      <c r="B663" t="s">
        <v>966</v>
      </c>
      <c r="C663" s="1">
        <v>45433</v>
      </c>
      <c r="D663" s="1">
        <v>45463</v>
      </c>
      <c r="E663" s="2">
        <v>4234.42</v>
      </c>
      <c r="F663" t="s">
        <v>28</v>
      </c>
      <c r="G663" t="s">
        <v>17</v>
      </c>
      <c r="I663" t="s">
        <v>941</v>
      </c>
      <c r="J663" t="str">
        <f>IF(ISBLANK(Table1[[#This Row],[PaidDate]]),"Unpaid",IF(Table1[[#This Row],[PaidDate]]&gt;Table1[[#This Row],[DueDate]],"Late",IF(Table1[[#This Row],[PaidDate]]&lt;Table1[[#This Row],[DueDate]],"Early","On Time")))</f>
        <v>Unpaid</v>
      </c>
      <c r="K663" t="str">
        <f ca="1">IF(AND(Table1[[#This Row],[Status]]&lt;&gt;"Paid",TODAY()&gt;Table1[[#This Row],[DueDate]]),"Overdue","OK")</f>
        <v>Overdue</v>
      </c>
    </row>
    <row r="664" spans="1:11" x14ac:dyDescent="0.3">
      <c r="A664" t="s">
        <v>1608</v>
      </c>
      <c r="B664" t="s">
        <v>940</v>
      </c>
      <c r="C664" s="1">
        <v>45321</v>
      </c>
      <c r="D664" s="1">
        <v>45351</v>
      </c>
      <c r="E664" s="2">
        <v>2754.86</v>
      </c>
      <c r="F664" t="s">
        <v>19</v>
      </c>
      <c r="G664" t="s">
        <v>12</v>
      </c>
      <c r="I664" t="s">
        <v>941</v>
      </c>
      <c r="J664" t="str">
        <f>IF(ISBLANK(Table1[[#This Row],[PaidDate]]),"Unpaid",IF(Table1[[#This Row],[PaidDate]]&gt;Table1[[#This Row],[DueDate]],"Late",IF(Table1[[#This Row],[PaidDate]]&lt;Table1[[#This Row],[DueDate]],"Early","On Time")))</f>
        <v>Unpaid</v>
      </c>
      <c r="K664" t="str">
        <f ca="1">IF(AND(Table1[[#This Row],[Status]]&lt;&gt;"Paid",TODAY()&gt;Table1[[#This Row],[DueDate]]),"Overdue","OK")</f>
        <v>Overdue</v>
      </c>
    </row>
    <row r="665" spans="1:11" x14ac:dyDescent="0.3">
      <c r="A665" t="s">
        <v>1609</v>
      </c>
      <c r="B665" t="s">
        <v>966</v>
      </c>
      <c r="C665" s="1">
        <v>45711</v>
      </c>
      <c r="D665" s="1">
        <v>45741</v>
      </c>
      <c r="E665" s="2">
        <v>3198.07</v>
      </c>
      <c r="F665" t="s">
        <v>19</v>
      </c>
      <c r="G665" t="s">
        <v>12</v>
      </c>
      <c r="I665" t="s">
        <v>941</v>
      </c>
      <c r="J665" t="str">
        <f>IF(ISBLANK(Table1[[#This Row],[PaidDate]]),"Unpaid",IF(Table1[[#This Row],[PaidDate]]&gt;Table1[[#This Row],[DueDate]],"Late",IF(Table1[[#This Row],[PaidDate]]&lt;Table1[[#This Row],[DueDate]],"Early","On Time")))</f>
        <v>Unpaid</v>
      </c>
      <c r="K665" t="str">
        <f ca="1">IF(AND(Table1[[#This Row],[Status]]&lt;&gt;"Paid",TODAY()&gt;Table1[[#This Row],[DueDate]]),"Overdue","OK")</f>
        <v>Overdue</v>
      </c>
    </row>
    <row r="666" spans="1:11" x14ac:dyDescent="0.3">
      <c r="A666" t="s">
        <v>1610</v>
      </c>
      <c r="B666" t="s">
        <v>940</v>
      </c>
      <c r="C666" s="1">
        <v>45201</v>
      </c>
      <c r="D666" s="1">
        <v>45231</v>
      </c>
      <c r="E666" s="2">
        <v>3984.98</v>
      </c>
      <c r="F666" t="s">
        <v>16</v>
      </c>
      <c r="G666" t="s">
        <v>12</v>
      </c>
      <c r="I666" t="s">
        <v>941</v>
      </c>
      <c r="J666" t="str">
        <f>IF(ISBLANK(Table1[[#This Row],[PaidDate]]),"Unpaid",IF(Table1[[#This Row],[PaidDate]]&gt;Table1[[#This Row],[DueDate]],"Late",IF(Table1[[#This Row],[PaidDate]]&lt;Table1[[#This Row],[DueDate]],"Early","On Time")))</f>
        <v>Unpaid</v>
      </c>
      <c r="K666" t="str">
        <f ca="1">IF(AND(Table1[[#This Row],[Status]]&lt;&gt;"Paid",TODAY()&gt;Table1[[#This Row],[DueDate]]),"Overdue","OK")</f>
        <v>Overdue</v>
      </c>
    </row>
    <row r="667" spans="1:11" x14ac:dyDescent="0.3">
      <c r="A667" t="s">
        <v>1611</v>
      </c>
      <c r="B667" t="s">
        <v>962</v>
      </c>
      <c r="C667" s="1">
        <v>45096</v>
      </c>
      <c r="D667" s="1">
        <v>45126</v>
      </c>
      <c r="E667" s="2">
        <v>4810.12</v>
      </c>
      <c r="F667" t="s">
        <v>11</v>
      </c>
      <c r="G667" t="s">
        <v>17</v>
      </c>
      <c r="I667" t="s">
        <v>941</v>
      </c>
      <c r="J667" t="str">
        <f>IF(ISBLANK(Table1[[#This Row],[PaidDate]]),"Unpaid",IF(Table1[[#This Row],[PaidDate]]&gt;Table1[[#This Row],[DueDate]],"Late",IF(Table1[[#This Row],[PaidDate]]&lt;Table1[[#This Row],[DueDate]],"Early","On Time")))</f>
        <v>Unpaid</v>
      </c>
      <c r="K667" t="str">
        <f ca="1">IF(AND(Table1[[#This Row],[Status]]&lt;&gt;"Paid",TODAY()&gt;Table1[[#This Row],[DueDate]]),"Overdue","OK")</f>
        <v>Overdue</v>
      </c>
    </row>
    <row r="668" spans="1:11" x14ac:dyDescent="0.3">
      <c r="A668" t="s">
        <v>1612</v>
      </c>
      <c r="B668" t="s">
        <v>946</v>
      </c>
      <c r="C668" s="1">
        <v>45311</v>
      </c>
      <c r="D668" s="1">
        <v>45341</v>
      </c>
      <c r="E668" s="2">
        <v>4712.91</v>
      </c>
      <c r="F668" t="s">
        <v>16</v>
      </c>
      <c r="G668" t="s">
        <v>17</v>
      </c>
      <c r="I668" t="s">
        <v>941</v>
      </c>
      <c r="J668" t="str">
        <f>IF(ISBLANK(Table1[[#This Row],[PaidDate]]),"Unpaid",IF(Table1[[#This Row],[PaidDate]]&gt;Table1[[#This Row],[DueDate]],"Late",IF(Table1[[#This Row],[PaidDate]]&lt;Table1[[#This Row],[DueDate]],"Early","On Time")))</f>
        <v>Unpaid</v>
      </c>
      <c r="K668" t="str">
        <f ca="1">IF(AND(Table1[[#This Row],[Status]]&lt;&gt;"Paid",TODAY()&gt;Table1[[#This Row],[DueDate]]),"Overdue","OK")</f>
        <v>Overdue</v>
      </c>
    </row>
    <row r="669" spans="1:11" x14ac:dyDescent="0.3">
      <c r="A669" t="s">
        <v>1613</v>
      </c>
      <c r="B669" t="s">
        <v>940</v>
      </c>
      <c r="C669" s="1">
        <v>45692</v>
      </c>
      <c r="D669" s="1">
        <v>45722</v>
      </c>
      <c r="E669" s="2">
        <v>4624.82</v>
      </c>
      <c r="F669" t="s">
        <v>28</v>
      </c>
      <c r="G669" t="s">
        <v>951</v>
      </c>
      <c r="H669" s="1">
        <v>45722</v>
      </c>
      <c r="I669" t="s">
        <v>941</v>
      </c>
      <c r="J669" t="str">
        <f>IF(ISBLANK(Table1[[#This Row],[PaidDate]]),"Unpaid",IF(Table1[[#This Row],[PaidDate]]&gt;Table1[[#This Row],[DueDate]],"Late",IF(Table1[[#This Row],[PaidDate]]&lt;Table1[[#This Row],[DueDate]],"Early","On Time")))</f>
        <v>On Time</v>
      </c>
      <c r="K669" t="str">
        <f ca="1">IF(AND(Table1[[#This Row],[Status]]&lt;&gt;"Paid",TODAY()&gt;Table1[[#This Row],[DueDate]]),"Overdue","OK")</f>
        <v>OK</v>
      </c>
    </row>
    <row r="670" spans="1:11" x14ac:dyDescent="0.3">
      <c r="A670" t="s">
        <v>1614</v>
      </c>
      <c r="B670" t="s">
        <v>966</v>
      </c>
      <c r="C670" s="1">
        <v>45522</v>
      </c>
      <c r="D670" s="1">
        <v>45552</v>
      </c>
      <c r="E670" s="2">
        <v>3779.89</v>
      </c>
      <c r="F670" t="s">
        <v>26</v>
      </c>
      <c r="G670" t="s">
        <v>17</v>
      </c>
      <c r="I670" t="s">
        <v>941</v>
      </c>
      <c r="J670" t="str">
        <f>IF(ISBLANK(Table1[[#This Row],[PaidDate]]),"Unpaid",IF(Table1[[#This Row],[PaidDate]]&gt;Table1[[#This Row],[DueDate]],"Late",IF(Table1[[#This Row],[PaidDate]]&lt;Table1[[#This Row],[DueDate]],"Early","On Time")))</f>
        <v>Unpaid</v>
      </c>
      <c r="K670" t="str">
        <f ca="1">IF(AND(Table1[[#This Row],[Status]]&lt;&gt;"Paid",TODAY()&gt;Table1[[#This Row],[DueDate]]),"Overdue","OK")</f>
        <v>Overdue</v>
      </c>
    </row>
    <row r="671" spans="1:11" x14ac:dyDescent="0.3">
      <c r="A671" t="s">
        <v>1615</v>
      </c>
      <c r="B671" t="s">
        <v>962</v>
      </c>
      <c r="C671" s="1">
        <v>45118</v>
      </c>
      <c r="D671" s="1">
        <v>45148</v>
      </c>
      <c r="E671" s="2">
        <v>528.42999999999995</v>
      </c>
      <c r="F671" t="s">
        <v>19</v>
      </c>
      <c r="G671" t="s">
        <v>12</v>
      </c>
      <c r="I671" t="s">
        <v>941</v>
      </c>
      <c r="J671" t="str">
        <f>IF(ISBLANK(Table1[[#This Row],[PaidDate]]),"Unpaid",IF(Table1[[#This Row],[PaidDate]]&gt;Table1[[#This Row],[DueDate]],"Late",IF(Table1[[#This Row],[PaidDate]]&lt;Table1[[#This Row],[DueDate]],"Early","On Time")))</f>
        <v>Unpaid</v>
      </c>
      <c r="K671" t="str">
        <f ca="1">IF(AND(Table1[[#This Row],[Status]]&lt;&gt;"Paid",TODAY()&gt;Table1[[#This Row],[DueDate]]),"Overdue","OK")</f>
        <v>Overdue</v>
      </c>
    </row>
    <row r="672" spans="1:11" x14ac:dyDescent="0.3">
      <c r="A672" t="s">
        <v>1616</v>
      </c>
      <c r="B672" t="s">
        <v>946</v>
      </c>
      <c r="C672" s="1">
        <v>45305</v>
      </c>
      <c r="D672" s="1">
        <v>45335</v>
      </c>
      <c r="E672" s="2">
        <v>3542.71</v>
      </c>
      <c r="F672" t="s">
        <v>28</v>
      </c>
      <c r="G672" t="s">
        <v>951</v>
      </c>
      <c r="H672" s="1">
        <v>45335</v>
      </c>
      <c r="I672" t="s">
        <v>941</v>
      </c>
      <c r="J672" t="str">
        <f>IF(ISBLANK(Table1[[#This Row],[PaidDate]]),"Unpaid",IF(Table1[[#This Row],[PaidDate]]&gt;Table1[[#This Row],[DueDate]],"Late",IF(Table1[[#This Row],[PaidDate]]&lt;Table1[[#This Row],[DueDate]],"Early","On Time")))</f>
        <v>On Time</v>
      </c>
      <c r="K672" t="str">
        <f ca="1">IF(AND(Table1[[#This Row],[Status]]&lt;&gt;"Paid",TODAY()&gt;Table1[[#This Row],[DueDate]]),"Overdue","OK")</f>
        <v>OK</v>
      </c>
    </row>
    <row r="673" spans="1:11" x14ac:dyDescent="0.3">
      <c r="A673" t="s">
        <v>1617</v>
      </c>
      <c r="B673" t="s">
        <v>946</v>
      </c>
      <c r="C673" s="1">
        <v>45824</v>
      </c>
      <c r="D673" s="1">
        <v>45854</v>
      </c>
      <c r="E673" s="2">
        <v>1625.04</v>
      </c>
      <c r="F673" t="s">
        <v>19</v>
      </c>
      <c r="G673" t="s">
        <v>951</v>
      </c>
      <c r="H673" s="1">
        <v>45854</v>
      </c>
      <c r="I673" t="s">
        <v>941</v>
      </c>
      <c r="J673" t="str">
        <f>IF(ISBLANK(Table1[[#This Row],[PaidDate]]),"Unpaid",IF(Table1[[#This Row],[PaidDate]]&gt;Table1[[#This Row],[DueDate]],"Late",IF(Table1[[#This Row],[PaidDate]]&lt;Table1[[#This Row],[DueDate]],"Early","On Time")))</f>
        <v>On Time</v>
      </c>
      <c r="K673" t="str">
        <f ca="1">IF(AND(Table1[[#This Row],[Status]]&lt;&gt;"Paid",TODAY()&gt;Table1[[#This Row],[DueDate]]),"Overdue","OK")</f>
        <v>OK</v>
      </c>
    </row>
    <row r="674" spans="1:11" x14ac:dyDescent="0.3">
      <c r="A674" t="s">
        <v>1618</v>
      </c>
      <c r="B674" t="s">
        <v>944</v>
      </c>
      <c r="C674" s="1">
        <v>45213</v>
      </c>
      <c r="D674" s="1">
        <v>45243</v>
      </c>
      <c r="E674" s="2">
        <v>3513.91</v>
      </c>
      <c r="F674" t="s">
        <v>28</v>
      </c>
      <c r="G674" t="s">
        <v>12</v>
      </c>
      <c r="I674" t="s">
        <v>941</v>
      </c>
      <c r="J674" t="str">
        <f>IF(ISBLANK(Table1[[#This Row],[PaidDate]]),"Unpaid",IF(Table1[[#This Row],[PaidDate]]&gt;Table1[[#This Row],[DueDate]],"Late",IF(Table1[[#This Row],[PaidDate]]&lt;Table1[[#This Row],[DueDate]],"Early","On Time")))</f>
        <v>Unpaid</v>
      </c>
      <c r="K674" t="str">
        <f ca="1">IF(AND(Table1[[#This Row],[Status]]&lt;&gt;"Paid",TODAY()&gt;Table1[[#This Row],[DueDate]]),"Overdue","OK")</f>
        <v>Overdue</v>
      </c>
    </row>
    <row r="675" spans="1:11" x14ac:dyDescent="0.3">
      <c r="A675" t="s">
        <v>1619</v>
      </c>
      <c r="B675" t="s">
        <v>966</v>
      </c>
      <c r="C675" s="1">
        <v>45079</v>
      </c>
      <c r="D675" s="1">
        <v>45109</v>
      </c>
      <c r="E675" s="2">
        <v>1005.78</v>
      </c>
      <c r="F675" t="s">
        <v>19</v>
      </c>
      <c r="G675" t="s">
        <v>951</v>
      </c>
      <c r="H675" s="1">
        <v>45109</v>
      </c>
      <c r="I675" t="s">
        <v>941</v>
      </c>
      <c r="J675" t="str">
        <f>IF(ISBLANK(Table1[[#This Row],[PaidDate]]),"Unpaid",IF(Table1[[#This Row],[PaidDate]]&gt;Table1[[#This Row],[DueDate]],"Late",IF(Table1[[#This Row],[PaidDate]]&lt;Table1[[#This Row],[DueDate]],"Early","On Time")))</f>
        <v>On Time</v>
      </c>
      <c r="K675" t="str">
        <f ca="1">IF(AND(Table1[[#This Row],[Status]]&lt;&gt;"Paid",TODAY()&gt;Table1[[#This Row],[DueDate]]),"Overdue","OK")</f>
        <v>OK</v>
      </c>
    </row>
    <row r="676" spans="1:11" x14ac:dyDescent="0.3">
      <c r="A676" t="s">
        <v>1620</v>
      </c>
      <c r="B676" t="s">
        <v>966</v>
      </c>
      <c r="C676" s="1">
        <v>45821</v>
      </c>
      <c r="D676" s="1">
        <v>45851</v>
      </c>
      <c r="E676" s="2">
        <v>4800.13</v>
      </c>
      <c r="F676" t="s">
        <v>28</v>
      </c>
      <c r="G676" t="s">
        <v>12</v>
      </c>
      <c r="I676" t="s">
        <v>941</v>
      </c>
      <c r="J676" t="str">
        <f>IF(ISBLANK(Table1[[#This Row],[PaidDate]]),"Unpaid",IF(Table1[[#This Row],[PaidDate]]&gt;Table1[[#This Row],[DueDate]],"Late",IF(Table1[[#This Row],[PaidDate]]&lt;Table1[[#This Row],[DueDate]],"Early","On Time")))</f>
        <v>Unpaid</v>
      </c>
      <c r="K676" t="str">
        <f ca="1">IF(AND(Table1[[#This Row],[Status]]&lt;&gt;"Paid",TODAY()&gt;Table1[[#This Row],[DueDate]]),"Overdue","OK")</f>
        <v>Overdue</v>
      </c>
    </row>
    <row r="677" spans="1:11" x14ac:dyDescent="0.3">
      <c r="A677" t="s">
        <v>1621</v>
      </c>
      <c r="B677" t="s">
        <v>946</v>
      </c>
      <c r="C677" s="1">
        <v>45760</v>
      </c>
      <c r="D677" s="1">
        <v>45790</v>
      </c>
      <c r="E677" s="2">
        <v>2790.67</v>
      </c>
      <c r="F677" t="s">
        <v>28</v>
      </c>
      <c r="G677" t="s">
        <v>12</v>
      </c>
      <c r="I677" t="s">
        <v>941</v>
      </c>
      <c r="J677" t="str">
        <f>IF(ISBLANK(Table1[[#This Row],[PaidDate]]),"Unpaid",IF(Table1[[#This Row],[PaidDate]]&gt;Table1[[#This Row],[DueDate]],"Late",IF(Table1[[#This Row],[PaidDate]]&lt;Table1[[#This Row],[DueDate]],"Early","On Time")))</f>
        <v>Unpaid</v>
      </c>
      <c r="K677" t="str">
        <f ca="1">IF(AND(Table1[[#This Row],[Status]]&lt;&gt;"Paid",TODAY()&gt;Table1[[#This Row],[DueDate]]),"Overdue","OK")</f>
        <v>Overdue</v>
      </c>
    </row>
    <row r="678" spans="1:11" x14ac:dyDescent="0.3">
      <c r="A678" t="s">
        <v>1622</v>
      </c>
      <c r="B678" t="s">
        <v>966</v>
      </c>
      <c r="C678" s="1">
        <v>44988</v>
      </c>
      <c r="D678" s="1">
        <v>45018</v>
      </c>
      <c r="E678" s="2">
        <v>3677.45</v>
      </c>
      <c r="F678" t="s">
        <v>19</v>
      </c>
      <c r="G678" t="s">
        <v>17</v>
      </c>
      <c r="I678" t="s">
        <v>941</v>
      </c>
      <c r="J678" t="str">
        <f>IF(ISBLANK(Table1[[#This Row],[PaidDate]]),"Unpaid",IF(Table1[[#This Row],[PaidDate]]&gt;Table1[[#This Row],[DueDate]],"Late",IF(Table1[[#This Row],[PaidDate]]&lt;Table1[[#This Row],[DueDate]],"Early","On Time")))</f>
        <v>Unpaid</v>
      </c>
      <c r="K678" t="str">
        <f ca="1">IF(AND(Table1[[#This Row],[Status]]&lt;&gt;"Paid",TODAY()&gt;Table1[[#This Row],[DueDate]]),"Overdue","OK")</f>
        <v>Overdue</v>
      </c>
    </row>
    <row r="679" spans="1:11" x14ac:dyDescent="0.3">
      <c r="A679" t="s">
        <v>1623</v>
      </c>
      <c r="B679" t="s">
        <v>944</v>
      </c>
      <c r="C679" s="1">
        <v>44955</v>
      </c>
      <c r="D679" s="1">
        <v>44985</v>
      </c>
      <c r="E679" s="2">
        <v>2795.97</v>
      </c>
      <c r="F679" t="s">
        <v>28</v>
      </c>
      <c r="G679" t="s">
        <v>12</v>
      </c>
      <c r="I679" t="s">
        <v>941</v>
      </c>
      <c r="J679" t="str">
        <f>IF(ISBLANK(Table1[[#This Row],[PaidDate]]),"Unpaid",IF(Table1[[#This Row],[PaidDate]]&gt;Table1[[#This Row],[DueDate]],"Late",IF(Table1[[#This Row],[PaidDate]]&lt;Table1[[#This Row],[DueDate]],"Early","On Time")))</f>
        <v>Unpaid</v>
      </c>
      <c r="K679" t="str">
        <f ca="1">IF(AND(Table1[[#This Row],[Status]]&lt;&gt;"Paid",TODAY()&gt;Table1[[#This Row],[DueDate]]),"Overdue","OK")</f>
        <v>Overdue</v>
      </c>
    </row>
    <row r="680" spans="1:11" x14ac:dyDescent="0.3">
      <c r="A680" t="s">
        <v>1624</v>
      </c>
      <c r="B680" t="s">
        <v>944</v>
      </c>
      <c r="C680" s="1">
        <v>45152</v>
      </c>
      <c r="D680" s="1">
        <v>45182</v>
      </c>
      <c r="E680" s="2">
        <v>3609.91</v>
      </c>
      <c r="F680" t="s">
        <v>16</v>
      </c>
      <c r="G680" t="s">
        <v>17</v>
      </c>
      <c r="I680" t="s">
        <v>941</v>
      </c>
      <c r="J680" t="str">
        <f>IF(ISBLANK(Table1[[#This Row],[PaidDate]]),"Unpaid",IF(Table1[[#This Row],[PaidDate]]&gt;Table1[[#This Row],[DueDate]],"Late",IF(Table1[[#This Row],[PaidDate]]&lt;Table1[[#This Row],[DueDate]],"Early","On Time")))</f>
        <v>Unpaid</v>
      </c>
      <c r="K680" t="str">
        <f ca="1">IF(AND(Table1[[#This Row],[Status]]&lt;&gt;"Paid",TODAY()&gt;Table1[[#This Row],[DueDate]]),"Overdue","OK")</f>
        <v>Overdue</v>
      </c>
    </row>
    <row r="681" spans="1:11" x14ac:dyDescent="0.3">
      <c r="A681" t="s">
        <v>1625</v>
      </c>
      <c r="B681" t="s">
        <v>946</v>
      </c>
      <c r="C681" s="1">
        <v>45467</v>
      </c>
      <c r="D681" s="1">
        <v>45497</v>
      </c>
      <c r="E681" s="2">
        <v>415.41</v>
      </c>
      <c r="F681" t="s">
        <v>26</v>
      </c>
      <c r="G681" t="s">
        <v>17</v>
      </c>
      <c r="I681" t="s">
        <v>941</v>
      </c>
      <c r="J681" t="str">
        <f>IF(ISBLANK(Table1[[#This Row],[PaidDate]]),"Unpaid",IF(Table1[[#This Row],[PaidDate]]&gt;Table1[[#This Row],[DueDate]],"Late",IF(Table1[[#This Row],[PaidDate]]&lt;Table1[[#This Row],[DueDate]],"Early","On Time")))</f>
        <v>Unpaid</v>
      </c>
      <c r="K681" t="str">
        <f ca="1">IF(AND(Table1[[#This Row],[Status]]&lt;&gt;"Paid",TODAY()&gt;Table1[[#This Row],[DueDate]]),"Overdue","OK")</f>
        <v>Overdue</v>
      </c>
    </row>
    <row r="682" spans="1:11" x14ac:dyDescent="0.3">
      <c r="A682" t="s">
        <v>1626</v>
      </c>
      <c r="B682" t="s">
        <v>940</v>
      </c>
      <c r="C682" s="1">
        <v>45441</v>
      </c>
      <c r="D682" s="1">
        <v>45471</v>
      </c>
      <c r="E682" s="2">
        <v>3262.02</v>
      </c>
      <c r="F682" t="s">
        <v>16</v>
      </c>
      <c r="G682" t="s">
        <v>12</v>
      </c>
      <c r="I682" t="s">
        <v>941</v>
      </c>
      <c r="J682" t="str">
        <f>IF(ISBLANK(Table1[[#This Row],[PaidDate]]),"Unpaid",IF(Table1[[#This Row],[PaidDate]]&gt;Table1[[#This Row],[DueDate]],"Late",IF(Table1[[#This Row],[PaidDate]]&lt;Table1[[#This Row],[DueDate]],"Early","On Time")))</f>
        <v>Unpaid</v>
      </c>
      <c r="K682" t="str">
        <f ca="1">IF(AND(Table1[[#This Row],[Status]]&lt;&gt;"Paid",TODAY()&gt;Table1[[#This Row],[DueDate]]),"Overdue","OK")</f>
        <v>Overdue</v>
      </c>
    </row>
    <row r="683" spans="1:11" x14ac:dyDescent="0.3">
      <c r="A683" t="s">
        <v>1627</v>
      </c>
      <c r="B683" t="s">
        <v>944</v>
      </c>
      <c r="C683" s="1">
        <v>45514</v>
      </c>
      <c r="D683" s="1">
        <v>45544</v>
      </c>
      <c r="E683" s="2">
        <v>386.52</v>
      </c>
      <c r="F683" t="s">
        <v>16</v>
      </c>
      <c r="G683" t="s">
        <v>17</v>
      </c>
      <c r="I683" t="s">
        <v>941</v>
      </c>
      <c r="J683" t="str">
        <f>IF(ISBLANK(Table1[[#This Row],[PaidDate]]),"Unpaid",IF(Table1[[#This Row],[PaidDate]]&gt;Table1[[#This Row],[DueDate]],"Late",IF(Table1[[#This Row],[PaidDate]]&lt;Table1[[#This Row],[DueDate]],"Early","On Time")))</f>
        <v>Unpaid</v>
      </c>
      <c r="K683" t="str">
        <f ca="1">IF(AND(Table1[[#This Row],[Status]]&lt;&gt;"Paid",TODAY()&gt;Table1[[#This Row],[DueDate]]),"Overdue","OK")</f>
        <v>Overdue</v>
      </c>
    </row>
    <row r="684" spans="1:11" x14ac:dyDescent="0.3">
      <c r="A684" t="s">
        <v>1628</v>
      </c>
      <c r="B684" t="s">
        <v>966</v>
      </c>
      <c r="C684" s="1">
        <v>45150</v>
      </c>
      <c r="D684" s="1">
        <v>45180</v>
      </c>
      <c r="E684" s="2">
        <v>3339.93</v>
      </c>
      <c r="F684" t="s">
        <v>19</v>
      </c>
      <c r="G684" t="s">
        <v>12</v>
      </c>
      <c r="I684" t="s">
        <v>941</v>
      </c>
      <c r="J684" t="str">
        <f>IF(ISBLANK(Table1[[#This Row],[PaidDate]]),"Unpaid",IF(Table1[[#This Row],[PaidDate]]&gt;Table1[[#This Row],[DueDate]],"Late",IF(Table1[[#This Row],[PaidDate]]&lt;Table1[[#This Row],[DueDate]],"Early","On Time")))</f>
        <v>Unpaid</v>
      </c>
      <c r="K684" t="str">
        <f ca="1">IF(AND(Table1[[#This Row],[Status]]&lt;&gt;"Paid",TODAY()&gt;Table1[[#This Row],[DueDate]]),"Overdue","OK")</f>
        <v>Overdue</v>
      </c>
    </row>
    <row r="685" spans="1:11" x14ac:dyDescent="0.3">
      <c r="A685" t="s">
        <v>1629</v>
      </c>
      <c r="B685" t="s">
        <v>946</v>
      </c>
      <c r="C685" s="1">
        <v>45065</v>
      </c>
      <c r="D685" s="1">
        <v>45095</v>
      </c>
      <c r="E685" s="2">
        <v>4195.2</v>
      </c>
      <c r="F685" t="s">
        <v>16</v>
      </c>
      <c r="G685" t="s">
        <v>12</v>
      </c>
      <c r="I685" t="s">
        <v>941</v>
      </c>
      <c r="J685" t="str">
        <f>IF(ISBLANK(Table1[[#This Row],[PaidDate]]),"Unpaid",IF(Table1[[#This Row],[PaidDate]]&gt;Table1[[#This Row],[DueDate]],"Late",IF(Table1[[#This Row],[PaidDate]]&lt;Table1[[#This Row],[DueDate]],"Early","On Time")))</f>
        <v>Unpaid</v>
      </c>
      <c r="K685" t="str">
        <f ca="1">IF(AND(Table1[[#This Row],[Status]]&lt;&gt;"Paid",TODAY()&gt;Table1[[#This Row],[DueDate]]),"Overdue","OK")</f>
        <v>Overdue</v>
      </c>
    </row>
    <row r="686" spans="1:11" x14ac:dyDescent="0.3">
      <c r="A686" t="s">
        <v>1630</v>
      </c>
      <c r="B686" t="s">
        <v>946</v>
      </c>
      <c r="C686" s="1">
        <v>45065</v>
      </c>
      <c r="D686" s="1">
        <v>45095</v>
      </c>
      <c r="E686" s="2">
        <v>2911.89</v>
      </c>
      <c r="F686" t="s">
        <v>16</v>
      </c>
      <c r="G686" t="s">
        <v>17</v>
      </c>
      <c r="I686" t="s">
        <v>941</v>
      </c>
      <c r="J686" t="str">
        <f>IF(ISBLANK(Table1[[#This Row],[PaidDate]]),"Unpaid",IF(Table1[[#This Row],[PaidDate]]&gt;Table1[[#This Row],[DueDate]],"Late",IF(Table1[[#This Row],[PaidDate]]&lt;Table1[[#This Row],[DueDate]],"Early","On Time")))</f>
        <v>Unpaid</v>
      </c>
      <c r="K686" t="str">
        <f ca="1">IF(AND(Table1[[#This Row],[Status]]&lt;&gt;"Paid",TODAY()&gt;Table1[[#This Row],[DueDate]]),"Overdue","OK")</f>
        <v>Overdue</v>
      </c>
    </row>
    <row r="687" spans="1:11" x14ac:dyDescent="0.3">
      <c r="A687" t="s">
        <v>1631</v>
      </c>
      <c r="B687" t="s">
        <v>966</v>
      </c>
      <c r="C687" s="1">
        <v>45746</v>
      </c>
      <c r="D687" s="1">
        <v>45776</v>
      </c>
      <c r="E687" s="2">
        <v>1595.21</v>
      </c>
      <c r="F687" t="s">
        <v>26</v>
      </c>
      <c r="G687" t="s">
        <v>17</v>
      </c>
      <c r="I687" t="s">
        <v>941</v>
      </c>
      <c r="J687" t="str">
        <f>IF(ISBLANK(Table1[[#This Row],[PaidDate]]),"Unpaid",IF(Table1[[#This Row],[PaidDate]]&gt;Table1[[#This Row],[DueDate]],"Late",IF(Table1[[#This Row],[PaidDate]]&lt;Table1[[#This Row],[DueDate]],"Early","On Time")))</f>
        <v>Unpaid</v>
      </c>
      <c r="K687" t="str">
        <f ca="1">IF(AND(Table1[[#This Row],[Status]]&lt;&gt;"Paid",TODAY()&gt;Table1[[#This Row],[DueDate]]),"Overdue","OK")</f>
        <v>Overdue</v>
      </c>
    </row>
    <row r="688" spans="1:11" x14ac:dyDescent="0.3">
      <c r="A688" t="s">
        <v>1632</v>
      </c>
      <c r="B688" t="s">
        <v>946</v>
      </c>
      <c r="C688" s="1">
        <v>45023</v>
      </c>
      <c r="D688" s="1">
        <v>45053</v>
      </c>
      <c r="E688" s="2">
        <v>2246.04</v>
      </c>
      <c r="F688" t="s">
        <v>16</v>
      </c>
      <c r="G688" t="s">
        <v>17</v>
      </c>
      <c r="I688" t="s">
        <v>941</v>
      </c>
      <c r="J688" t="str">
        <f>IF(ISBLANK(Table1[[#This Row],[PaidDate]]),"Unpaid",IF(Table1[[#This Row],[PaidDate]]&gt;Table1[[#This Row],[DueDate]],"Late",IF(Table1[[#This Row],[PaidDate]]&lt;Table1[[#This Row],[DueDate]],"Early","On Time")))</f>
        <v>Unpaid</v>
      </c>
      <c r="K688" t="str">
        <f ca="1">IF(AND(Table1[[#This Row],[Status]]&lt;&gt;"Paid",TODAY()&gt;Table1[[#This Row],[DueDate]]),"Overdue","OK")</f>
        <v>Overdue</v>
      </c>
    </row>
    <row r="689" spans="1:11" x14ac:dyDescent="0.3">
      <c r="A689" t="s">
        <v>1633</v>
      </c>
      <c r="B689" t="s">
        <v>966</v>
      </c>
      <c r="C689" s="1">
        <v>45292</v>
      </c>
      <c r="D689" s="1">
        <v>45322</v>
      </c>
      <c r="E689" s="2">
        <v>560.41999999999996</v>
      </c>
      <c r="F689" t="s">
        <v>16</v>
      </c>
      <c r="G689" t="s">
        <v>951</v>
      </c>
      <c r="H689" s="1">
        <v>45322</v>
      </c>
      <c r="I689" t="s">
        <v>941</v>
      </c>
      <c r="J689" t="str">
        <f>IF(ISBLANK(Table1[[#This Row],[PaidDate]]),"Unpaid",IF(Table1[[#This Row],[PaidDate]]&gt;Table1[[#This Row],[DueDate]],"Late",IF(Table1[[#This Row],[PaidDate]]&lt;Table1[[#This Row],[DueDate]],"Early","On Time")))</f>
        <v>On Time</v>
      </c>
      <c r="K689" t="str">
        <f ca="1">IF(AND(Table1[[#This Row],[Status]]&lt;&gt;"Paid",TODAY()&gt;Table1[[#This Row],[DueDate]]),"Overdue","OK")</f>
        <v>OK</v>
      </c>
    </row>
    <row r="690" spans="1:11" x14ac:dyDescent="0.3">
      <c r="A690" t="s">
        <v>1634</v>
      </c>
      <c r="B690" t="s">
        <v>962</v>
      </c>
      <c r="C690" s="1">
        <v>45259</v>
      </c>
      <c r="D690" s="1">
        <v>45289</v>
      </c>
      <c r="E690" s="2">
        <v>1796.7</v>
      </c>
      <c r="F690" t="s">
        <v>16</v>
      </c>
      <c r="G690" t="s">
        <v>17</v>
      </c>
      <c r="I690" t="s">
        <v>941</v>
      </c>
      <c r="J690" t="str">
        <f>IF(ISBLANK(Table1[[#This Row],[PaidDate]]),"Unpaid",IF(Table1[[#This Row],[PaidDate]]&gt;Table1[[#This Row],[DueDate]],"Late",IF(Table1[[#This Row],[PaidDate]]&lt;Table1[[#This Row],[DueDate]],"Early","On Time")))</f>
        <v>Unpaid</v>
      </c>
      <c r="K690" t="str">
        <f ca="1">IF(AND(Table1[[#This Row],[Status]]&lt;&gt;"Paid",TODAY()&gt;Table1[[#This Row],[DueDate]]),"Overdue","OK")</f>
        <v>Overdue</v>
      </c>
    </row>
    <row r="691" spans="1:11" x14ac:dyDescent="0.3">
      <c r="A691" t="s">
        <v>1635</v>
      </c>
      <c r="B691" t="s">
        <v>944</v>
      </c>
      <c r="C691" s="1">
        <v>45444</v>
      </c>
      <c r="D691" s="1">
        <v>45474</v>
      </c>
      <c r="E691" s="2">
        <v>1049.54</v>
      </c>
      <c r="F691" t="s">
        <v>16</v>
      </c>
      <c r="G691" t="s">
        <v>12</v>
      </c>
      <c r="I691" t="s">
        <v>941</v>
      </c>
      <c r="J691" t="str">
        <f>IF(ISBLANK(Table1[[#This Row],[PaidDate]]),"Unpaid",IF(Table1[[#This Row],[PaidDate]]&gt;Table1[[#This Row],[DueDate]],"Late",IF(Table1[[#This Row],[PaidDate]]&lt;Table1[[#This Row],[DueDate]],"Early","On Time")))</f>
        <v>Unpaid</v>
      </c>
      <c r="K691" t="str">
        <f ca="1">IF(AND(Table1[[#This Row],[Status]]&lt;&gt;"Paid",TODAY()&gt;Table1[[#This Row],[DueDate]]),"Overdue","OK")</f>
        <v>Overdue</v>
      </c>
    </row>
    <row r="692" spans="1:11" x14ac:dyDescent="0.3">
      <c r="A692" t="s">
        <v>1636</v>
      </c>
      <c r="B692" t="s">
        <v>946</v>
      </c>
      <c r="C692" s="1">
        <v>45178</v>
      </c>
      <c r="D692" s="1">
        <v>45208</v>
      </c>
      <c r="E692" s="2">
        <v>2858.31</v>
      </c>
      <c r="F692" t="s">
        <v>16</v>
      </c>
      <c r="G692" t="s">
        <v>17</v>
      </c>
      <c r="I692" t="s">
        <v>941</v>
      </c>
      <c r="J692" t="str">
        <f>IF(ISBLANK(Table1[[#This Row],[PaidDate]]),"Unpaid",IF(Table1[[#This Row],[PaidDate]]&gt;Table1[[#This Row],[DueDate]],"Late",IF(Table1[[#This Row],[PaidDate]]&lt;Table1[[#This Row],[DueDate]],"Early","On Time")))</f>
        <v>Unpaid</v>
      </c>
      <c r="K692" t="str">
        <f ca="1">IF(AND(Table1[[#This Row],[Status]]&lt;&gt;"Paid",TODAY()&gt;Table1[[#This Row],[DueDate]]),"Overdue","OK")</f>
        <v>Overdue</v>
      </c>
    </row>
    <row r="693" spans="1:11" x14ac:dyDescent="0.3">
      <c r="A693" t="s">
        <v>1637</v>
      </c>
      <c r="B693" t="s">
        <v>946</v>
      </c>
      <c r="C693" s="1">
        <v>45279</v>
      </c>
      <c r="D693" s="1">
        <v>45309</v>
      </c>
      <c r="E693" s="2">
        <v>2144.37</v>
      </c>
      <c r="F693" t="s">
        <v>26</v>
      </c>
      <c r="G693" t="s">
        <v>17</v>
      </c>
      <c r="I693" t="s">
        <v>941</v>
      </c>
      <c r="J693" t="str">
        <f>IF(ISBLANK(Table1[[#This Row],[PaidDate]]),"Unpaid",IF(Table1[[#This Row],[PaidDate]]&gt;Table1[[#This Row],[DueDate]],"Late",IF(Table1[[#This Row],[PaidDate]]&lt;Table1[[#This Row],[DueDate]],"Early","On Time")))</f>
        <v>Unpaid</v>
      </c>
      <c r="K693" t="str">
        <f ca="1">IF(AND(Table1[[#This Row],[Status]]&lt;&gt;"Paid",TODAY()&gt;Table1[[#This Row],[DueDate]]),"Overdue","OK")</f>
        <v>Overdue</v>
      </c>
    </row>
    <row r="694" spans="1:11" x14ac:dyDescent="0.3">
      <c r="A694" t="s">
        <v>1638</v>
      </c>
      <c r="B694" t="s">
        <v>962</v>
      </c>
      <c r="C694" s="1">
        <v>45815</v>
      </c>
      <c r="D694" s="1">
        <v>45845</v>
      </c>
      <c r="E694" s="2">
        <v>1051.29</v>
      </c>
      <c r="F694" t="s">
        <v>16</v>
      </c>
      <c r="G694" t="s">
        <v>951</v>
      </c>
      <c r="H694" s="1">
        <v>45845</v>
      </c>
      <c r="I694" t="s">
        <v>941</v>
      </c>
      <c r="J694" t="str">
        <f>IF(ISBLANK(Table1[[#This Row],[PaidDate]]),"Unpaid",IF(Table1[[#This Row],[PaidDate]]&gt;Table1[[#This Row],[DueDate]],"Late",IF(Table1[[#This Row],[PaidDate]]&lt;Table1[[#This Row],[DueDate]],"Early","On Time")))</f>
        <v>On Time</v>
      </c>
      <c r="K694" t="str">
        <f ca="1">IF(AND(Table1[[#This Row],[Status]]&lt;&gt;"Paid",TODAY()&gt;Table1[[#This Row],[DueDate]]),"Overdue","OK")</f>
        <v>OK</v>
      </c>
    </row>
    <row r="695" spans="1:11" x14ac:dyDescent="0.3">
      <c r="A695" t="s">
        <v>1639</v>
      </c>
      <c r="B695" t="s">
        <v>962</v>
      </c>
      <c r="C695" s="1">
        <v>45006</v>
      </c>
      <c r="D695" s="1">
        <v>45036</v>
      </c>
      <c r="E695" s="2">
        <v>212.66</v>
      </c>
      <c r="F695" t="s">
        <v>11</v>
      </c>
      <c r="G695" t="s">
        <v>12</v>
      </c>
      <c r="I695" t="s">
        <v>941</v>
      </c>
      <c r="J695" t="str">
        <f>IF(ISBLANK(Table1[[#This Row],[PaidDate]]),"Unpaid",IF(Table1[[#This Row],[PaidDate]]&gt;Table1[[#This Row],[DueDate]],"Late",IF(Table1[[#This Row],[PaidDate]]&lt;Table1[[#This Row],[DueDate]],"Early","On Time")))</f>
        <v>Unpaid</v>
      </c>
      <c r="K695" t="str">
        <f ca="1">IF(AND(Table1[[#This Row],[Status]]&lt;&gt;"Paid",TODAY()&gt;Table1[[#This Row],[DueDate]]),"Overdue","OK")</f>
        <v>Overdue</v>
      </c>
    </row>
    <row r="696" spans="1:11" x14ac:dyDescent="0.3">
      <c r="A696" t="s">
        <v>1640</v>
      </c>
      <c r="B696" t="s">
        <v>944</v>
      </c>
      <c r="C696" s="1">
        <v>45271</v>
      </c>
      <c r="D696" s="1">
        <v>45301</v>
      </c>
      <c r="E696" s="2">
        <v>2649.88</v>
      </c>
      <c r="F696" t="s">
        <v>16</v>
      </c>
      <c r="G696" t="s">
        <v>951</v>
      </c>
      <c r="H696" s="1">
        <v>45301</v>
      </c>
      <c r="I696" t="s">
        <v>941</v>
      </c>
      <c r="J696" t="str">
        <f>IF(ISBLANK(Table1[[#This Row],[PaidDate]]),"Unpaid",IF(Table1[[#This Row],[PaidDate]]&gt;Table1[[#This Row],[DueDate]],"Late",IF(Table1[[#This Row],[PaidDate]]&lt;Table1[[#This Row],[DueDate]],"Early","On Time")))</f>
        <v>On Time</v>
      </c>
      <c r="K696" t="str">
        <f ca="1">IF(AND(Table1[[#This Row],[Status]]&lt;&gt;"Paid",TODAY()&gt;Table1[[#This Row],[DueDate]]),"Overdue","OK")</f>
        <v>OK</v>
      </c>
    </row>
    <row r="697" spans="1:11" x14ac:dyDescent="0.3">
      <c r="A697" t="s">
        <v>1641</v>
      </c>
      <c r="B697" t="s">
        <v>940</v>
      </c>
      <c r="C697" s="1">
        <v>45074</v>
      </c>
      <c r="D697" s="1">
        <v>45104</v>
      </c>
      <c r="E697" s="2">
        <v>2025.22</v>
      </c>
      <c r="F697" t="s">
        <v>19</v>
      </c>
      <c r="G697" t="s">
        <v>17</v>
      </c>
      <c r="I697" t="s">
        <v>941</v>
      </c>
      <c r="J697" t="str">
        <f>IF(ISBLANK(Table1[[#This Row],[PaidDate]]),"Unpaid",IF(Table1[[#This Row],[PaidDate]]&gt;Table1[[#This Row],[DueDate]],"Late",IF(Table1[[#This Row],[PaidDate]]&lt;Table1[[#This Row],[DueDate]],"Early","On Time")))</f>
        <v>Unpaid</v>
      </c>
      <c r="K697" t="str">
        <f ca="1">IF(AND(Table1[[#This Row],[Status]]&lt;&gt;"Paid",TODAY()&gt;Table1[[#This Row],[DueDate]]),"Overdue","OK")</f>
        <v>Overdue</v>
      </c>
    </row>
    <row r="698" spans="1:11" x14ac:dyDescent="0.3">
      <c r="A698" t="s">
        <v>1642</v>
      </c>
      <c r="B698" t="s">
        <v>944</v>
      </c>
      <c r="C698" s="1">
        <v>45779</v>
      </c>
      <c r="D698" s="1">
        <v>45809</v>
      </c>
      <c r="E698" s="2">
        <v>2110.4899999999998</v>
      </c>
      <c r="F698" t="s">
        <v>19</v>
      </c>
      <c r="G698" t="s">
        <v>951</v>
      </c>
      <c r="H698" s="1">
        <v>45809</v>
      </c>
      <c r="I698" t="s">
        <v>941</v>
      </c>
      <c r="J698" t="str">
        <f>IF(ISBLANK(Table1[[#This Row],[PaidDate]]),"Unpaid",IF(Table1[[#This Row],[PaidDate]]&gt;Table1[[#This Row],[DueDate]],"Late",IF(Table1[[#This Row],[PaidDate]]&lt;Table1[[#This Row],[DueDate]],"Early","On Time")))</f>
        <v>On Time</v>
      </c>
      <c r="K698" t="str">
        <f ca="1">IF(AND(Table1[[#This Row],[Status]]&lt;&gt;"Paid",TODAY()&gt;Table1[[#This Row],[DueDate]]),"Overdue","OK")</f>
        <v>OK</v>
      </c>
    </row>
    <row r="699" spans="1:11" x14ac:dyDescent="0.3">
      <c r="A699" t="s">
        <v>1643</v>
      </c>
      <c r="B699" t="s">
        <v>944</v>
      </c>
      <c r="C699" s="1">
        <v>45624</v>
      </c>
      <c r="D699" s="1">
        <v>45654</v>
      </c>
      <c r="E699" s="2">
        <v>4740.3</v>
      </c>
      <c r="F699" t="s">
        <v>26</v>
      </c>
      <c r="G699" t="s">
        <v>951</v>
      </c>
      <c r="H699" s="1">
        <v>45654</v>
      </c>
      <c r="I699" t="s">
        <v>941</v>
      </c>
      <c r="J699" t="str">
        <f>IF(ISBLANK(Table1[[#This Row],[PaidDate]]),"Unpaid",IF(Table1[[#This Row],[PaidDate]]&gt;Table1[[#This Row],[DueDate]],"Late",IF(Table1[[#This Row],[PaidDate]]&lt;Table1[[#This Row],[DueDate]],"Early","On Time")))</f>
        <v>On Time</v>
      </c>
      <c r="K699" t="str">
        <f ca="1">IF(AND(Table1[[#This Row],[Status]]&lt;&gt;"Paid",TODAY()&gt;Table1[[#This Row],[DueDate]]),"Overdue","OK")</f>
        <v>OK</v>
      </c>
    </row>
    <row r="700" spans="1:11" x14ac:dyDescent="0.3">
      <c r="A700" t="s">
        <v>1644</v>
      </c>
      <c r="B700" t="s">
        <v>966</v>
      </c>
      <c r="C700" s="1">
        <v>45571</v>
      </c>
      <c r="D700" s="1">
        <v>45601</v>
      </c>
      <c r="E700" s="2">
        <v>2511.0500000000002</v>
      </c>
      <c r="F700" t="s">
        <v>26</v>
      </c>
      <c r="G700" t="s">
        <v>12</v>
      </c>
      <c r="I700" t="s">
        <v>941</v>
      </c>
      <c r="J700" t="str">
        <f>IF(ISBLANK(Table1[[#This Row],[PaidDate]]),"Unpaid",IF(Table1[[#This Row],[PaidDate]]&gt;Table1[[#This Row],[DueDate]],"Late",IF(Table1[[#This Row],[PaidDate]]&lt;Table1[[#This Row],[DueDate]],"Early","On Time")))</f>
        <v>Unpaid</v>
      </c>
      <c r="K700" t="str">
        <f ca="1">IF(AND(Table1[[#This Row],[Status]]&lt;&gt;"Paid",TODAY()&gt;Table1[[#This Row],[DueDate]]),"Overdue","OK")</f>
        <v>Overdue</v>
      </c>
    </row>
    <row r="701" spans="1:11" x14ac:dyDescent="0.3">
      <c r="A701" t="s">
        <v>1645</v>
      </c>
      <c r="B701" t="s">
        <v>944</v>
      </c>
      <c r="C701" s="1">
        <v>45459</v>
      </c>
      <c r="D701" s="1">
        <v>45489</v>
      </c>
      <c r="E701" s="2">
        <v>1198.06</v>
      </c>
      <c r="F701" t="s">
        <v>11</v>
      </c>
      <c r="G701" t="s">
        <v>17</v>
      </c>
      <c r="I701" t="s">
        <v>941</v>
      </c>
      <c r="J701" t="str">
        <f>IF(ISBLANK(Table1[[#This Row],[PaidDate]]),"Unpaid",IF(Table1[[#This Row],[PaidDate]]&gt;Table1[[#This Row],[DueDate]],"Late",IF(Table1[[#This Row],[PaidDate]]&lt;Table1[[#This Row],[DueDate]],"Early","On Time")))</f>
        <v>Unpaid</v>
      </c>
      <c r="K701" t="str">
        <f ca="1">IF(AND(Table1[[#This Row],[Status]]&lt;&gt;"Paid",TODAY()&gt;Table1[[#This Row],[DueDate]]),"Overdue","OK")</f>
        <v>Overdue</v>
      </c>
    </row>
    <row r="702" spans="1:11" x14ac:dyDescent="0.3">
      <c r="A702" t="s">
        <v>1646</v>
      </c>
      <c r="B702" t="s">
        <v>946</v>
      </c>
      <c r="C702" s="1">
        <v>45627</v>
      </c>
      <c r="D702" s="1">
        <v>45657</v>
      </c>
      <c r="E702" s="2">
        <v>4648.54</v>
      </c>
      <c r="F702" t="s">
        <v>11</v>
      </c>
      <c r="G702" t="s">
        <v>12</v>
      </c>
      <c r="I702" t="s">
        <v>941</v>
      </c>
      <c r="J702" t="str">
        <f>IF(ISBLANK(Table1[[#This Row],[PaidDate]]),"Unpaid",IF(Table1[[#This Row],[PaidDate]]&gt;Table1[[#This Row],[DueDate]],"Late",IF(Table1[[#This Row],[PaidDate]]&lt;Table1[[#This Row],[DueDate]],"Early","On Time")))</f>
        <v>Unpaid</v>
      </c>
      <c r="K702" t="str">
        <f ca="1">IF(AND(Table1[[#This Row],[Status]]&lt;&gt;"Paid",TODAY()&gt;Table1[[#This Row],[DueDate]]),"Overdue","OK")</f>
        <v>Overdue</v>
      </c>
    </row>
    <row r="703" spans="1:11" x14ac:dyDescent="0.3">
      <c r="A703" t="s">
        <v>1647</v>
      </c>
      <c r="B703" t="s">
        <v>962</v>
      </c>
      <c r="C703" s="1">
        <v>45391</v>
      </c>
      <c r="D703" s="1">
        <v>45421</v>
      </c>
      <c r="E703" s="2">
        <v>1123.9000000000001</v>
      </c>
      <c r="F703" t="s">
        <v>11</v>
      </c>
      <c r="G703" t="s">
        <v>17</v>
      </c>
      <c r="I703" t="s">
        <v>941</v>
      </c>
      <c r="J703" t="str">
        <f>IF(ISBLANK(Table1[[#This Row],[PaidDate]]),"Unpaid",IF(Table1[[#This Row],[PaidDate]]&gt;Table1[[#This Row],[DueDate]],"Late",IF(Table1[[#This Row],[PaidDate]]&lt;Table1[[#This Row],[DueDate]],"Early","On Time")))</f>
        <v>Unpaid</v>
      </c>
      <c r="K703" t="str">
        <f ca="1">IF(AND(Table1[[#This Row],[Status]]&lt;&gt;"Paid",TODAY()&gt;Table1[[#This Row],[DueDate]]),"Overdue","OK")</f>
        <v>Overdue</v>
      </c>
    </row>
    <row r="704" spans="1:11" x14ac:dyDescent="0.3">
      <c r="A704" t="s">
        <v>1648</v>
      </c>
      <c r="B704" t="s">
        <v>940</v>
      </c>
      <c r="C704" s="1">
        <v>45271</v>
      </c>
      <c r="D704" s="1">
        <v>45301</v>
      </c>
      <c r="E704" s="2">
        <v>137.11000000000001</v>
      </c>
      <c r="F704" t="s">
        <v>11</v>
      </c>
      <c r="G704" t="s">
        <v>12</v>
      </c>
      <c r="I704" t="s">
        <v>941</v>
      </c>
      <c r="J704" t="str">
        <f>IF(ISBLANK(Table1[[#This Row],[PaidDate]]),"Unpaid",IF(Table1[[#This Row],[PaidDate]]&gt;Table1[[#This Row],[DueDate]],"Late",IF(Table1[[#This Row],[PaidDate]]&lt;Table1[[#This Row],[DueDate]],"Early","On Time")))</f>
        <v>Unpaid</v>
      </c>
      <c r="K704" t="str">
        <f ca="1">IF(AND(Table1[[#This Row],[Status]]&lt;&gt;"Paid",TODAY()&gt;Table1[[#This Row],[DueDate]]),"Overdue","OK")</f>
        <v>Overdue</v>
      </c>
    </row>
    <row r="705" spans="1:11" x14ac:dyDescent="0.3">
      <c r="A705" t="s">
        <v>1649</v>
      </c>
      <c r="B705" t="s">
        <v>940</v>
      </c>
      <c r="C705" s="1">
        <v>45445</v>
      </c>
      <c r="D705" s="1">
        <v>45475</v>
      </c>
      <c r="E705" s="2">
        <v>1824.99</v>
      </c>
      <c r="F705" t="s">
        <v>16</v>
      </c>
      <c r="G705" t="s">
        <v>951</v>
      </c>
      <c r="H705" s="1">
        <v>45475</v>
      </c>
      <c r="I705" t="s">
        <v>941</v>
      </c>
      <c r="J705" t="str">
        <f>IF(ISBLANK(Table1[[#This Row],[PaidDate]]),"Unpaid",IF(Table1[[#This Row],[PaidDate]]&gt;Table1[[#This Row],[DueDate]],"Late",IF(Table1[[#This Row],[PaidDate]]&lt;Table1[[#This Row],[DueDate]],"Early","On Time")))</f>
        <v>On Time</v>
      </c>
      <c r="K705" t="str">
        <f ca="1">IF(AND(Table1[[#This Row],[Status]]&lt;&gt;"Paid",TODAY()&gt;Table1[[#This Row],[DueDate]]),"Overdue","OK")</f>
        <v>OK</v>
      </c>
    </row>
    <row r="706" spans="1:11" x14ac:dyDescent="0.3">
      <c r="A706" t="s">
        <v>1650</v>
      </c>
      <c r="B706" t="s">
        <v>962</v>
      </c>
      <c r="C706" s="1">
        <v>45079</v>
      </c>
      <c r="D706" s="1">
        <v>45109</v>
      </c>
      <c r="E706" s="2">
        <v>3916.78</v>
      </c>
      <c r="F706" t="s">
        <v>19</v>
      </c>
      <c r="G706" t="s">
        <v>12</v>
      </c>
      <c r="I706" t="s">
        <v>941</v>
      </c>
      <c r="J706" t="str">
        <f>IF(ISBLANK(Table1[[#This Row],[PaidDate]]),"Unpaid",IF(Table1[[#This Row],[PaidDate]]&gt;Table1[[#This Row],[DueDate]],"Late",IF(Table1[[#This Row],[PaidDate]]&lt;Table1[[#This Row],[DueDate]],"Early","On Time")))</f>
        <v>Unpaid</v>
      </c>
      <c r="K706" t="str">
        <f ca="1">IF(AND(Table1[[#This Row],[Status]]&lt;&gt;"Paid",TODAY()&gt;Table1[[#This Row],[DueDate]]),"Overdue","OK")</f>
        <v>Overdue</v>
      </c>
    </row>
    <row r="707" spans="1:11" x14ac:dyDescent="0.3">
      <c r="A707" t="s">
        <v>1651</v>
      </c>
      <c r="B707" t="s">
        <v>946</v>
      </c>
      <c r="C707" s="1">
        <v>45091</v>
      </c>
      <c r="D707" s="1">
        <v>45121</v>
      </c>
      <c r="E707" s="2">
        <v>4748.8999999999996</v>
      </c>
      <c r="F707" t="s">
        <v>28</v>
      </c>
      <c r="G707" t="s">
        <v>12</v>
      </c>
      <c r="I707" t="s">
        <v>941</v>
      </c>
      <c r="J707" t="str">
        <f>IF(ISBLANK(Table1[[#This Row],[PaidDate]]),"Unpaid",IF(Table1[[#This Row],[PaidDate]]&gt;Table1[[#This Row],[DueDate]],"Late",IF(Table1[[#This Row],[PaidDate]]&lt;Table1[[#This Row],[DueDate]],"Early","On Time")))</f>
        <v>Unpaid</v>
      </c>
      <c r="K707" t="str">
        <f ca="1">IF(AND(Table1[[#This Row],[Status]]&lt;&gt;"Paid",TODAY()&gt;Table1[[#This Row],[DueDate]]),"Overdue","OK")</f>
        <v>Overdue</v>
      </c>
    </row>
    <row r="708" spans="1:11" x14ac:dyDescent="0.3">
      <c r="A708" t="s">
        <v>1652</v>
      </c>
      <c r="B708" t="s">
        <v>966</v>
      </c>
      <c r="C708" s="1">
        <v>45770</v>
      </c>
      <c r="D708" s="1">
        <v>45800</v>
      </c>
      <c r="E708" s="2">
        <v>2620.19</v>
      </c>
      <c r="F708" t="s">
        <v>16</v>
      </c>
      <c r="G708" t="s">
        <v>17</v>
      </c>
      <c r="I708" t="s">
        <v>941</v>
      </c>
      <c r="J708" t="str">
        <f>IF(ISBLANK(Table1[[#This Row],[PaidDate]]),"Unpaid",IF(Table1[[#This Row],[PaidDate]]&gt;Table1[[#This Row],[DueDate]],"Late",IF(Table1[[#This Row],[PaidDate]]&lt;Table1[[#This Row],[DueDate]],"Early","On Time")))</f>
        <v>Unpaid</v>
      </c>
      <c r="K708" t="str">
        <f ca="1">IF(AND(Table1[[#This Row],[Status]]&lt;&gt;"Paid",TODAY()&gt;Table1[[#This Row],[DueDate]]),"Overdue","OK")</f>
        <v>Overdue</v>
      </c>
    </row>
    <row r="709" spans="1:11" x14ac:dyDescent="0.3">
      <c r="A709" t="s">
        <v>1653</v>
      </c>
      <c r="B709" t="s">
        <v>944</v>
      </c>
      <c r="C709" s="1">
        <v>44990</v>
      </c>
      <c r="D709" s="1">
        <v>45020</v>
      </c>
      <c r="E709" s="2">
        <v>3038.06</v>
      </c>
      <c r="F709" t="s">
        <v>28</v>
      </c>
      <c r="G709" t="s">
        <v>17</v>
      </c>
      <c r="I709" t="s">
        <v>941</v>
      </c>
      <c r="J709" t="str">
        <f>IF(ISBLANK(Table1[[#This Row],[PaidDate]]),"Unpaid",IF(Table1[[#This Row],[PaidDate]]&gt;Table1[[#This Row],[DueDate]],"Late",IF(Table1[[#This Row],[PaidDate]]&lt;Table1[[#This Row],[DueDate]],"Early","On Time")))</f>
        <v>Unpaid</v>
      </c>
      <c r="K709" t="str">
        <f ca="1">IF(AND(Table1[[#This Row],[Status]]&lt;&gt;"Paid",TODAY()&gt;Table1[[#This Row],[DueDate]]),"Overdue","OK")</f>
        <v>Overdue</v>
      </c>
    </row>
    <row r="710" spans="1:11" x14ac:dyDescent="0.3">
      <c r="A710" t="s">
        <v>1654</v>
      </c>
      <c r="B710" t="s">
        <v>944</v>
      </c>
      <c r="C710" s="1">
        <v>45275</v>
      </c>
      <c r="D710" s="1">
        <v>45305</v>
      </c>
      <c r="E710" s="2">
        <v>1309.8800000000001</v>
      </c>
      <c r="F710" t="s">
        <v>16</v>
      </c>
      <c r="G710" t="s">
        <v>951</v>
      </c>
      <c r="H710" s="1">
        <v>45305</v>
      </c>
      <c r="I710" t="s">
        <v>941</v>
      </c>
      <c r="J710" t="str">
        <f>IF(ISBLANK(Table1[[#This Row],[PaidDate]]),"Unpaid",IF(Table1[[#This Row],[PaidDate]]&gt;Table1[[#This Row],[DueDate]],"Late",IF(Table1[[#This Row],[PaidDate]]&lt;Table1[[#This Row],[DueDate]],"Early","On Time")))</f>
        <v>On Time</v>
      </c>
      <c r="K710" t="str">
        <f ca="1">IF(AND(Table1[[#This Row],[Status]]&lt;&gt;"Paid",TODAY()&gt;Table1[[#This Row],[DueDate]]),"Overdue","OK")</f>
        <v>OK</v>
      </c>
    </row>
    <row r="711" spans="1:11" x14ac:dyDescent="0.3">
      <c r="A711" t="s">
        <v>1655</v>
      </c>
      <c r="B711" t="s">
        <v>946</v>
      </c>
      <c r="C711" s="1">
        <v>45028</v>
      </c>
      <c r="D711" s="1">
        <v>45058</v>
      </c>
      <c r="E711" s="2">
        <v>3542.51</v>
      </c>
      <c r="F711" t="s">
        <v>19</v>
      </c>
      <c r="G711" t="s">
        <v>951</v>
      </c>
      <c r="H711" s="1">
        <v>45058</v>
      </c>
      <c r="I711" t="s">
        <v>941</v>
      </c>
      <c r="J711" t="str">
        <f>IF(ISBLANK(Table1[[#This Row],[PaidDate]]),"Unpaid",IF(Table1[[#This Row],[PaidDate]]&gt;Table1[[#This Row],[DueDate]],"Late",IF(Table1[[#This Row],[PaidDate]]&lt;Table1[[#This Row],[DueDate]],"Early","On Time")))</f>
        <v>On Time</v>
      </c>
      <c r="K711" t="str">
        <f ca="1">IF(AND(Table1[[#This Row],[Status]]&lt;&gt;"Paid",TODAY()&gt;Table1[[#This Row],[DueDate]]),"Overdue","OK")</f>
        <v>OK</v>
      </c>
    </row>
    <row r="712" spans="1:11" x14ac:dyDescent="0.3">
      <c r="A712" t="s">
        <v>1656</v>
      </c>
      <c r="B712" t="s">
        <v>940</v>
      </c>
      <c r="C712" s="1">
        <v>44986</v>
      </c>
      <c r="D712" s="1">
        <v>45016</v>
      </c>
      <c r="E712" s="2">
        <v>1785.99</v>
      </c>
      <c r="F712" t="s">
        <v>28</v>
      </c>
      <c r="G712" t="s">
        <v>12</v>
      </c>
      <c r="I712" t="s">
        <v>941</v>
      </c>
      <c r="J712" t="str">
        <f>IF(ISBLANK(Table1[[#This Row],[PaidDate]]),"Unpaid",IF(Table1[[#This Row],[PaidDate]]&gt;Table1[[#This Row],[DueDate]],"Late",IF(Table1[[#This Row],[PaidDate]]&lt;Table1[[#This Row],[DueDate]],"Early","On Time")))</f>
        <v>Unpaid</v>
      </c>
      <c r="K712" t="str">
        <f ca="1">IF(AND(Table1[[#This Row],[Status]]&lt;&gt;"Paid",TODAY()&gt;Table1[[#This Row],[DueDate]]),"Overdue","OK")</f>
        <v>Overdue</v>
      </c>
    </row>
    <row r="713" spans="1:11" x14ac:dyDescent="0.3">
      <c r="A713" t="s">
        <v>1657</v>
      </c>
      <c r="B713" t="s">
        <v>944</v>
      </c>
      <c r="C713" s="1">
        <v>45158</v>
      </c>
      <c r="D713" s="1">
        <v>45188</v>
      </c>
      <c r="E713" s="2">
        <v>2979.86</v>
      </c>
      <c r="F713" t="s">
        <v>26</v>
      </c>
      <c r="G713" t="s">
        <v>951</v>
      </c>
      <c r="H713" s="1">
        <v>45188</v>
      </c>
      <c r="I713" t="s">
        <v>941</v>
      </c>
      <c r="J713" t="str">
        <f>IF(ISBLANK(Table1[[#This Row],[PaidDate]]),"Unpaid",IF(Table1[[#This Row],[PaidDate]]&gt;Table1[[#This Row],[DueDate]],"Late",IF(Table1[[#This Row],[PaidDate]]&lt;Table1[[#This Row],[DueDate]],"Early","On Time")))</f>
        <v>On Time</v>
      </c>
      <c r="K713" t="str">
        <f ca="1">IF(AND(Table1[[#This Row],[Status]]&lt;&gt;"Paid",TODAY()&gt;Table1[[#This Row],[DueDate]]),"Overdue","OK")</f>
        <v>OK</v>
      </c>
    </row>
    <row r="714" spans="1:11" x14ac:dyDescent="0.3">
      <c r="A714" t="s">
        <v>1658</v>
      </c>
      <c r="B714" t="s">
        <v>962</v>
      </c>
      <c r="C714" s="1">
        <v>45154</v>
      </c>
      <c r="D714" s="1">
        <v>45184</v>
      </c>
      <c r="E714" s="2">
        <v>3891.24</v>
      </c>
      <c r="F714" t="s">
        <v>19</v>
      </c>
      <c r="G714" t="s">
        <v>12</v>
      </c>
      <c r="I714" t="s">
        <v>941</v>
      </c>
      <c r="J714" t="str">
        <f>IF(ISBLANK(Table1[[#This Row],[PaidDate]]),"Unpaid",IF(Table1[[#This Row],[PaidDate]]&gt;Table1[[#This Row],[DueDate]],"Late",IF(Table1[[#This Row],[PaidDate]]&lt;Table1[[#This Row],[DueDate]],"Early","On Time")))</f>
        <v>Unpaid</v>
      </c>
      <c r="K714" t="str">
        <f ca="1">IF(AND(Table1[[#This Row],[Status]]&lt;&gt;"Paid",TODAY()&gt;Table1[[#This Row],[DueDate]]),"Overdue","OK")</f>
        <v>Overdue</v>
      </c>
    </row>
    <row r="715" spans="1:11" x14ac:dyDescent="0.3">
      <c r="A715" t="s">
        <v>1659</v>
      </c>
      <c r="B715" t="s">
        <v>944</v>
      </c>
      <c r="C715" s="1">
        <v>45698</v>
      </c>
      <c r="D715" s="1">
        <v>45728</v>
      </c>
      <c r="E715" s="2">
        <v>4674.42</v>
      </c>
      <c r="F715" t="s">
        <v>11</v>
      </c>
      <c r="G715" t="s">
        <v>951</v>
      </c>
      <c r="H715" s="1">
        <v>45728</v>
      </c>
      <c r="I715" t="s">
        <v>941</v>
      </c>
      <c r="J715" t="str">
        <f>IF(ISBLANK(Table1[[#This Row],[PaidDate]]),"Unpaid",IF(Table1[[#This Row],[PaidDate]]&gt;Table1[[#This Row],[DueDate]],"Late",IF(Table1[[#This Row],[PaidDate]]&lt;Table1[[#This Row],[DueDate]],"Early","On Time")))</f>
        <v>On Time</v>
      </c>
      <c r="K715" t="str">
        <f ca="1">IF(AND(Table1[[#This Row],[Status]]&lt;&gt;"Paid",TODAY()&gt;Table1[[#This Row],[DueDate]]),"Overdue","OK")</f>
        <v>OK</v>
      </c>
    </row>
    <row r="716" spans="1:11" x14ac:dyDescent="0.3">
      <c r="A716" t="s">
        <v>1660</v>
      </c>
      <c r="B716" t="s">
        <v>940</v>
      </c>
      <c r="C716" s="1">
        <v>45464</v>
      </c>
      <c r="D716" s="1">
        <v>45494</v>
      </c>
      <c r="E716" s="2">
        <v>2370.71</v>
      </c>
      <c r="F716" t="s">
        <v>19</v>
      </c>
      <c r="G716" t="s">
        <v>12</v>
      </c>
      <c r="I716" t="s">
        <v>941</v>
      </c>
      <c r="J716" t="str">
        <f>IF(ISBLANK(Table1[[#This Row],[PaidDate]]),"Unpaid",IF(Table1[[#This Row],[PaidDate]]&gt;Table1[[#This Row],[DueDate]],"Late",IF(Table1[[#This Row],[PaidDate]]&lt;Table1[[#This Row],[DueDate]],"Early","On Time")))</f>
        <v>Unpaid</v>
      </c>
      <c r="K716" t="str">
        <f ca="1">IF(AND(Table1[[#This Row],[Status]]&lt;&gt;"Paid",TODAY()&gt;Table1[[#This Row],[DueDate]]),"Overdue","OK")</f>
        <v>Overdue</v>
      </c>
    </row>
    <row r="717" spans="1:11" x14ac:dyDescent="0.3">
      <c r="A717" t="s">
        <v>1661</v>
      </c>
      <c r="B717" t="s">
        <v>940</v>
      </c>
      <c r="C717" s="1">
        <v>45168</v>
      </c>
      <c r="D717" s="1">
        <v>45198</v>
      </c>
      <c r="E717" s="2">
        <v>2872.68</v>
      </c>
      <c r="F717" t="s">
        <v>28</v>
      </c>
      <c r="G717" t="s">
        <v>12</v>
      </c>
      <c r="I717" t="s">
        <v>941</v>
      </c>
      <c r="J717" t="str">
        <f>IF(ISBLANK(Table1[[#This Row],[PaidDate]]),"Unpaid",IF(Table1[[#This Row],[PaidDate]]&gt;Table1[[#This Row],[DueDate]],"Late",IF(Table1[[#This Row],[PaidDate]]&lt;Table1[[#This Row],[DueDate]],"Early","On Time")))</f>
        <v>Unpaid</v>
      </c>
      <c r="K717" t="str">
        <f ca="1">IF(AND(Table1[[#This Row],[Status]]&lt;&gt;"Paid",TODAY()&gt;Table1[[#This Row],[DueDate]]),"Overdue","OK")</f>
        <v>Overdue</v>
      </c>
    </row>
    <row r="718" spans="1:11" x14ac:dyDescent="0.3">
      <c r="A718" t="s">
        <v>1662</v>
      </c>
      <c r="B718" t="s">
        <v>966</v>
      </c>
      <c r="C718" s="1">
        <v>45246</v>
      </c>
      <c r="D718" s="1">
        <v>45276</v>
      </c>
      <c r="E718" s="2">
        <v>1865.16</v>
      </c>
      <c r="F718" t="s">
        <v>26</v>
      </c>
      <c r="G718" t="s">
        <v>12</v>
      </c>
      <c r="I718" t="s">
        <v>941</v>
      </c>
      <c r="J718" t="str">
        <f>IF(ISBLANK(Table1[[#This Row],[PaidDate]]),"Unpaid",IF(Table1[[#This Row],[PaidDate]]&gt;Table1[[#This Row],[DueDate]],"Late",IF(Table1[[#This Row],[PaidDate]]&lt;Table1[[#This Row],[DueDate]],"Early","On Time")))</f>
        <v>Unpaid</v>
      </c>
      <c r="K718" t="str">
        <f ca="1">IF(AND(Table1[[#This Row],[Status]]&lt;&gt;"Paid",TODAY()&gt;Table1[[#This Row],[DueDate]]),"Overdue","OK")</f>
        <v>Overdue</v>
      </c>
    </row>
    <row r="719" spans="1:11" x14ac:dyDescent="0.3">
      <c r="A719" t="s">
        <v>1663</v>
      </c>
      <c r="B719" t="s">
        <v>944</v>
      </c>
      <c r="C719" s="1">
        <v>45005</v>
      </c>
      <c r="D719" s="1">
        <v>45035</v>
      </c>
      <c r="E719" s="2">
        <v>2554.81</v>
      </c>
      <c r="F719" t="s">
        <v>28</v>
      </c>
      <c r="G719" t="s">
        <v>951</v>
      </c>
      <c r="H719" s="1">
        <v>45035</v>
      </c>
      <c r="I719" t="s">
        <v>941</v>
      </c>
      <c r="J719" t="str">
        <f>IF(ISBLANK(Table1[[#This Row],[PaidDate]]),"Unpaid",IF(Table1[[#This Row],[PaidDate]]&gt;Table1[[#This Row],[DueDate]],"Late",IF(Table1[[#This Row],[PaidDate]]&lt;Table1[[#This Row],[DueDate]],"Early","On Time")))</f>
        <v>On Time</v>
      </c>
      <c r="K719" t="str">
        <f ca="1">IF(AND(Table1[[#This Row],[Status]]&lt;&gt;"Paid",TODAY()&gt;Table1[[#This Row],[DueDate]]),"Overdue","OK")</f>
        <v>OK</v>
      </c>
    </row>
    <row r="720" spans="1:11" x14ac:dyDescent="0.3">
      <c r="A720" t="s">
        <v>1664</v>
      </c>
      <c r="B720" t="s">
        <v>940</v>
      </c>
      <c r="C720" s="1">
        <v>45615</v>
      </c>
      <c r="D720" s="1">
        <v>45645</v>
      </c>
      <c r="E720" s="2">
        <v>4346.0600000000004</v>
      </c>
      <c r="F720" t="s">
        <v>19</v>
      </c>
      <c r="G720" t="s">
        <v>951</v>
      </c>
      <c r="H720" s="1">
        <v>45645</v>
      </c>
      <c r="I720" t="s">
        <v>941</v>
      </c>
      <c r="J720" t="str">
        <f>IF(ISBLANK(Table1[[#This Row],[PaidDate]]),"Unpaid",IF(Table1[[#This Row],[PaidDate]]&gt;Table1[[#This Row],[DueDate]],"Late",IF(Table1[[#This Row],[PaidDate]]&lt;Table1[[#This Row],[DueDate]],"Early","On Time")))</f>
        <v>On Time</v>
      </c>
      <c r="K720" t="str">
        <f ca="1">IF(AND(Table1[[#This Row],[Status]]&lt;&gt;"Paid",TODAY()&gt;Table1[[#This Row],[DueDate]]),"Overdue","OK")</f>
        <v>OK</v>
      </c>
    </row>
    <row r="721" spans="1:11" x14ac:dyDescent="0.3">
      <c r="A721" t="s">
        <v>1665</v>
      </c>
      <c r="B721" t="s">
        <v>940</v>
      </c>
      <c r="C721" s="1">
        <v>45336</v>
      </c>
      <c r="D721" s="1">
        <v>45366</v>
      </c>
      <c r="E721" s="2">
        <v>3898.42</v>
      </c>
      <c r="F721" t="s">
        <v>19</v>
      </c>
      <c r="G721" t="s">
        <v>951</v>
      </c>
      <c r="H721" s="1">
        <v>45366</v>
      </c>
      <c r="I721" t="s">
        <v>941</v>
      </c>
      <c r="J721" t="str">
        <f>IF(ISBLANK(Table1[[#This Row],[PaidDate]]),"Unpaid",IF(Table1[[#This Row],[PaidDate]]&gt;Table1[[#This Row],[DueDate]],"Late",IF(Table1[[#This Row],[PaidDate]]&lt;Table1[[#This Row],[DueDate]],"Early","On Time")))</f>
        <v>On Time</v>
      </c>
      <c r="K721" t="str">
        <f ca="1">IF(AND(Table1[[#This Row],[Status]]&lt;&gt;"Paid",TODAY()&gt;Table1[[#This Row],[DueDate]]),"Overdue","OK")</f>
        <v>OK</v>
      </c>
    </row>
    <row r="722" spans="1:11" x14ac:dyDescent="0.3">
      <c r="A722" t="s">
        <v>1666</v>
      </c>
      <c r="B722" t="s">
        <v>966</v>
      </c>
      <c r="C722" s="1">
        <v>45484</v>
      </c>
      <c r="D722" s="1">
        <v>45514</v>
      </c>
      <c r="E722" s="2">
        <v>4765.16</v>
      </c>
      <c r="F722" t="s">
        <v>16</v>
      </c>
      <c r="G722" t="s">
        <v>17</v>
      </c>
      <c r="I722" t="s">
        <v>941</v>
      </c>
      <c r="J722" t="str">
        <f>IF(ISBLANK(Table1[[#This Row],[PaidDate]]),"Unpaid",IF(Table1[[#This Row],[PaidDate]]&gt;Table1[[#This Row],[DueDate]],"Late",IF(Table1[[#This Row],[PaidDate]]&lt;Table1[[#This Row],[DueDate]],"Early","On Time")))</f>
        <v>Unpaid</v>
      </c>
      <c r="K722" t="str">
        <f ca="1">IF(AND(Table1[[#This Row],[Status]]&lt;&gt;"Paid",TODAY()&gt;Table1[[#This Row],[DueDate]]),"Overdue","OK")</f>
        <v>Overdue</v>
      </c>
    </row>
    <row r="723" spans="1:11" x14ac:dyDescent="0.3">
      <c r="A723" t="s">
        <v>1667</v>
      </c>
      <c r="B723" t="s">
        <v>946</v>
      </c>
      <c r="C723" s="1">
        <v>45487</v>
      </c>
      <c r="D723" s="1">
        <v>45517</v>
      </c>
      <c r="E723" s="2">
        <v>1994.49</v>
      </c>
      <c r="F723" t="s">
        <v>16</v>
      </c>
      <c r="G723" t="s">
        <v>17</v>
      </c>
      <c r="I723" t="s">
        <v>941</v>
      </c>
      <c r="J723" t="str">
        <f>IF(ISBLANK(Table1[[#This Row],[PaidDate]]),"Unpaid",IF(Table1[[#This Row],[PaidDate]]&gt;Table1[[#This Row],[DueDate]],"Late",IF(Table1[[#This Row],[PaidDate]]&lt;Table1[[#This Row],[DueDate]],"Early","On Time")))</f>
        <v>Unpaid</v>
      </c>
      <c r="K723" t="str">
        <f ca="1">IF(AND(Table1[[#This Row],[Status]]&lt;&gt;"Paid",TODAY()&gt;Table1[[#This Row],[DueDate]]),"Overdue","OK")</f>
        <v>Overdue</v>
      </c>
    </row>
    <row r="724" spans="1:11" x14ac:dyDescent="0.3">
      <c r="A724" t="s">
        <v>1668</v>
      </c>
      <c r="B724" t="s">
        <v>944</v>
      </c>
      <c r="C724" s="1">
        <v>44989</v>
      </c>
      <c r="D724" s="1">
        <v>45019</v>
      </c>
      <c r="E724" s="2">
        <v>4230.24</v>
      </c>
      <c r="F724" t="s">
        <v>19</v>
      </c>
      <c r="G724" t="s">
        <v>17</v>
      </c>
      <c r="I724" t="s">
        <v>941</v>
      </c>
      <c r="J724" t="str">
        <f>IF(ISBLANK(Table1[[#This Row],[PaidDate]]),"Unpaid",IF(Table1[[#This Row],[PaidDate]]&gt;Table1[[#This Row],[DueDate]],"Late",IF(Table1[[#This Row],[PaidDate]]&lt;Table1[[#This Row],[DueDate]],"Early","On Time")))</f>
        <v>Unpaid</v>
      </c>
      <c r="K724" t="str">
        <f ca="1">IF(AND(Table1[[#This Row],[Status]]&lt;&gt;"Paid",TODAY()&gt;Table1[[#This Row],[DueDate]]),"Overdue","OK")</f>
        <v>Overdue</v>
      </c>
    </row>
    <row r="725" spans="1:11" x14ac:dyDescent="0.3">
      <c r="A725" t="s">
        <v>1669</v>
      </c>
      <c r="B725" t="s">
        <v>946</v>
      </c>
      <c r="C725" s="1">
        <v>45556</v>
      </c>
      <c r="D725" s="1">
        <v>45586</v>
      </c>
      <c r="E725" s="2">
        <v>1606.15</v>
      </c>
      <c r="F725" t="s">
        <v>26</v>
      </c>
      <c r="G725" t="s">
        <v>12</v>
      </c>
      <c r="I725" t="s">
        <v>941</v>
      </c>
      <c r="J725" t="str">
        <f>IF(ISBLANK(Table1[[#This Row],[PaidDate]]),"Unpaid",IF(Table1[[#This Row],[PaidDate]]&gt;Table1[[#This Row],[DueDate]],"Late",IF(Table1[[#This Row],[PaidDate]]&lt;Table1[[#This Row],[DueDate]],"Early","On Time")))</f>
        <v>Unpaid</v>
      </c>
      <c r="K725" t="str">
        <f ca="1">IF(AND(Table1[[#This Row],[Status]]&lt;&gt;"Paid",TODAY()&gt;Table1[[#This Row],[DueDate]]),"Overdue","OK")</f>
        <v>Overdue</v>
      </c>
    </row>
    <row r="726" spans="1:11" x14ac:dyDescent="0.3">
      <c r="A726" t="s">
        <v>1670</v>
      </c>
      <c r="B726" t="s">
        <v>962</v>
      </c>
      <c r="C726" s="1">
        <v>45562</v>
      </c>
      <c r="D726" s="1">
        <v>45592</v>
      </c>
      <c r="E726" s="2">
        <v>158.24</v>
      </c>
      <c r="F726" t="s">
        <v>28</v>
      </c>
      <c r="G726" t="s">
        <v>17</v>
      </c>
      <c r="I726" t="s">
        <v>941</v>
      </c>
      <c r="J726" t="str">
        <f>IF(ISBLANK(Table1[[#This Row],[PaidDate]]),"Unpaid",IF(Table1[[#This Row],[PaidDate]]&gt;Table1[[#This Row],[DueDate]],"Late",IF(Table1[[#This Row],[PaidDate]]&lt;Table1[[#This Row],[DueDate]],"Early","On Time")))</f>
        <v>Unpaid</v>
      </c>
      <c r="K726" t="str">
        <f ca="1">IF(AND(Table1[[#This Row],[Status]]&lt;&gt;"Paid",TODAY()&gt;Table1[[#This Row],[DueDate]]),"Overdue","OK")</f>
        <v>Overdue</v>
      </c>
    </row>
    <row r="727" spans="1:11" x14ac:dyDescent="0.3">
      <c r="A727" t="s">
        <v>1671</v>
      </c>
      <c r="B727" t="s">
        <v>944</v>
      </c>
      <c r="C727" s="1">
        <v>45130</v>
      </c>
      <c r="D727" s="1">
        <v>45160</v>
      </c>
      <c r="E727" s="2">
        <v>4538.8900000000003</v>
      </c>
      <c r="F727" t="s">
        <v>26</v>
      </c>
      <c r="G727" t="s">
        <v>951</v>
      </c>
      <c r="H727" s="1">
        <v>45160</v>
      </c>
      <c r="I727" t="s">
        <v>941</v>
      </c>
      <c r="J727" t="str">
        <f>IF(ISBLANK(Table1[[#This Row],[PaidDate]]),"Unpaid",IF(Table1[[#This Row],[PaidDate]]&gt;Table1[[#This Row],[DueDate]],"Late",IF(Table1[[#This Row],[PaidDate]]&lt;Table1[[#This Row],[DueDate]],"Early","On Time")))</f>
        <v>On Time</v>
      </c>
      <c r="K727" t="str">
        <f ca="1">IF(AND(Table1[[#This Row],[Status]]&lt;&gt;"Paid",TODAY()&gt;Table1[[#This Row],[DueDate]]),"Overdue","OK")</f>
        <v>OK</v>
      </c>
    </row>
    <row r="728" spans="1:11" x14ac:dyDescent="0.3">
      <c r="A728" t="s">
        <v>1672</v>
      </c>
      <c r="B728" t="s">
        <v>966</v>
      </c>
      <c r="C728" s="1">
        <v>45603</v>
      </c>
      <c r="D728" s="1">
        <v>45633</v>
      </c>
      <c r="E728" s="2">
        <v>204.27</v>
      </c>
      <c r="F728" t="s">
        <v>16</v>
      </c>
      <c r="G728" t="s">
        <v>17</v>
      </c>
      <c r="I728" t="s">
        <v>941</v>
      </c>
      <c r="J728" t="str">
        <f>IF(ISBLANK(Table1[[#This Row],[PaidDate]]),"Unpaid",IF(Table1[[#This Row],[PaidDate]]&gt;Table1[[#This Row],[DueDate]],"Late",IF(Table1[[#This Row],[PaidDate]]&lt;Table1[[#This Row],[DueDate]],"Early","On Time")))</f>
        <v>Unpaid</v>
      </c>
      <c r="K728" t="str">
        <f ca="1">IF(AND(Table1[[#This Row],[Status]]&lt;&gt;"Paid",TODAY()&gt;Table1[[#This Row],[DueDate]]),"Overdue","OK")</f>
        <v>Overdue</v>
      </c>
    </row>
    <row r="729" spans="1:11" x14ac:dyDescent="0.3">
      <c r="A729" t="s">
        <v>1673</v>
      </c>
      <c r="B729" t="s">
        <v>946</v>
      </c>
      <c r="C729" s="1">
        <v>45127</v>
      </c>
      <c r="D729" s="1">
        <v>45157</v>
      </c>
      <c r="E729" s="2">
        <v>3257.13</v>
      </c>
      <c r="F729" t="s">
        <v>19</v>
      </c>
      <c r="G729" t="s">
        <v>12</v>
      </c>
      <c r="I729" t="s">
        <v>941</v>
      </c>
      <c r="J729" t="str">
        <f>IF(ISBLANK(Table1[[#This Row],[PaidDate]]),"Unpaid",IF(Table1[[#This Row],[PaidDate]]&gt;Table1[[#This Row],[DueDate]],"Late",IF(Table1[[#This Row],[PaidDate]]&lt;Table1[[#This Row],[DueDate]],"Early","On Time")))</f>
        <v>Unpaid</v>
      </c>
      <c r="K729" t="str">
        <f ca="1">IF(AND(Table1[[#This Row],[Status]]&lt;&gt;"Paid",TODAY()&gt;Table1[[#This Row],[DueDate]]),"Overdue","OK")</f>
        <v>Overdue</v>
      </c>
    </row>
    <row r="730" spans="1:11" x14ac:dyDescent="0.3">
      <c r="A730" t="s">
        <v>1674</v>
      </c>
      <c r="B730" t="s">
        <v>940</v>
      </c>
      <c r="C730" s="1">
        <v>45575</v>
      </c>
      <c r="D730" s="1">
        <v>45605</v>
      </c>
      <c r="E730" s="2">
        <v>488.64</v>
      </c>
      <c r="F730" t="s">
        <v>28</v>
      </c>
      <c r="G730" t="s">
        <v>951</v>
      </c>
      <c r="H730" s="1">
        <v>45605</v>
      </c>
      <c r="I730" t="s">
        <v>941</v>
      </c>
      <c r="J730" t="str">
        <f>IF(ISBLANK(Table1[[#This Row],[PaidDate]]),"Unpaid",IF(Table1[[#This Row],[PaidDate]]&gt;Table1[[#This Row],[DueDate]],"Late",IF(Table1[[#This Row],[PaidDate]]&lt;Table1[[#This Row],[DueDate]],"Early","On Time")))</f>
        <v>On Time</v>
      </c>
      <c r="K730" t="str">
        <f ca="1">IF(AND(Table1[[#This Row],[Status]]&lt;&gt;"Paid",TODAY()&gt;Table1[[#This Row],[DueDate]]),"Overdue","OK")</f>
        <v>OK</v>
      </c>
    </row>
    <row r="731" spans="1:11" x14ac:dyDescent="0.3">
      <c r="A731" t="s">
        <v>1675</v>
      </c>
      <c r="B731" t="s">
        <v>946</v>
      </c>
      <c r="C731" s="1">
        <v>45239</v>
      </c>
      <c r="D731" s="1">
        <v>45269</v>
      </c>
      <c r="E731" s="2">
        <v>2790.33</v>
      </c>
      <c r="F731" t="s">
        <v>19</v>
      </c>
      <c r="G731" t="s">
        <v>12</v>
      </c>
      <c r="I731" t="s">
        <v>941</v>
      </c>
      <c r="J731" t="str">
        <f>IF(ISBLANK(Table1[[#This Row],[PaidDate]]),"Unpaid",IF(Table1[[#This Row],[PaidDate]]&gt;Table1[[#This Row],[DueDate]],"Late",IF(Table1[[#This Row],[PaidDate]]&lt;Table1[[#This Row],[DueDate]],"Early","On Time")))</f>
        <v>Unpaid</v>
      </c>
      <c r="K731" t="str">
        <f ca="1">IF(AND(Table1[[#This Row],[Status]]&lt;&gt;"Paid",TODAY()&gt;Table1[[#This Row],[DueDate]]),"Overdue","OK")</f>
        <v>Overdue</v>
      </c>
    </row>
    <row r="732" spans="1:11" x14ac:dyDescent="0.3">
      <c r="A732" t="s">
        <v>1676</v>
      </c>
      <c r="B732" t="s">
        <v>940</v>
      </c>
      <c r="C732" s="1">
        <v>45187</v>
      </c>
      <c r="D732" s="1">
        <v>45217</v>
      </c>
      <c r="E732" s="2">
        <v>1246.1199999999999</v>
      </c>
      <c r="F732" t="s">
        <v>26</v>
      </c>
      <c r="G732" t="s">
        <v>12</v>
      </c>
      <c r="I732" t="s">
        <v>941</v>
      </c>
      <c r="J732" t="str">
        <f>IF(ISBLANK(Table1[[#This Row],[PaidDate]]),"Unpaid",IF(Table1[[#This Row],[PaidDate]]&gt;Table1[[#This Row],[DueDate]],"Late",IF(Table1[[#This Row],[PaidDate]]&lt;Table1[[#This Row],[DueDate]],"Early","On Time")))</f>
        <v>Unpaid</v>
      </c>
      <c r="K732" t="str">
        <f ca="1">IF(AND(Table1[[#This Row],[Status]]&lt;&gt;"Paid",TODAY()&gt;Table1[[#This Row],[DueDate]]),"Overdue","OK")</f>
        <v>Overdue</v>
      </c>
    </row>
    <row r="733" spans="1:11" x14ac:dyDescent="0.3">
      <c r="A733" t="s">
        <v>1677</v>
      </c>
      <c r="B733" t="s">
        <v>944</v>
      </c>
      <c r="C733" s="1">
        <v>45471</v>
      </c>
      <c r="D733" s="1">
        <v>45501</v>
      </c>
      <c r="E733" s="2">
        <v>2390.31</v>
      </c>
      <c r="F733" t="s">
        <v>11</v>
      </c>
      <c r="G733" t="s">
        <v>17</v>
      </c>
      <c r="I733" t="s">
        <v>941</v>
      </c>
      <c r="J733" t="str">
        <f>IF(ISBLANK(Table1[[#This Row],[PaidDate]]),"Unpaid",IF(Table1[[#This Row],[PaidDate]]&gt;Table1[[#This Row],[DueDate]],"Late",IF(Table1[[#This Row],[PaidDate]]&lt;Table1[[#This Row],[DueDate]],"Early","On Time")))</f>
        <v>Unpaid</v>
      </c>
      <c r="K733" t="str">
        <f ca="1">IF(AND(Table1[[#This Row],[Status]]&lt;&gt;"Paid",TODAY()&gt;Table1[[#This Row],[DueDate]]),"Overdue","OK")</f>
        <v>Overdue</v>
      </c>
    </row>
    <row r="734" spans="1:11" x14ac:dyDescent="0.3">
      <c r="A734" t="s">
        <v>1678</v>
      </c>
      <c r="B734" t="s">
        <v>946</v>
      </c>
      <c r="C734" s="1">
        <v>45303</v>
      </c>
      <c r="D734" s="1">
        <v>45333</v>
      </c>
      <c r="E734" s="2">
        <v>3697.86</v>
      </c>
      <c r="F734" t="s">
        <v>16</v>
      </c>
      <c r="G734" t="s">
        <v>12</v>
      </c>
      <c r="I734" t="s">
        <v>941</v>
      </c>
      <c r="J734" t="str">
        <f>IF(ISBLANK(Table1[[#This Row],[PaidDate]]),"Unpaid",IF(Table1[[#This Row],[PaidDate]]&gt;Table1[[#This Row],[DueDate]],"Late",IF(Table1[[#This Row],[PaidDate]]&lt;Table1[[#This Row],[DueDate]],"Early","On Time")))</f>
        <v>Unpaid</v>
      </c>
      <c r="K734" t="str">
        <f ca="1">IF(AND(Table1[[#This Row],[Status]]&lt;&gt;"Paid",TODAY()&gt;Table1[[#This Row],[DueDate]]),"Overdue","OK")</f>
        <v>Overdue</v>
      </c>
    </row>
    <row r="735" spans="1:11" x14ac:dyDescent="0.3">
      <c r="A735" t="s">
        <v>1679</v>
      </c>
      <c r="B735" t="s">
        <v>940</v>
      </c>
      <c r="C735" s="1">
        <v>45804</v>
      </c>
      <c r="D735" s="1">
        <v>45834</v>
      </c>
      <c r="E735" s="2">
        <v>3404.52</v>
      </c>
      <c r="F735" t="s">
        <v>19</v>
      </c>
      <c r="G735" t="s">
        <v>17</v>
      </c>
      <c r="I735" t="s">
        <v>941</v>
      </c>
      <c r="J735" t="str">
        <f>IF(ISBLANK(Table1[[#This Row],[PaidDate]]),"Unpaid",IF(Table1[[#This Row],[PaidDate]]&gt;Table1[[#This Row],[DueDate]],"Late",IF(Table1[[#This Row],[PaidDate]]&lt;Table1[[#This Row],[DueDate]],"Early","On Time")))</f>
        <v>Unpaid</v>
      </c>
      <c r="K735" t="str">
        <f ca="1">IF(AND(Table1[[#This Row],[Status]]&lt;&gt;"Paid",TODAY()&gt;Table1[[#This Row],[DueDate]]),"Overdue","OK")</f>
        <v>Overdue</v>
      </c>
    </row>
    <row r="736" spans="1:11" x14ac:dyDescent="0.3">
      <c r="A736" t="s">
        <v>1680</v>
      </c>
      <c r="B736" t="s">
        <v>946</v>
      </c>
      <c r="C736" s="1">
        <v>45709</v>
      </c>
      <c r="D736" s="1">
        <v>45739</v>
      </c>
      <c r="E736" s="2">
        <v>3730.17</v>
      </c>
      <c r="F736" t="s">
        <v>19</v>
      </c>
      <c r="G736" t="s">
        <v>17</v>
      </c>
      <c r="I736" t="s">
        <v>941</v>
      </c>
      <c r="J736" t="str">
        <f>IF(ISBLANK(Table1[[#This Row],[PaidDate]]),"Unpaid",IF(Table1[[#This Row],[PaidDate]]&gt;Table1[[#This Row],[DueDate]],"Late",IF(Table1[[#This Row],[PaidDate]]&lt;Table1[[#This Row],[DueDate]],"Early","On Time")))</f>
        <v>Unpaid</v>
      </c>
      <c r="K736" t="str">
        <f ca="1">IF(AND(Table1[[#This Row],[Status]]&lt;&gt;"Paid",TODAY()&gt;Table1[[#This Row],[DueDate]]),"Overdue","OK")</f>
        <v>Overdue</v>
      </c>
    </row>
    <row r="737" spans="1:11" x14ac:dyDescent="0.3">
      <c r="A737" t="s">
        <v>1681</v>
      </c>
      <c r="B737" t="s">
        <v>966</v>
      </c>
      <c r="C737" s="1">
        <v>45772</v>
      </c>
      <c r="D737" s="1">
        <v>45802</v>
      </c>
      <c r="E737" s="2">
        <v>199.45</v>
      </c>
      <c r="F737" t="s">
        <v>28</v>
      </c>
      <c r="G737" t="s">
        <v>12</v>
      </c>
      <c r="I737" t="s">
        <v>941</v>
      </c>
      <c r="J737" t="str">
        <f>IF(ISBLANK(Table1[[#This Row],[PaidDate]]),"Unpaid",IF(Table1[[#This Row],[PaidDate]]&gt;Table1[[#This Row],[DueDate]],"Late",IF(Table1[[#This Row],[PaidDate]]&lt;Table1[[#This Row],[DueDate]],"Early","On Time")))</f>
        <v>Unpaid</v>
      </c>
      <c r="K737" t="str">
        <f ca="1">IF(AND(Table1[[#This Row],[Status]]&lt;&gt;"Paid",TODAY()&gt;Table1[[#This Row],[DueDate]]),"Overdue","OK")</f>
        <v>Overdue</v>
      </c>
    </row>
    <row r="738" spans="1:11" x14ac:dyDescent="0.3">
      <c r="A738" t="s">
        <v>1682</v>
      </c>
      <c r="B738" t="s">
        <v>946</v>
      </c>
      <c r="C738" s="1">
        <v>45646</v>
      </c>
      <c r="D738" s="1">
        <v>45676</v>
      </c>
      <c r="E738" s="2">
        <v>4466.8</v>
      </c>
      <c r="F738" t="s">
        <v>28</v>
      </c>
      <c r="G738" t="s">
        <v>17</v>
      </c>
      <c r="I738" t="s">
        <v>941</v>
      </c>
      <c r="J738" t="str">
        <f>IF(ISBLANK(Table1[[#This Row],[PaidDate]]),"Unpaid",IF(Table1[[#This Row],[PaidDate]]&gt;Table1[[#This Row],[DueDate]],"Late",IF(Table1[[#This Row],[PaidDate]]&lt;Table1[[#This Row],[DueDate]],"Early","On Time")))</f>
        <v>Unpaid</v>
      </c>
      <c r="K738" t="str">
        <f ca="1">IF(AND(Table1[[#This Row],[Status]]&lt;&gt;"Paid",TODAY()&gt;Table1[[#This Row],[DueDate]]),"Overdue","OK")</f>
        <v>Overdue</v>
      </c>
    </row>
    <row r="739" spans="1:11" x14ac:dyDescent="0.3">
      <c r="A739" t="s">
        <v>1683</v>
      </c>
      <c r="B739" t="s">
        <v>962</v>
      </c>
      <c r="C739" s="1">
        <v>45805</v>
      </c>
      <c r="D739" s="1">
        <v>45835</v>
      </c>
      <c r="E739" s="2">
        <v>4368.08</v>
      </c>
      <c r="F739" t="s">
        <v>19</v>
      </c>
      <c r="G739" t="s">
        <v>951</v>
      </c>
      <c r="H739" s="1">
        <v>45835</v>
      </c>
      <c r="I739" t="s">
        <v>941</v>
      </c>
      <c r="J739" t="str">
        <f>IF(ISBLANK(Table1[[#This Row],[PaidDate]]),"Unpaid",IF(Table1[[#This Row],[PaidDate]]&gt;Table1[[#This Row],[DueDate]],"Late",IF(Table1[[#This Row],[PaidDate]]&lt;Table1[[#This Row],[DueDate]],"Early","On Time")))</f>
        <v>On Time</v>
      </c>
      <c r="K739" t="str">
        <f ca="1">IF(AND(Table1[[#This Row],[Status]]&lt;&gt;"Paid",TODAY()&gt;Table1[[#This Row],[DueDate]]),"Overdue","OK")</f>
        <v>OK</v>
      </c>
    </row>
    <row r="740" spans="1:11" x14ac:dyDescent="0.3">
      <c r="A740" t="s">
        <v>1684</v>
      </c>
      <c r="B740" t="s">
        <v>940</v>
      </c>
      <c r="C740" s="1">
        <v>45269</v>
      </c>
      <c r="D740" s="1">
        <v>45299</v>
      </c>
      <c r="E740" s="2">
        <v>2910.39</v>
      </c>
      <c r="F740" t="s">
        <v>16</v>
      </c>
      <c r="G740" t="s">
        <v>951</v>
      </c>
      <c r="H740" s="1">
        <v>45299</v>
      </c>
      <c r="I740" t="s">
        <v>941</v>
      </c>
      <c r="J740" t="str">
        <f>IF(ISBLANK(Table1[[#This Row],[PaidDate]]),"Unpaid",IF(Table1[[#This Row],[PaidDate]]&gt;Table1[[#This Row],[DueDate]],"Late",IF(Table1[[#This Row],[PaidDate]]&lt;Table1[[#This Row],[DueDate]],"Early","On Time")))</f>
        <v>On Time</v>
      </c>
      <c r="K740" t="str">
        <f ca="1">IF(AND(Table1[[#This Row],[Status]]&lt;&gt;"Paid",TODAY()&gt;Table1[[#This Row],[DueDate]]),"Overdue","OK")</f>
        <v>OK</v>
      </c>
    </row>
    <row r="741" spans="1:11" x14ac:dyDescent="0.3">
      <c r="A741" t="s">
        <v>1685</v>
      </c>
      <c r="B741" t="s">
        <v>944</v>
      </c>
      <c r="C741" s="1">
        <v>45007</v>
      </c>
      <c r="D741" s="1">
        <v>45037</v>
      </c>
      <c r="E741" s="2">
        <v>3087.9</v>
      </c>
      <c r="F741" t="s">
        <v>26</v>
      </c>
      <c r="G741" t="s">
        <v>951</v>
      </c>
      <c r="H741" s="1">
        <v>45037</v>
      </c>
      <c r="I741" t="s">
        <v>941</v>
      </c>
      <c r="J741" t="str">
        <f>IF(ISBLANK(Table1[[#This Row],[PaidDate]]),"Unpaid",IF(Table1[[#This Row],[PaidDate]]&gt;Table1[[#This Row],[DueDate]],"Late",IF(Table1[[#This Row],[PaidDate]]&lt;Table1[[#This Row],[DueDate]],"Early","On Time")))</f>
        <v>On Time</v>
      </c>
      <c r="K741" t="str">
        <f ca="1">IF(AND(Table1[[#This Row],[Status]]&lt;&gt;"Paid",TODAY()&gt;Table1[[#This Row],[DueDate]]),"Overdue","OK")</f>
        <v>OK</v>
      </c>
    </row>
    <row r="742" spans="1:11" x14ac:dyDescent="0.3">
      <c r="A742" t="s">
        <v>1686</v>
      </c>
      <c r="B742" t="s">
        <v>946</v>
      </c>
      <c r="C742" s="1">
        <v>45183</v>
      </c>
      <c r="D742" s="1">
        <v>45213</v>
      </c>
      <c r="E742" s="2">
        <v>3956.78</v>
      </c>
      <c r="F742" t="s">
        <v>26</v>
      </c>
      <c r="G742" t="s">
        <v>951</v>
      </c>
      <c r="H742" s="1">
        <v>45213</v>
      </c>
      <c r="I742" t="s">
        <v>941</v>
      </c>
      <c r="J742" t="str">
        <f>IF(ISBLANK(Table1[[#This Row],[PaidDate]]),"Unpaid",IF(Table1[[#This Row],[PaidDate]]&gt;Table1[[#This Row],[DueDate]],"Late",IF(Table1[[#This Row],[PaidDate]]&lt;Table1[[#This Row],[DueDate]],"Early","On Time")))</f>
        <v>On Time</v>
      </c>
      <c r="K742" t="str">
        <f ca="1">IF(AND(Table1[[#This Row],[Status]]&lt;&gt;"Paid",TODAY()&gt;Table1[[#This Row],[DueDate]]),"Overdue","OK")</f>
        <v>OK</v>
      </c>
    </row>
    <row r="743" spans="1:11" x14ac:dyDescent="0.3">
      <c r="A743" t="s">
        <v>1687</v>
      </c>
      <c r="B743" t="s">
        <v>944</v>
      </c>
      <c r="C743" s="1">
        <v>45222</v>
      </c>
      <c r="D743" s="1">
        <v>45252</v>
      </c>
      <c r="E743" s="2">
        <v>1173.72</v>
      </c>
      <c r="F743" t="s">
        <v>26</v>
      </c>
      <c r="G743" t="s">
        <v>951</v>
      </c>
      <c r="H743" s="1">
        <v>45252</v>
      </c>
      <c r="I743" t="s">
        <v>941</v>
      </c>
      <c r="J743" t="str">
        <f>IF(ISBLANK(Table1[[#This Row],[PaidDate]]),"Unpaid",IF(Table1[[#This Row],[PaidDate]]&gt;Table1[[#This Row],[DueDate]],"Late",IF(Table1[[#This Row],[PaidDate]]&lt;Table1[[#This Row],[DueDate]],"Early","On Time")))</f>
        <v>On Time</v>
      </c>
      <c r="K743" t="str">
        <f ca="1">IF(AND(Table1[[#This Row],[Status]]&lt;&gt;"Paid",TODAY()&gt;Table1[[#This Row],[DueDate]]),"Overdue","OK")</f>
        <v>OK</v>
      </c>
    </row>
    <row r="744" spans="1:11" x14ac:dyDescent="0.3">
      <c r="A744" t="s">
        <v>1688</v>
      </c>
      <c r="B744" t="s">
        <v>944</v>
      </c>
      <c r="C744" s="1">
        <v>45359</v>
      </c>
      <c r="D744" s="1">
        <v>45389</v>
      </c>
      <c r="E744" s="2">
        <v>3885.28</v>
      </c>
      <c r="F744" t="s">
        <v>19</v>
      </c>
      <c r="G744" t="s">
        <v>951</v>
      </c>
      <c r="H744" s="1">
        <v>45389</v>
      </c>
      <c r="I744" t="s">
        <v>941</v>
      </c>
      <c r="J744" t="str">
        <f>IF(ISBLANK(Table1[[#This Row],[PaidDate]]),"Unpaid",IF(Table1[[#This Row],[PaidDate]]&gt;Table1[[#This Row],[DueDate]],"Late",IF(Table1[[#This Row],[PaidDate]]&lt;Table1[[#This Row],[DueDate]],"Early","On Time")))</f>
        <v>On Time</v>
      </c>
      <c r="K744" t="str">
        <f ca="1">IF(AND(Table1[[#This Row],[Status]]&lt;&gt;"Paid",TODAY()&gt;Table1[[#This Row],[DueDate]]),"Overdue","OK")</f>
        <v>OK</v>
      </c>
    </row>
    <row r="745" spans="1:11" x14ac:dyDescent="0.3">
      <c r="A745" t="s">
        <v>1689</v>
      </c>
      <c r="B745" t="s">
        <v>962</v>
      </c>
      <c r="C745" s="1">
        <v>45268</v>
      </c>
      <c r="D745" s="1">
        <v>45298</v>
      </c>
      <c r="E745" s="2">
        <v>211.34</v>
      </c>
      <c r="F745" t="s">
        <v>11</v>
      </c>
      <c r="G745" t="s">
        <v>17</v>
      </c>
      <c r="I745" t="s">
        <v>941</v>
      </c>
      <c r="J745" t="str">
        <f>IF(ISBLANK(Table1[[#This Row],[PaidDate]]),"Unpaid",IF(Table1[[#This Row],[PaidDate]]&gt;Table1[[#This Row],[DueDate]],"Late",IF(Table1[[#This Row],[PaidDate]]&lt;Table1[[#This Row],[DueDate]],"Early","On Time")))</f>
        <v>Unpaid</v>
      </c>
      <c r="K745" t="str">
        <f ca="1">IF(AND(Table1[[#This Row],[Status]]&lt;&gt;"Paid",TODAY()&gt;Table1[[#This Row],[DueDate]]),"Overdue","OK")</f>
        <v>Overdue</v>
      </c>
    </row>
    <row r="746" spans="1:11" x14ac:dyDescent="0.3">
      <c r="A746" t="s">
        <v>1690</v>
      </c>
      <c r="B746" t="s">
        <v>966</v>
      </c>
      <c r="C746" s="1">
        <v>44983</v>
      </c>
      <c r="D746" s="1">
        <v>45013</v>
      </c>
      <c r="E746" s="2">
        <v>1345.89</v>
      </c>
      <c r="F746" t="s">
        <v>28</v>
      </c>
      <c r="G746" t="s">
        <v>951</v>
      </c>
      <c r="H746" s="1">
        <v>45013</v>
      </c>
      <c r="I746" t="s">
        <v>941</v>
      </c>
      <c r="J746" t="str">
        <f>IF(ISBLANK(Table1[[#This Row],[PaidDate]]),"Unpaid",IF(Table1[[#This Row],[PaidDate]]&gt;Table1[[#This Row],[DueDate]],"Late",IF(Table1[[#This Row],[PaidDate]]&lt;Table1[[#This Row],[DueDate]],"Early","On Time")))</f>
        <v>On Time</v>
      </c>
      <c r="K746" t="str">
        <f ca="1">IF(AND(Table1[[#This Row],[Status]]&lt;&gt;"Paid",TODAY()&gt;Table1[[#This Row],[DueDate]]),"Overdue","OK")</f>
        <v>OK</v>
      </c>
    </row>
    <row r="747" spans="1:11" x14ac:dyDescent="0.3">
      <c r="A747" t="s">
        <v>1691</v>
      </c>
      <c r="B747" t="s">
        <v>946</v>
      </c>
      <c r="C747" s="1">
        <v>45283</v>
      </c>
      <c r="D747" s="1">
        <v>45313</v>
      </c>
      <c r="E747" s="2">
        <v>4777.7299999999996</v>
      </c>
      <c r="F747" t="s">
        <v>16</v>
      </c>
      <c r="G747" t="s">
        <v>12</v>
      </c>
      <c r="I747" t="s">
        <v>941</v>
      </c>
      <c r="J747" t="str">
        <f>IF(ISBLANK(Table1[[#This Row],[PaidDate]]),"Unpaid",IF(Table1[[#This Row],[PaidDate]]&gt;Table1[[#This Row],[DueDate]],"Late",IF(Table1[[#This Row],[PaidDate]]&lt;Table1[[#This Row],[DueDate]],"Early","On Time")))</f>
        <v>Unpaid</v>
      </c>
      <c r="K747" t="str">
        <f ca="1">IF(AND(Table1[[#This Row],[Status]]&lt;&gt;"Paid",TODAY()&gt;Table1[[#This Row],[DueDate]]),"Overdue","OK")</f>
        <v>Overdue</v>
      </c>
    </row>
    <row r="748" spans="1:11" x14ac:dyDescent="0.3">
      <c r="A748" t="s">
        <v>1692</v>
      </c>
      <c r="B748" t="s">
        <v>940</v>
      </c>
      <c r="C748" s="1">
        <v>45194</v>
      </c>
      <c r="D748" s="1">
        <v>45224</v>
      </c>
      <c r="E748" s="2">
        <v>3137.33</v>
      </c>
      <c r="F748" t="s">
        <v>28</v>
      </c>
      <c r="G748" t="s">
        <v>17</v>
      </c>
      <c r="I748" t="s">
        <v>941</v>
      </c>
      <c r="J748" t="str">
        <f>IF(ISBLANK(Table1[[#This Row],[PaidDate]]),"Unpaid",IF(Table1[[#This Row],[PaidDate]]&gt;Table1[[#This Row],[DueDate]],"Late",IF(Table1[[#This Row],[PaidDate]]&lt;Table1[[#This Row],[DueDate]],"Early","On Time")))</f>
        <v>Unpaid</v>
      </c>
      <c r="K748" t="str">
        <f ca="1">IF(AND(Table1[[#This Row],[Status]]&lt;&gt;"Paid",TODAY()&gt;Table1[[#This Row],[DueDate]]),"Overdue","OK")</f>
        <v>Overdue</v>
      </c>
    </row>
    <row r="749" spans="1:11" x14ac:dyDescent="0.3">
      <c r="A749" t="s">
        <v>1693</v>
      </c>
      <c r="B749" t="s">
        <v>962</v>
      </c>
      <c r="C749" s="1">
        <v>45488</v>
      </c>
      <c r="D749" s="1">
        <v>45518</v>
      </c>
      <c r="E749" s="2">
        <v>4831.5200000000004</v>
      </c>
      <c r="F749" t="s">
        <v>16</v>
      </c>
      <c r="G749" t="s">
        <v>12</v>
      </c>
      <c r="I749" t="s">
        <v>941</v>
      </c>
      <c r="J749" t="str">
        <f>IF(ISBLANK(Table1[[#This Row],[PaidDate]]),"Unpaid",IF(Table1[[#This Row],[PaidDate]]&gt;Table1[[#This Row],[DueDate]],"Late",IF(Table1[[#This Row],[PaidDate]]&lt;Table1[[#This Row],[DueDate]],"Early","On Time")))</f>
        <v>Unpaid</v>
      </c>
      <c r="K749" t="str">
        <f ca="1">IF(AND(Table1[[#This Row],[Status]]&lt;&gt;"Paid",TODAY()&gt;Table1[[#This Row],[DueDate]]),"Overdue","OK")</f>
        <v>Overdue</v>
      </c>
    </row>
    <row r="750" spans="1:11" x14ac:dyDescent="0.3">
      <c r="A750" t="s">
        <v>1694</v>
      </c>
      <c r="B750" t="s">
        <v>940</v>
      </c>
      <c r="C750" s="1">
        <v>45321</v>
      </c>
      <c r="D750" s="1">
        <v>45351</v>
      </c>
      <c r="E750" s="2">
        <v>1343.46</v>
      </c>
      <c r="F750" t="s">
        <v>26</v>
      </c>
      <c r="G750" t="s">
        <v>12</v>
      </c>
      <c r="I750" t="s">
        <v>941</v>
      </c>
      <c r="J750" t="str">
        <f>IF(ISBLANK(Table1[[#This Row],[PaidDate]]),"Unpaid",IF(Table1[[#This Row],[PaidDate]]&gt;Table1[[#This Row],[DueDate]],"Late",IF(Table1[[#This Row],[PaidDate]]&lt;Table1[[#This Row],[DueDate]],"Early","On Time")))</f>
        <v>Unpaid</v>
      </c>
      <c r="K750" t="str">
        <f ca="1">IF(AND(Table1[[#This Row],[Status]]&lt;&gt;"Paid",TODAY()&gt;Table1[[#This Row],[DueDate]]),"Overdue","OK")</f>
        <v>Overdue</v>
      </c>
    </row>
    <row r="751" spans="1:11" x14ac:dyDescent="0.3">
      <c r="A751" t="s">
        <v>1695</v>
      </c>
      <c r="B751" t="s">
        <v>940</v>
      </c>
      <c r="C751" s="1">
        <v>44993</v>
      </c>
      <c r="D751" s="1">
        <v>45023</v>
      </c>
      <c r="E751" s="2">
        <v>3815.88</v>
      </c>
      <c r="F751" t="s">
        <v>26</v>
      </c>
      <c r="G751" t="s">
        <v>12</v>
      </c>
      <c r="I751" t="s">
        <v>941</v>
      </c>
      <c r="J751" t="str">
        <f>IF(ISBLANK(Table1[[#This Row],[PaidDate]]),"Unpaid",IF(Table1[[#This Row],[PaidDate]]&gt;Table1[[#This Row],[DueDate]],"Late",IF(Table1[[#This Row],[PaidDate]]&lt;Table1[[#This Row],[DueDate]],"Early","On Time")))</f>
        <v>Unpaid</v>
      </c>
      <c r="K751" t="str">
        <f ca="1">IF(AND(Table1[[#This Row],[Status]]&lt;&gt;"Paid",TODAY()&gt;Table1[[#This Row],[DueDate]]),"Overdue","OK")</f>
        <v>Overdue</v>
      </c>
    </row>
    <row r="752" spans="1:11" x14ac:dyDescent="0.3">
      <c r="A752" t="s">
        <v>1696</v>
      </c>
      <c r="B752" t="s">
        <v>946</v>
      </c>
      <c r="C752" s="1">
        <v>45054</v>
      </c>
      <c r="D752" s="1">
        <v>45084</v>
      </c>
      <c r="E752" s="2">
        <v>3428.98</v>
      </c>
      <c r="F752" t="s">
        <v>19</v>
      </c>
      <c r="G752" t="s">
        <v>951</v>
      </c>
      <c r="H752" s="1">
        <v>45084</v>
      </c>
      <c r="I752" t="s">
        <v>941</v>
      </c>
      <c r="J752" t="str">
        <f>IF(ISBLANK(Table1[[#This Row],[PaidDate]]),"Unpaid",IF(Table1[[#This Row],[PaidDate]]&gt;Table1[[#This Row],[DueDate]],"Late",IF(Table1[[#This Row],[PaidDate]]&lt;Table1[[#This Row],[DueDate]],"Early","On Time")))</f>
        <v>On Time</v>
      </c>
      <c r="K752" t="str">
        <f ca="1">IF(AND(Table1[[#This Row],[Status]]&lt;&gt;"Paid",TODAY()&gt;Table1[[#This Row],[DueDate]]),"Overdue","OK")</f>
        <v>OK</v>
      </c>
    </row>
    <row r="753" spans="1:11" x14ac:dyDescent="0.3">
      <c r="A753" t="s">
        <v>1697</v>
      </c>
      <c r="B753" t="s">
        <v>940</v>
      </c>
      <c r="C753" s="1">
        <v>45395</v>
      </c>
      <c r="D753" s="1">
        <v>45425</v>
      </c>
      <c r="E753" s="2">
        <v>1265.55</v>
      </c>
      <c r="F753" t="s">
        <v>19</v>
      </c>
      <c r="G753" t="s">
        <v>12</v>
      </c>
      <c r="I753" t="s">
        <v>941</v>
      </c>
      <c r="J753" t="str">
        <f>IF(ISBLANK(Table1[[#This Row],[PaidDate]]),"Unpaid",IF(Table1[[#This Row],[PaidDate]]&gt;Table1[[#This Row],[DueDate]],"Late",IF(Table1[[#This Row],[PaidDate]]&lt;Table1[[#This Row],[DueDate]],"Early","On Time")))</f>
        <v>Unpaid</v>
      </c>
      <c r="K753" t="str">
        <f ca="1">IF(AND(Table1[[#This Row],[Status]]&lt;&gt;"Paid",TODAY()&gt;Table1[[#This Row],[DueDate]]),"Overdue","OK")</f>
        <v>Overdue</v>
      </c>
    </row>
    <row r="754" spans="1:11" x14ac:dyDescent="0.3">
      <c r="A754" t="s">
        <v>1698</v>
      </c>
      <c r="B754" t="s">
        <v>962</v>
      </c>
      <c r="C754" s="1">
        <v>45262</v>
      </c>
      <c r="D754" s="1">
        <v>45292</v>
      </c>
      <c r="E754" s="2">
        <v>1377.49</v>
      </c>
      <c r="F754" t="s">
        <v>28</v>
      </c>
      <c r="G754" t="s">
        <v>951</v>
      </c>
      <c r="H754" s="1">
        <v>45292</v>
      </c>
      <c r="I754" t="s">
        <v>941</v>
      </c>
      <c r="J754" t="str">
        <f>IF(ISBLANK(Table1[[#This Row],[PaidDate]]),"Unpaid",IF(Table1[[#This Row],[PaidDate]]&gt;Table1[[#This Row],[DueDate]],"Late",IF(Table1[[#This Row],[PaidDate]]&lt;Table1[[#This Row],[DueDate]],"Early","On Time")))</f>
        <v>On Time</v>
      </c>
      <c r="K754" t="str">
        <f ca="1">IF(AND(Table1[[#This Row],[Status]]&lt;&gt;"Paid",TODAY()&gt;Table1[[#This Row],[DueDate]]),"Overdue","OK")</f>
        <v>OK</v>
      </c>
    </row>
    <row r="755" spans="1:11" x14ac:dyDescent="0.3">
      <c r="A755" t="s">
        <v>1699</v>
      </c>
      <c r="B755" t="s">
        <v>940</v>
      </c>
      <c r="C755" s="1">
        <v>45535</v>
      </c>
      <c r="D755" s="1">
        <v>45565</v>
      </c>
      <c r="E755" s="2">
        <v>2125.3000000000002</v>
      </c>
      <c r="F755" t="s">
        <v>16</v>
      </c>
      <c r="G755" t="s">
        <v>12</v>
      </c>
      <c r="I755" t="s">
        <v>941</v>
      </c>
      <c r="J755" t="str">
        <f>IF(ISBLANK(Table1[[#This Row],[PaidDate]]),"Unpaid",IF(Table1[[#This Row],[PaidDate]]&gt;Table1[[#This Row],[DueDate]],"Late",IF(Table1[[#This Row],[PaidDate]]&lt;Table1[[#This Row],[DueDate]],"Early","On Time")))</f>
        <v>Unpaid</v>
      </c>
      <c r="K755" t="str">
        <f ca="1">IF(AND(Table1[[#This Row],[Status]]&lt;&gt;"Paid",TODAY()&gt;Table1[[#This Row],[DueDate]]),"Overdue","OK")</f>
        <v>Overdue</v>
      </c>
    </row>
    <row r="756" spans="1:11" x14ac:dyDescent="0.3">
      <c r="A756" t="s">
        <v>1700</v>
      </c>
      <c r="B756" t="s">
        <v>944</v>
      </c>
      <c r="C756" s="1">
        <v>45408</v>
      </c>
      <c r="D756" s="1">
        <v>45438</v>
      </c>
      <c r="E756" s="2">
        <v>2582.08</v>
      </c>
      <c r="F756" t="s">
        <v>19</v>
      </c>
      <c r="G756" t="s">
        <v>951</v>
      </c>
      <c r="H756" s="1">
        <v>45438</v>
      </c>
      <c r="I756" t="s">
        <v>941</v>
      </c>
      <c r="J756" t="str">
        <f>IF(ISBLANK(Table1[[#This Row],[PaidDate]]),"Unpaid",IF(Table1[[#This Row],[PaidDate]]&gt;Table1[[#This Row],[DueDate]],"Late",IF(Table1[[#This Row],[PaidDate]]&lt;Table1[[#This Row],[DueDate]],"Early","On Time")))</f>
        <v>On Time</v>
      </c>
      <c r="K756" t="str">
        <f ca="1">IF(AND(Table1[[#This Row],[Status]]&lt;&gt;"Paid",TODAY()&gt;Table1[[#This Row],[DueDate]]),"Overdue","OK")</f>
        <v>OK</v>
      </c>
    </row>
    <row r="757" spans="1:11" x14ac:dyDescent="0.3">
      <c r="A757" t="s">
        <v>1701</v>
      </c>
      <c r="B757" t="s">
        <v>966</v>
      </c>
      <c r="C757" s="1">
        <v>45707</v>
      </c>
      <c r="D757" s="1">
        <v>45737</v>
      </c>
      <c r="E757" s="2">
        <v>1722.33</v>
      </c>
      <c r="F757" t="s">
        <v>19</v>
      </c>
      <c r="G757" t="s">
        <v>951</v>
      </c>
      <c r="H757" s="1">
        <v>45737</v>
      </c>
      <c r="I757" t="s">
        <v>941</v>
      </c>
      <c r="J757" t="str">
        <f>IF(ISBLANK(Table1[[#This Row],[PaidDate]]),"Unpaid",IF(Table1[[#This Row],[PaidDate]]&gt;Table1[[#This Row],[DueDate]],"Late",IF(Table1[[#This Row],[PaidDate]]&lt;Table1[[#This Row],[DueDate]],"Early","On Time")))</f>
        <v>On Time</v>
      </c>
      <c r="K757" t="str">
        <f ca="1">IF(AND(Table1[[#This Row],[Status]]&lt;&gt;"Paid",TODAY()&gt;Table1[[#This Row],[DueDate]]),"Overdue","OK")</f>
        <v>OK</v>
      </c>
    </row>
    <row r="758" spans="1:11" x14ac:dyDescent="0.3">
      <c r="A758" t="s">
        <v>1702</v>
      </c>
      <c r="B758" t="s">
        <v>966</v>
      </c>
      <c r="C758" s="1">
        <v>45613</v>
      </c>
      <c r="D758" s="1">
        <v>45643</v>
      </c>
      <c r="E758" s="2">
        <v>4374.09</v>
      </c>
      <c r="F758" t="s">
        <v>16</v>
      </c>
      <c r="G758" t="s">
        <v>12</v>
      </c>
      <c r="I758" t="s">
        <v>941</v>
      </c>
      <c r="J758" t="str">
        <f>IF(ISBLANK(Table1[[#This Row],[PaidDate]]),"Unpaid",IF(Table1[[#This Row],[PaidDate]]&gt;Table1[[#This Row],[DueDate]],"Late",IF(Table1[[#This Row],[PaidDate]]&lt;Table1[[#This Row],[DueDate]],"Early","On Time")))</f>
        <v>Unpaid</v>
      </c>
      <c r="K758" t="str">
        <f ca="1">IF(AND(Table1[[#This Row],[Status]]&lt;&gt;"Paid",TODAY()&gt;Table1[[#This Row],[DueDate]]),"Overdue","OK")</f>
        <v>Overdue</v>
      </c>
    </row>
    <row r="759" spans="1:11" x14ac:dyDescent="0.3">
      <c r="A759" t="s">
        <v>1703</v>
      </c>
      <c r="B759" t="s">
        <v>940</v>
      </c>
      <c r="C759" s="1">
        <v>45162</v>
      </c>
      <c r="D759" s="1">
        <v>45192</v>
      </c>
      <c r="E759" s="2">
        <v>3289.59</v>
      </c>
      <c r="F759" t="s">
        <v>26</v>
      </c>
      <c r="G759" t="s">
        <v>17</v>
      </c>
      <c r="I759" t="s">
        <v>941</v>
      </c>
      <c r="J759" t="str">
        <f>IF(ISBLANK(Table1[[#This Row],[PaidDate]]),"Unpaid",IF(Table1[[#This Row],[PaidDate]]&gt;Table1[[#This Row],[DueDate]],"Late",IF(Table1[[#This Row],[PaidDate]]&lt;Table1[[#This Row],[DueDate]],"Early","On Time")))</f>
        <v>Unpaid</v>
      </c>
      <c r="K759" t="str">
        <f ca="1">IF(AND(Table1[[#This Row],[Status]]&lt;&gt;"Paid",TODAY()&gt;Table1[[#This Row],[DueDate]]),"Overdue","OK")</f>
        <v>Overdue</v>
      </c>
    </row>
    <row r="760" spans="1:11" x14ac:dyDescent="0.3">
      <c r="A760" t="s">
        <v>1704</v>
      </c>
      <c r="B760" t="s">
        <v>946</v>
      </c>
      <c r="C760" s="1">
        <v>45301</v>
      </c>
      <c r="D760" s="1">
        <v>45331</v>
      </c>
      <c r="E760" s="2">
        <v>2204.2800000000002</v>
      </c>
      <c r="F760" t="s">
        <v>11</v>
      </c>
      <c r="G760" t="s">
        <v>951</v>
      </c>
      <c r="H760" s="1">
        <v>45331</v>
      </c>
      <c r="I760" t="s">
        <v>941</v>
      </c>
      <c r="J760" t="str">
        <f>IF(ISBLANK(Table1[[#This Row],[PaidDate]]),"Unpaid",IF(Table1[[#This Row],[PaidDate]]&gt;Table1[[#This Row],[DueDate]],"Late",IF(Table1[[#This Row],[PaidDate]]&lt;Table1[[#This Row],[DueDate]],"Early","On Time")))</f>
        <v>On Time</v>
      </c>
      <c r="K760" t="str">
        <f ca="1">IF(AND(Table1[[#This Row],[Status]]&lt;&gt;"Paid",TODAY()&gt;Table1[[#This Row],[DueDate]]),"Overdue","OK")</f>
        <v>OK</v>
      </c>
    </row>
    <row r="761" spans="1:11" x14ac:dyDescent="0.3">
      <c r="A761" t="s">
        <v>1705</v>
      </c>
      <c r="B761" t="s">
        <v>946</v>
      </c>
      <c r="C761" s="1">
        <v>45340</v>
      </c>
      <c r="D761" s="1">
        <v>45370</v>
      </c>
      <c r="E761" s="2">
        <v>3457.45</v>
      </c>
      <c r="F761" t="s">
        <v>19</v>
      </c>
      <c r="G761" t="s">
        <v>17</v>
      </c>
      <c r="I761" t="s">
        <v>941</v>
      </c>
      <c r="J761" t="str">
        <f>IF(ISBLANK(Table1[[#This Row],[PaidDate]]),"Unpaid",IF(Table1[[#This Row],[PaidDate]]&gt;Table1[[#This Row],[DueDate]],"Late",IF(Table1[[#This Row],[PaidDate]]&lt;Table1[[#This Row],[DueDate]],"Early","On Time")))</f>
        <v>Unpaid</v>
      </c>
      <c r="K761" t="str">
        <f ca="1">IF(AND(Table1[[#This Row],[Status]]&lt;&gt;"Paid",TODAY()&gt;Table1[[#This Row],[DueDate]]),"Overdue","OK")</f>
        <v>Overdue</v>
      </c>
    </row>
    <row r="762" spans="1:11" x14ac:dyDescent="0.3">
      <c r="A762" t="s">
        <v>1706</v>
      </c>
      <c r="B762" t="s">
        <v>966</v>
      </c>
      <c r="C762" s="1">
        <v>45054</v>
      </c>
      <c r="D762" s="1">
        <v>45084</v>
      </c>
      <c r="E762" s="2">
        <v>2571.9</v>
      </c>
      <c r="F762" t="s">
        <v>11</v>
      </c>
      <c r="G762" t="s">
        <v>951</v>
      </c>
      <c r="H762" s="1">
        <v>45084</v>
      </c>
      <c r="I762" t="s">
        <v>941</v>
      </c>
      <c r="J762" t="str">
        <f>IF(ISBLANK(Table1[[#This Row],[PaidDate]]),"Unpaid",IF(Table1[[#This Row],[PaidDate]]&gt;Table1[[#This Row],[DueDate]],"Late",IF(Table1[[#This Row],[PaidDate]]&lt;Table1[[#This Row],[DueDate]],"Early","On Time")))</f>
        <v>On Time</v>
      </c>
      <c r="K762" t="str">
        <f ca="1">IF(AND(Table1[[#This Row],[Status]]&lt;&gt;"Paid",TODAY()&gt;Table1[[#This Row],[DueDate]]),"Overdue","OK")</f>
        <v>OK</v>
      </c>
    </row>
    <row r="763" spans="1:11" x14ac:dyDescent="0.3">
      <c r="A763" t="s">
        <v>1707</v>
      </c>
      <c r="B763" t="s">
        <v>940</v>
      </c>
      <c r="C763" s="1">
        <v>45618</v>
      </c>
      <c r="D763" s="1">
        <v>45648</v>
      </c>
      <c r="E763" s="2">
        <v>2573.94</v>
      </c>
      <c r="F763" t="s">
        <v>16</v>
      </c>
      <c r="G763" t="s">
        <v>951</v>
      </c>
      <c r="H763" s="1">
        <v>45648</v>
      </c>
      <c r="I763" t="s">
        <v>941</v>
      </c>
      <c r="J763" t="str">
        <f>IF(ISBLANK(Table1[[#This Row],[PaidDate]]),"Unpaid",IF(Table1[[#This Row],[PaidDate]]&gt;Table1[[#This Row],[DueDate]],"Late",IF(Table1[[#This Row],[PaidDate]]&lt;Table1[[#This Row],[DueDate]],"Early","On Time")))</f>
        <v>On Time</v>
      </c>
      <c r="K763" t="str">
        <f ca="1">IF(AND(Table1[[#This Row],[Status]]&lt;&gt;"Paid",TODAY()&gt;Table1[[#This Row],[DueDate]]),"Overdue","OK")</f>
        <v>OK</v>
      </c>
    </row>
    <row r="764" spans="1:11" x14ac:dyDescent="0.3">
      <c r="A764" t="s">
        <v>1708</v>
      </c>
      <c r="B764" t="s">
        <v>940</v>
      </c>
      <c r="C764" s="1">
        <v>45679</v>
      </c>
      <c r="D764" s="1">
        <v>45709</v>
      </c>
      <c r="E764" s="2">
        <v>3760.26</v>
      </c>
      <c r="F764" t="s">
        <v>11</v>
      </c>
      <c r="G764" t="s">
        <v>17</v>
      </c>
      <c r="I764" t="s">
        <v>941</v>
      </c>
      <c r="J764" t="str">
        <f>IF(ISBLANK(Table1[[#This Row],[PaidDate]]),"Unpaid",IF(Table1[[#This Row],[PaidDate]]&gt;Table1[[#This Row],[DueDate]],"Late",IF(Table1[[#This Row],[PaidDate]]&lt;Table1[[#This Row],[DueDate]],"Early","On Time")))</f>
        <v>Unpaid</v>
      </c>
      <c r="K764" t="str">
        <f ca="1">IF(AND(Table1[[#This Row],[Status]]&lt;&gt;"Paid",TODAY()&gt;Table1[[#This Row],[DueDate]]),"Overdue","OK")</f>
        <v>Overdue</v>
      </c>
    </row>
    <row r="765" spans="1:11" x14ac:dyDescent="0.3">
      <c r="A765" t="s">
        <v>1709</v>
      </c>
      <c r="B765" t="s">
        <v>966</v>
      </c>
      <c r="C765" s="1">
        <v>45385</v>
      </c>
      <c r="D765" s="1">
        <v>45415</v>
      </c>
      <c r="E765" s="2">
        <v>645.44000000000005</v>
      </c>
      <c r="F765" t="s">
        <v>11</v>
      </c>
      <c r="G765" t="s">
        <v>951</v>
      </c>
      <c r="H765" s="1">
        <v>45415</v>
      </c>
      <c r="I765" t="s">
        <v>941</v>
      </c>
      <c r="J765" t="str">
        <f>IF(ISBLANK(Table1[[#This Row],[PaidDate]]),"Unpaid",IF(Table1[[#This Row],[PaidDate]]&gt;Table1[[#This Row],[DueDate]],"Late",IF(Table1[[#This Row],[PaidDate]]&lt;Table1[[#This Row],[DueDate]],"Early","On Time")))</f>
        <v>On Time</v>
      </c>
      <c r="K765" t="str">
        <f ca="1">IF(AND(Table1[[#This Row],[Status]]&lt;&gt;"Paid",TODAY()&gt;Table1[[#This Row],[DueDate]]),"Overdue","OK")</f>
        <v>OK</v>
      </c>
    </row>
    <row r="766" spans="1:11" x14ac:dyDescent="0.3">
      <c r="A766" t="s">
        <v>1710</v>
      </c>
      <c r="B766" t="s">
        <v>966</v>
      </c>
      <c r="C766" s="1">
        <v>45148</v>
      </c>
      <c r="D766" s="1">
        <v>45178</v>
      </c>
      <c r="E766" s="2">
        <v>948.66</v>
      </c>
      <c r="F766" t="s">
        <v>19</v>
      </c>
      <c r="G766" t="s">
        <v>951</v>
      </c>
      <c r="H766" s="1">
        <v>45178</v>
      </c>
      <c r="I766" t="s">
        <v>941</v>
      </c>
      <c r="J766" t="str">
        <f>IF(ISBLANK(Table1[[#This Row],[PaidDate]]),"Unpaid",IF(Table1[[#This Row],[PaidDate]]&gt;Table1[[#This Row],[DueDate]],"Late",IF(Table1[[#This Row],[PaidDate]]&lt;Table1[[#This Row],[DueDate]],"Early","On Time")))</f>
        <v>On Time</v>
      </c>
      <c r="K766" t="str">
        <f ca="1">IF(AND(Table1[[#This Row],[Status]]&lt;&gt;"Paid",TODAY()&gt;Table1[[#This Row],[DueDate]]),"Overdue","OK")</f>
        <v>OK</v>
      </c>
    </row>
    <row r="767" spans="1:11" x14ac:dyDescent="0.3">
      <c r="A767" t="s">
        <v>1711</v>
      </c>
      <c r="B767" t="s">
        <v>966</v>
      </c>
      <c r="C767" s="1">
        <v>45070</v>
      </c>
      <c r="D767" s="1">
        <v>45100</v>
      </c>
      <c r="E767" s="2">
        <v>4936.8</v>
      </c>
      <c r="F767" t="s">
        <v>28</v>
      </c>
      <c r="G767" t="s">
        <v>951</v>
      </c>
      <c r="H767" s="1">
        <v>45100</v>
      </c>
      <c r="I767" t="s">
        <v>941</v>
      </c>
      <c r="J767" t="str">
        <f>IF(ISBLANK(Table1[[#This Row],[PaidDate]]),"Unpaid",IF(Table1[[#This Row],[PaidDate]]&gt;Table1[[#This Row],[DueDate]],"Late",IF(Table1[[#This Row],[PaidDate]]&lt;Table1[[#This Row],[DueDate]],"Early","On Time")))</f>
        <v>On Time</v>
      </c>
      <c r="K767" t="str">
        <f ca="1">IF(AND(Table1[[#This Row],[Status]]&lt;&gt;"Paid",TODAY()&gt;Table1[[#This Row],[DueDate]]),"Overdue","OK")</f>
        <v>OK</v>
      </c>
    </row>
    <row r="768" spans="1:11" x14ac:dyDescent="0.3">
      <c r="A768" t="s">
        <v>1712</v>
      </c>
      <c r="B768" t="s">
        <v>946</v>
      </c>
      <c r="C768" s="1">
        <v>44988</v>
      </c>
      <c r="D768" s="1">
        <v>45018</v>
      </c>
      <c r="E768" s="2">
        <v>4286.67</v>
      </c>
      <c r="F768" t="s">
        <v>11</v>
      </c>
      <c r="G768" t="s">
        <v>951</v>
      </c>
      <c r="H768" s="1">
        <v>45018</v>
      </c>
      <c r="I768" t="s">
        <v>941</v>
      </c>
      <c r="J768" t="str">
        <f>IF(ISBLANK(Table1[[#This Row],[PaidDate]]),"Unpaid",IF(Table1[[#This Row],[PaidDate]]&gt;Table1[[#This Row],[DueDate]],"Late",IF(Table1[[#This Row],[PaidDate]]&lt;Table1[[#This Row],[DueDate]],"Early","On Time")))</f>
        <v>On Time</v>
      </c>
      <c r="K768" t="str">
        <f ca="1">IF(AND(Table1[[#This Row],[Status]]&lt;&gt;"Paid",TODAY()&gt;Table1[[#This Row],[DueDate]]),"Overdue","OK")</f>
        <v>OK</v>
      </c>
    </row>
    <row r="769" spans="1:11" x14ac:dyDescent="0.3">
      <c r="A769" t="s">
        <v>1713</v>
      </c>
      <c r="B769" t="s">
        <v>944</v>
      </c>
      <c r="C769" s="1">
        <v>45263</v>
      </c>
      <c r="D769" s="1">
        <v>45293</v>
      </c>
      <c r="E769" s="2">
        <v>4346.29</v>
      </c>
      <c r="F769" t="s">
        <v>19</v>
      </c>
      <c r="G769" t="s">
        <v>12</v>
      </c>
      <c r="I769" t="s">
        <v>941</v>
      </c>
      <c r="J769" t="str">
        <f>IF(ISBLANK(Table1[[#This Row],[PaidDate]]),"Unpaid",IF(Table1[[#This Row],[PaidDate]]&gt;Table1[[#This Row],[DueDate]],"Late",IF(Table1[[#This Row],[PaidDate]]&lt;Table1[[#This Row],[DueDate]],"Early","On Time")))</f>
        <v>Unpaid</v>
      </c>
      <c r="K769" t="str">
        <f ca="1">IF(AND(Table1[[#This Row],[Status]]&lt;&gt;"Paid",TODAY()&gt;Table1[[#This Row],[DueDate]]),"Overdue","OK")</f>
        <v>Overdue</v>
      </c>
    </row>
    <row r="770" spans="1:11" x14ac:dyDescent="0.3">
      <c r="A770" t="s">
        <v>1714</v>
      </c>
      <c r="B770" t="s">
        <v>944</v>
      </c>
      <c r="C770" s="1">
        <v>45659</v>
      </c>
      <c r="D770" s="1">
        <v>45689</v>
      </c>
      <c r="E770" s="2">
        <v>2978.71</v>
      </c>
      <c r="F770" t="s">
        <v>19</v>
      </c>
      <c r="G770" t="s">
        <v>12</v>
      </c>
      <c r="I770" t="s">
        <v>941</v>
      </c>
      <c r="J770" t="str">
        <f>IF(ISBLANK(Table1[[#This Row],[PaidDate]]),"Unpaid",IF(Table1[[#This Row],[PaidDate]]&gt;Table1[[#This Row],[DueDate]],"Late",IF(Table1[[#This Row],[PaidDate]]&lt;Table1[[#This Row],[DueDate]],"Early","On Time")))</f>
        <v>Unpaid</v>
      </c>
      <c r="K770" t="str">
        <f ca="1">IF(AND(Table1[[#This Row],[Status]]&lt;&gt;"Paid",TODAY()&gt;Table1[[#This Row],[DueDate]]),"Overdue","OK")</f>
        <v>Overdue</v>
      </c>
    </row>
    <row r="771" spans="1:11" x14ac:dyDescent="0.3">
      <c r="A771" t="s">
        <v>1715</v>
      </c>
      <c r="B771" t="s">
        <v>946</v>
      </c>
      <c r="C771" s="1">
        <v>45752</v>
      </c>
      <c r="D771" s="1">
        <v>45782</v>
      </c>
      <c r="E771" s="2">
        <v>3489.97</v>
      </c>
      <c r="F771" t="s">
        <v>26</v>
      </c>
      <c r="G771" t="s">
        <v>17</v>
      </c>
      <c r="I771" t="s">
        <v>941</v>
      </c>
      <c r="J771" t="str">
        <f>IF(ISBLANK(Table1[[#This Row],[PaidDate]]),"Unpaid",IF(Table1[[#This Row],[PaidDate]]&gt;Table1[[#This Row],[DueDate]],"Late",IF(Table1[[#This Row],[PaidDate]]&lt;Table1[[#This Row],[DueDate]],"Early","On Time")))</f>
        <v>Unpaid</v>
      </c>
      <c r="K771" t="str">
        <f ca="1">IF(AND(Table1[[#This Row],[Status]]&lt;&gt;"Paid",TODAY()&gt;Table1[[#This Row],[DueDate]]),"Overdue","OK")</f>
        <v>Overdue</v>
      </c>
    </row>
    <row r="772" spans="1:11" x14ac:dyDescent="0.3">
      <c r="A772" t="s">
        <v>1716</v>
      </c>
      <c r="B772" t="s">
        <v>962</v>
      </c>
      <c r="C772" s="1">
        <v>45648</v>
      </c>
      <c r="D772" s="1">
        <v>45678</v>
      </c>
      <c r="E772" s="2">
        <v>290.89999999999998</v>
      </c>
      <c r="F772" t="s">
        <v>16</v>
      </c>
      <c r="G772" t="s">
        <v>17</v>
      </c>
      <c r="I772" t="s">
        <v>941</v>
      </c>
      <c r="J772" t="str">
        <f>IF(ISBLANK(Table1[[#This Row],[PaidDate]]),"Unpaid",IF(Table1[[#This Row],[PaidDate]]&gt;Table1[[#This Row],[DueDate]],"Late",IF(Table1[[#This Row],[PaidDate]]&lt;Table1[[#This Row],[DueDate]],"Early","On Time")))</f>
        <v>Unpaid</v>
      </c>
      <c r="K772" t="str">
        <f ca="1">IF(AND(Table1[[#This Row],[Status]]&lt;&gt;"Paid",TODAY()&gt;Table1[[#This Row],[DueDate]]),"Overdue","OK")</f>
        <v>Overdue</v>
      </c>
    </row>
    <row r="773" spans="1:11" x14ac:dyDescent="0.3">
      <c r="A773" t="s">
        <v>1717</v>
      </c>
      <c r="B773" t="s">
        <v>966</v>
      </c>
      <c r="C773" s="1">
        <v>45725</v>
      </c>
      <c r="D773" s="1">
        <v>45755</v>
      </c>
      <c r="E773" s="2">
        <v>2592.92</v>
      </c>
      <c r="F773" t="s">
        <v>19</v>
      </c>
      <c r="G773" t="s">
        <v>12</v>
      </c>
      <c r="I773" t="s">
        <v>941</v>
      </c>
      <c r="J773" t="str">
        <f>IF(ISBLANK(Table1[[#This Row],[PaidDate]]),"Unpaid",IF(Table1[[#This Row],[PaidDate]]&gt;Table1[[#This Row],[DueDate]],"Late",IF(Table1[[#This Row],[PaidDate]]&lt;Table1[[#This Row],[DueDate]],"Early","On Time")))</f>
        <v>Unpaid</v>
      </c>
      <c r="K773" t="str">
        <f ca="1">IF(AND(Table1[[#This Row],[Status]]&lt;&gt;"Paid",TODAY()&gt;Table1[[#This Row],[DueDate]]),"Overdue","OK")</f>
        <v>Overdue</v>
      </c>
    </row>
    <row r="774" spans="1:11" x14ac:dyDescent="0.3">
      <c r="A774" t="s">
        <v>1718</v>
      </c>
      <c r="B774" t="s">
        <v>946</v>
      </c>
      <c r="C774" s="1">
        <v>45505</v>
      </c>
      <c r="D774" s="1">
        <v>45535</v>
      </c>
      <c r="E774" s="2">
        <v>4904.8599999999997</v>
      </c>
      <c r="F774" t="s">
        <v>26</v>
      </c>
      <c r="G774" t="s">
        <v>17</v>
      </c>
      <c r="I774" t="s">
        <v>941</v>
      </c>
      <c r="J774" t="str">
        <f>IF(ISBLANK(Table1[[#This Row],[PaidDate]]),"Unpaid",IF(Table1[[#This Row],[PaidDate]]&gt;Table1[[#This Row],[DueDate]],"Late",IF(Table1[[#This Row],[PaidDate]]&lt;Table1[[#This Row],[DueDate]],"Early","On Time")))</f>
        <v>Unpaid</v>
      </c>
      <c r="K774" t="str">
        <f ca="1">IF(AND(Table1[[#This Row],[Status]]&lt;&gt;"Paid",TODAY()&gt;Table1[[#This Row],[DueDate]]),"Overdue","OK")</f>
        <v>Overdue</v>
      </c>
    </row>
    <row r="775" spans="1:11" x14ac:dyDescent="0.3">
      <c r="A775" t="s">
        <v>1719</v>
      </c>
      <c r="B775" t="s">
        <v>946</v>
      </c>
      <c r="C775" s="1">
        <v>45738</v>
      </c>
      <c r="D775" s="1">
        <v>45768</v>
      </c>
      <c r="E775" s="2">
        <v>2807.72</v>
      </c>
      <c r="F775" t="s">
        <v>19</v>
      </c>
      <c r="G775" t="s">
        <v>12</v>
      </c>
      <c r="I775" t="s">
        <v>941</v>
      </c>
      <c r="J775" t="str">
        <f>IF(ISBLANK(Table1[[#This Row],[PaidDate]]),"Unpaid",IF(Table1[[#This Row],[PaidDate]]&gt;Table1[[#This Row],[DueDate]],"Late",IF(Table1[[#This Row],[PaidDate]]&lt;Table1[[#This Row],[DueDate]],"Early","On Time")))</f>
        <v>Unpaid</v>
      </c>
      <c r="K775" t="str">
        <f ca="1">IF(AND(Table1[[#This Row],[Status]]&lt;&gt;"Paid",TODAY()&gt;Table1[[#This Row],[DueDate]]),"Overdue","OK")</f>
        <v>Overdue</v>
      </c>
    </row>
    <row r="776" spans="1:11" x14ac:dyDescent="0.3">
      <c r="A776" t="s">
        <v>1720</v>
      </c>
      <c r="B776" t="s">
        <v>962</v>
      </c>
      <c r="C776" s="1">
        <v>45716</v>
      </c>
      <c r="D776" s="1">
        <v>45746</v>
      </c>
      <c r="E776" s="2">
        <v>3910.59</v>
      </c>
      <c r="F776" t="s">
        <v>16</v>
      </c>
      <c r="G776" t="s">
        <v>17</v>
      </c>
      <c r="I776" t="s">
        <v>941</v>
      </c>
      <c r="J776" t="str">
        <f>IF(ISBLANK(Table1[[#This Row],[PaidDate]]),"Unpaid",IF(Table1[[#This Row],[PaidDate]]&gt;Table1[[#This Row],[DueDate]],"Late",IF(Table1[[#This Row],[PaidDate]]&lt;Table1[[#This Row],[DueDate]],"Early","On Time")))</f>
        <v>Unpaid</v>
      </c>
      <c r="K776" t="str">
        <f ca="1">IF(AND(Table1[[#This Row],[Status]]&lt;&gt;"Paid",TODAY()&gt;Table1[[#This Row],[DueDate]]),"Overdue","OK")</f>
        <v>Overdue</v>
      </c>
    </row>
    <row r="777" spans="1:11" x14ac:dyDescent="0.3">
      <c r="A777" t="s">
        <v>1721</v>
      </c>
      <c r="B777" t="s">
        <v>962</v>
      </c>
      <c r="C777" s="1">
        <v>45083</v>
      </c>
      <c r="D777" s="1">
        <v>45113</v>
      </c>
      <c r="E777" s="2">
        <v>1583.9</v>
      </c>
      <c r="F777" t="s">
        <v>16</v>
      </c>
      <c r="G777" t="s">
        <v>12</v>
      </c>
      <c r="I777" t="s">
        <v>941</v>
      </c>
      <c r="J777" t="str">
        <f>IF(ISBLANK(Table1[[#This Row],[PaidDate]]),"Unpaid",IF(Table1[[#This Row],[PaidDate]]&gt;Table1[[#This Row],[DueDate]],"Late",IF(Table1[[#This Row],[PaidDate]]&lt;Table1[[#This Row],[DueDate]],"Early","On Time")))</f>
        <v>Unpaid</v>
      </c>
      <c r="K777" t="str">
        <f ca="1">IF(AND(Table1[[#This Row],[Status]]&lt;&gt;"Paid",TODAY()&gt;Table1[[#This Row],[DueDate]]),"Overdue","OK")</f>
        <v>Overdue</v>
      </c>
    </row>
    <row r="778" spans="1:11" x14ac:dyDescent="0.3">
      <c r="A778" t="s">
        <v>1722</v>
      </c>
      <c r="B778" t="s">
        <v>940</v>
      </c>
      <c r="C778" s="1">
        <v>45723</v>
      </c>
      <c r="D778" s="1">
        <v>45753</v>
      </c>
      <c r="E778" s="2">
        <v>734.99</v>
      </c>
      <c r="F778" t="s">
        <v>19</v>
      </c>
      <c r="G778" t="s">
        <v>12</v>
      </c>
      <c r="I778" t="s">
        <v>941</v>
      </c>
      <c r="J778" t="str">
        <f>IF(ISBLANK(Table1[[#This Row],[PaidDate]]),"Unpaid",IF(Table1[[#This Row],[PaidDate]]&gt;Table1[[#This Row],[DueDate]],"Late",IF(Table1[[#This Row],[PaidDate]]&lt;Table1[[#This Row],[DueDate]],"Early","On Time")))</f>
        <v>Unpaid</v>
      </c>
      <c r="K778" t="str">
        <f ca="1">IF(AND(Table1[[#This Row],[Status]]&lt;&gt;"Paid",TODAY()&gt;Table1[[#This Row],[DueDate]]),"Overdue","OK")</f>
        <v>Overdue</v>
      </c>
    </row>
    <row r="779" spans="1:11" x14ac:dyDescent="0.3">
      <c r="A779" t="s">
        <v>1723</v>
      </c>
      <c r="B779" t="s">
        <v>946</v>
      </c>
      <c r="C779" s="1">
        <v>45315</v>
      </c>
      <c r="D779" s="1">
        <v>45345</v>
      </c>
      <c r="E779" s="2">
        <v>2547.7800000000002</v>
      </c>
      <c r="F779" t="s">
        <v>28</v>
      </c>
      <c r="G779" t="s">
        <v>17</v>
      </c>
      <c r="I779" t="s">
        <v>941</v>
      </c>
      <c r="J779" t="str">
        <f>IF(ISBLANK(Table1[[#This Row],[PaidDate]]),"Unpaid",IF(Table1[[#This Row],[PaidDate]]&gt;Table1[[#This Row],[DueDate]],"Late",IF(Table1[[#This Row],[PaidDate]]&lt;Table1[[#This Row],[DueDate]],"Early","On Time")))</f>
        <v>Unpaid</v>
      </c>
      <c r="K779" t="str">
        <f ca="1">IF(AND(Table1[[#This Row],[Status]]&lt;&gt;"Paid",TODAY()&gt;Table1[[#This Row],[DueDate]]),"Overdue","OK")</f>
        <v>Overdue</v>
      </c>
    </row>
    <row r="780" spans="1:11" x14ac:dyDescent="0.3">
      <c r="A780" t="s">
        <v>1724</v>
      </c>
      <c r="B780" t="s">
        <v>946</v>
      </c>
      <c r="C780" s="1">
        <v>45608</v>
      </c>
      <c r="D780" s="1">
        <v>45638</v>
      </c>
      <c r="E780" s="2">
        <v>4777.6400000000003</v>
      </c>
      <c r="F780" t="s">
        <v>28</v>
      </c>
      <c r="G780" t="s">
        <v>12</v>
      </c>
      <c r="I780" t="s">
        <v>941</v>
      </c>
      <c r="J780" t="str">
        <f>IF(ISBLANK(Table1[[#This Row],[PaidDate]]),"Unpaid",IF(Table1[[#This Row],[PaidDate]]&gt;Table1[[#This Row],[DueDate]],"Late",IF(Table1[[#This Row],[PaidDate]]&lt;Table1[[#This Row],[DueDate]],"Early","On Time")))</f>
        <v>Unpaid</v>
      </c>
      <c r="K780" t="str">
        <f ca="1">IF(AND(Table1[[#This Row],[Status]]&lt;&gt;"Paid",TODAY()&gt;Table1[[#This Row],[DueDate]]),"Overdue","OK")</f>
        <v>Overdue</v>
      </c>
    </row>
    <row r="781" spans="1:11" x14ac:dyDescent="0.3">
      <c r="A781" t="s">
        <v>1725</v>
      </c>
      <c r="B781" t="s">
        <v>944</v>
      </c>
      <c r="C781" s="1">
        <v>45231</v>
      </c>
      <c r="D781" s="1">
        <v>45261</v>
      </c>
      <c r="E781" s="2">
        <v>791.99</v>
      </c>
      <c r="F781" t="s">
        <v>19</v>
      </c>
      <c r="G781" t="s">
        <v>951</v>
      </c>
      <c r="H781" s="1">
        <v>45261</v>
      </c>
      <c r="I781" t="s">
        <v>941</v>
      </c>
      <c r="J781" t="str">
        <f>IF(ISBLANK(Table1[[#This Row],[PaidDate]]),"Unpaid",IF(Table1[[#This Row],[PaidDate]]&gt;Table1[[#This Row],[DueDate]],"Late",IF(Table1[[#This Row],[PaidDate]]&lt;Table1[[#This Row],[DueDate]],"Early","On Time")))</f>
        <v>On Time</v>
      </c>
      <c r="K781" t="str">
        <f ca="1">IF(AND(Table1[[#This Row],[Status]]&lt;&gt;"Paid",TODAY()&gt;Table1[[#This Row],[DueDate]]),"Overdue","OK")</f>
        <v>OK</v>
      </c>
    </row>
    <row r="782" spans="1:11" x14ac:dyDescent="0.3">
      <c r="A782" t="s">
        <v>1726</v>
      </c>
      <c r="B782" t="s">
        <v>946</v>
      </c>
      <c r="C782" s="1">
        <v>45533</v>
      </c>
      <c r="D782" s="1">
        <v>45563</v>
      </c>
      <c r="E782" s="2">
        <v>4963.01</v>
      </c>
      <c r="F782" t="s">
        <v>11</v>
      </c>
      <c r="G782" t="s">
        <v>12</v>
      </c>
      <c r="I782" t="s">
        <v>941</v>
      </c>
      <c r="J782" t="str">
        <f>IF(ISBLANK(Table1[[#This Row],[PaidDate]]),"Unpaid",IF(Table1[[#This Row],[PaidDate]]&gt;Table1[[#This Row],[DueDate]],"Late",IF(Table1[[#This Row],[PaidDate]]&lt;Table1[[#This Row],[DueDate]],"Early","On Time")))</f>
        <v>Unpaid</v>
      </c>
      <c r="K782" t="str">
        <f ca="1">IF(AND(Table1[[#This Row],[Status]]&lt;&gt;"Paid",TODAY()&gt;Table1[[#This Row],[DueDate]]),"Overdue","OK")</f>
        <v>Overdue</v>
      </c>
    </row>
    <row r="783" spans="1:11" x14ac:dyDescent="0.3">
      <c r="A783" t="s">
        <v>1727</v>
      </c>
      <c r="B783" t="s">
        <v>940</v>
      </c>
      <c r="C783" s="1">
        <v>45126</v>
      </c>
      <c r="D783" s="1">
        <v>45156</v>
      </c>
      <c r="E783" s="2">
        <v>4539.28</v>
      </c>
      <c r="F783" t="s">
        <v>19</v>
      </c>
      <c r="G783" t="s">
        <v>951</v>
      </c>
      <c r="H783" s="1">
        <v>45156</v>
      </c>
      <c r="I783" t="s">
        <v>941</v>
      </c>
      <c r="J783" t="str">
        <f>IF(ISBLANK(Table1[[#This Row],[PaidDate]]),"Unpaid",IF(Table1[[#This Row],[PaidDate]]&gt;Table1[[#This Row],[DueDate]],"Late",IF(Table1[[#This Row],[PaidDate]]&lt;Table1[[#This Row],[DueDate]],"Early","On Time")))</f>
        <v>On Time</v>
      </c>
      <c r="K783" t="str">
        <f ca="1">IF(AND(Table1[[#This Row],[Status]]&lt;&gt;"Paid",TODAY()&gt;Table1[[#This Row],[DueDate]]),"Overdue","OK")</f>
        <v>OK</v>
      </c>
    </row>
    <row r="784" spans="1:11" x14ac:dyDescent="0.3">
      <c r="A784" t="s">
        <v>1728</v>
      </c>
      <c r="B784" t="s">
        <v>944</v>
      </c>
      <c r="C784" s="1">
        <v>45615</v>
      </c>
      <c r="D784" s="1">
        <v>45645</v>
      </c>
      <c r="E784" s="2">
        <v>3114.85</v>
      </c>
      <c r="F784" t="s">
        <v>16</v>
      </c>
      <c r="G784" t="s">
        <v>12</v>
      </c>
      <c r="I784" t="s">
        <v>941</v>
      </c>
      <c r="J784" t="str">
        <f>IF(ISBLANK(Table1[[#This Row],[PaidDate]]),"Unpaid",IF(Table1[[#This Row],[PaidDate]]&gt;Table1[[#This Row],[DueDate]],"Late",IF(Table1[[#This Row],[PaidDate]]&lt;Table1[[#This Row],[DueDate]],"Early","On Time")))</f>
        <v>Unpaid</v>
      </c>
      <c r="K784" t="str">
        <f ca="1">IF(AND(Table1[[#This Row],[Status]]&lt;&gt;"Paid",TODAY()&gt;Table1[[#This Row],[DueDate]]),"Overdue","OK")</f>
        <v>Overdue</v>
      </c>
    </row>
    <row r="785" spans="1:11" x14ac:dyDescent="0.3">
      <c r="A785" t="s">
        <v>1729</v>
      </c>
      <c r="B785" t="s">
        <v>962</v>
      </c>
      <c r="C785" s="1">
        <v>45768</v>
      </c>
      <c r="D785" s="1">
        <v>45798</v>
      </c>
      <c r="E785" s="2">
        <v>3340.58</v>
      </c>
      <c r="F785" t="s">
        <v>28</v>
      </c>
      <c r="G785" t="s">
        <v>951</v>
      </c>
      <c r="H785" s="1">
        <v>45798</v>
      </c>
      <c r="I785" t="s">
        <v>941</v>
      </c>
      <c r="J785" t="str">
        <f>IF(ISBLANK(Table1[[#This Row],[PaidDate]]),"Unpaid",IF(Table1[[#This Row],[PaidDate]]&gt;Table1[[#This Row],[DueDate]],"Late",IF(Table1[[#This Row],[PaidDate]]&lt;Table1[[#This Row],[DueDate]],"Early","On Time")))</f>
        <v>On Time</v>
      </c>
      <c r="K785" t="str">
        <f ca="1">IF(AND(Table1[[#This Row],[Status]]&lt;&gt;"Paid",TODAY()&gt;Table1[[#This Row],[DueDate]]),"Overdue","OK")</f>
        <v>OK</v>
      </c>
    </row>
    <row r="786" spans="1:11" x14ac:dyDescent="0.3">
      <c r="A786" t="s">
        <v>1730</v>
      </c>
      <c r="B786" t="s">
        <v>946</v>
      </c>
      <c r="C786" s="1">
        <v>45754</v>
      </c>
      <c r="D786" s="1">
        <v>45784</v>
      </c>
      <c r="E786" s="2">
        <v>4187.3</v>
      </c>
      <c r="F786" t="s">
        <v>28</v>
      </c>
      <c r="G786" t="s">
        <v>951</v>
      </c>
      <c r="H786" s="1">
        <v>45784</v>
      </c>
      <c r="I786" t="s">
        <v>941</v>
      </c>
      <c r="J786" t="str">
        <f>IF(ISBLANK(Table1[[#This Row],[PaidDate]]),"Unpaid",IF(Table1[[#This Row],[PaidDate]]&gt;Table1[[#This Row],[DueDate]],"Late",IF(Table1[[#This Row],[PaidDate]]&lt;Table1[[#This Row],[DueDate]],"Early","On Time")))</f>
        <v>On Time</v>
      </c>
      <c r="K786" t="str">
        <f ca="1">IF(AND(Table1[[#This Row],[Status]]&lt;&gt;"Paid",TODAY()&gt;Table1[[#This Row],[DueDate]]),"Overdue","OK")</f>
        <v>OK</v>
      </c>
    </row>
    <row r="787" spans="1:11" x14ac:dyDescent="0.3">
      <c r="A787" t="s">
        <v>1731</v>
      </c>
      <c r="B787" t="s">
        <v>944</v>
      </c>
      <c r="C787" s="1">
        <v>45249</v>
      </c>
      <c r="D787" s="1">
        <v>45279</v>
      </c>
      <c r="E787" s="2">
        <v>4020.64</v>
      </c>
      <c r="F787" t="s">
        <v>26</v>
      </c>
      <c r="G787" t="s">
        <v>951</v>
      </c>
      <c r="H787" s="1">
        <v>45279</v>
      </c>
      <c r="I787" t="s">
        <v>941</v>
      </c>
      <c r="J787" t="str">
        <f>IF(ISBLANK(Table1[[#This Row],[PaidDate]]),"Unpaid",IF(Table1[[#This Row],[PaidDate]]&gt;Table1[[#This Row],[DueDate]],"Late",IF(Table1[[#This Row],[PaidDate]]&lt;Table1[[#This Row],[DueDate]],"Early","On Time")))</f>
        <v>On Time</v>
      </c>
      <c r="K787" t="str">
        <f ca="1">IF(AND(Table1[[#This Row],[Status]]&lt;&gt;"Paid",TODAY()&gt;Table1[[#This Row],[DueDate]]),"Overdue","OK")</f>
        <v>OK</v>
      </c>
    </row>
    <row r="788" spans="1:11" x14ac:dyDescent="0.3">
      <c r="A788" t="s">
        <v>1732</v>
      </c>
      <c r="B788" t="s">
        <v>966</v>
      </c>
      <c r="C788" s="1">
        <v>45687</v>
      </c>
      <c r="D788" s="1">
        <v>45717</v>
      </c>
      <c r="E788" s="2">
        <v>755.89</v>
      </c>
      <c r="F788" t="s">
        <v>19</v>
      </c>
      <c r="G788" t="s">
        <v>12</v>
      </c>
      <c r="I788" t="s">
        <v>941</v>
      </c>
      <c r="J788" t="str">
        <f>IF(ISBLANK(Table1[[#This Row],[PaidDate]]),"Unpaid",IF(Table1[[#This Row],[PaidDate]]&gt;Table1[[#This Row],[DueDate]],"Late",IF(Table1[[#This Row],[PaidDate]]&lt;Table1[[#This Row],[DueDate]],"Early","On Time")))</f>
        <v>Unpaid</v>
      </c>
      <c r="K788" t="str">
        <f ca="1">IF(AND(Table1[[#This Row],[Status]]&lt;&gt;"Paid",TODAY()&gt;Table1[[#This Row],[DueDate]]),"Overdue","OK")</f>
        <v>Overdue</v>
      </c>
    </row>
    <row r="789" spans="1:11" x14ac:dyDescent="0.3">
      <c r="A789" t="s">
        <v>1733</v>
      </c>
      <c r="B789" t="s">
        <v>946</v>
      </c>
      <c r="C789" s="1">
        <v>45115</v>
      </c>
      <c r="D789" s="1">
        <v>45145</v>
      </c>
      <c r="E789" s="2">
        <v>1670.28</v>
      </c>
      <c r="F789" t="s">
        <v>26</v>
      </c>
      <c r="G789" t="s">
        <v>951</v>
      </c>
      <c r="H789" s="1">
        <v>45145</v>
      </c>
      <c r="I789" t="s">
        <v>941</v>
      </c>
      <c r="J789" t="str">
        <f>IF(ISBLANK(Table1[[#This Row],[PaidDate]]),"Unpaid",IF(Table1[[#This Row],[PaidDate]]&gt;Table1[[#This Row],[DueDate]],"Late",IF(Table1[[#This Row],[PaidDate]]&lt;Table1[[#This Row],[DueDate]],"Early","On Time")))</f>
        <v>On Time</v>
      </c>
      <c r="K789" t="str">
        <f ca="1">IF(AND(Table1[[#This Row],[Status]]&lt;&gt;"Paid",TODAY()&gt;Table1[[#This Row],[DueDate]]),"Overdue","OK")</f>
        <v>OK</v>
      </c>
    </row>
    <row r="790" spans="1:11" x14ac:dyDescent="0.3">
      <c r="A790" t="s">
        <v>1734</v>
      </c>
      <c r="B790" t="s">
        <v>940</v>
      </c>
      <c r="C790" s="1">
        <v>45551</v>
      </c>
      <c r="D790" s="1">
        <v>45581</v>
      </c>
      <c r="E790" s="2">
        <v>4064.87</v>
      </c>
      <c r="F790" t="s">
        <v>16</v>
      </c>
      <c r="G790" t="s">
        <v>12</v>
      </c>
      <c r="I790" t="s">
        <v>941</v>
      </c>
      <c r="J790" t="str">
        <f>IF(ISBLANK(Table1[[#This Row],[PaidDate]]),"Unpaid",IF(Table1[[#This Row],[PaidDate]]&gt;Table1[[#This Row],[DueDate]],"Late",IF(Table1[[#This Row],[PaidDate]]&lt;Table1[[#This Row],[DueDate]],"Early","On Time")))</f>
        <v>Unpaid</v>
      </c>
      <c r="K790" t="str">
        <f ca="1">IF(AND(Table1[[#This Row],[Status]]&lt;&gt;"Paid",TODAY()&gt;Table1[[#This Row],[DueDate]]),"Overdue","OK")</f>
        <v>Overdue</v>
      </c>
    </row>
    <row r="791" spans="1:11" x14ac:dyDescent="0.3">
      <c r="A791" t="s">
        <v>1735</v>
      </c>
      <c r="B791" t="s">
        <v>944</v>
      </c>
      <c r="C791" s="1">
        <v>44975</v>
      </c>
      <c r="D791" s="1">
        <v>45005</v>
      </c>
      <c r="E791" s="2">
        <v>4071.09</v>
      </c>
      <c r="F791" t="s">
        <v>11</v>
      </c>
      <c r="G791" t="s">
        <v>12</v>
      </c>
      <c r="I791" t="s">
        <v>941</v>
      </c>
      <c r="J791" t="str">
        <f>IF(ISBLANK(Table1[[#This Row],[PaidDate]]),"Unpaid",IF(Table1[[#This Row],[PaidDate]]&gt;Table1[[#This Row],[DueDate]],"Late",IF(Table1[[#This Row],[PaidDate]]&lt;Table1[[#This Row],[DueDate]],"Early","On Time")))</f>
        <v>Unpaid</v>
      </c>
      <c r="K791" t="str">
        <f ca="1">IF(AND(Table1[[#This Row],[Status]]&lt;&gt;"Paid",TODAY()&gt;Table1[[#This Row],[DueDate]]),"Overdue","OK")</f>
        <v>Overdue</v>
      </c>
    </row>
    <row r="792" spans="1:11" x14ac:dyDescent="0.3">
      <c r="A792" t="s">
        <v>1736</v>
      </c>
      <c r="B792" t="s">
        <v>940</v>
      </c>
      <c r="C792" s="1">
        <v>45682</v>
      </c>
      <c r="D792" s="1">
        <v>45712</v>
      </c>
      <c r="E792" s="2">
        <v>311.52</v>
      </c>
      <c r="F792" t="s">
        <v>19</v>
      </c>
      <c r="G792" t="s">
        <v>17</v>
      </c>
      <c r="I792" t="s">
        <v>941</v>
      </c>
      <c r="J792" t="str">
        <f>IF(ISBLANK(Table1[[#This Row],[PaidDate]]),"Unpaid",IF(Table1[[#This Row],[PaidDate]]&gt;Table1[[#This Row],[DueDate]],"Late",IF(Table1[[#This Row],[PaidDate]]&lt;Table1[[#This Row],[DueDate]],"Early","On Time")))</f>
        <v>Unpaid</v>
      </c>
      <c r="K792" t="str">
        <f ca="1">IF(AND(Table1[[#This Row],[Status]]&lt;&gt;"Paid",TODAY()&gt;Table1[[#This Row],[DueDate]]),"Overdue","OK")</f>
        <v>Overdue</v>
      </c>
    </row>
    <row r="793" spans="1:11" x14ac:dyDescent="0.3">
      <c r="A793" t="s">
        <v>1737</v>
      </c>
      <c r="B793" t="s">
        <v>944</v>
      </c>
      <c r="C793" s="1">
        <v>45467</v>
      </c>
      <c r="D793" s="1">
        <v>45497</v>
      </c>
      <c r="E793" s="2">
        <v>4351.8</v>
      </c>
      <c r="F793" t="s">
        <v>28</v>
      </c>
      <c r="G793" t="s">
        <v>951</v>
      </c>
      <c r="H793" s="1">
        <v>45497</v>
      </c>
      <c r="I793" t="s">
        <v>941</v>
      </c>
      <c r="J793" t="str">
        <f>IF(ISBLANK(Table1[[#This Row],[PaidDate]]),"Unpaid",IF(Table1[[#This Row],[PaidDate]]&gt;Table1[[#This Row],[DueDate]],"Late",IF(Table1[[#This Row],[PaidDate]]&lt;Table1[[#This Row],[DueDate]],"Early","On Time")))</f>
        <v>On Time</v>
      </c>
      <c r="K793" t="str">
        <f ca="1">IF(AND(Table1[[#This Row],[Status]]&lt;&gt;"Paid",TODAY()&gt;Table1[[#This Row],[DueDate]]),"Overdue","OK")</f>
        <v>OK</v>
      </c>
    </row>
    <row r="794" spans="1:11" x14ac:dyDescent="0.3">
      <c r="A794" t="s">
        <v>1738</v>
      </c>
      <c r="B794" t="s">
        <v>940</v>
      </c>
      <c r="C794" s="1">
        <v>45354</v>
      </c>
      <c r="D794" s="1">
        <v>45384</v>
      </c>
      <c r="E794" s="2">
        <v>3524.51</v>
      </c>
      <c r="F794" t="s">
        <v>19</v>
      </c>
      <c r="G794" t="s">
        <v>17</v>
      </c>
      <c r="I794" t="s">
        <v>941</v>
      </c>
      <c r="J794" t="str">
        <f>IF(ISBLANK(Table1[[#This Row],[PaidDate]]),"Unpaid",IF(Table1[[#This Row],[PaidDate]]&gt;Table1[[#This Row],[DueDate]],"Late",IF(Table1[[#This Row],[PaidDate]]&lt;Table1[[#This Row],[DueDate]],"Early","On Time")))</f>
        <v>Unpaid</v>
      </c>
      <c r="K794" t="str">
        <f ca="1">IF(AND(Table1[[#This Row],[Status]]&lt;&gt;"Paid",TODAY()&gt;Table1[[#This Row],[DueDate]]),"Overdue","OK")</f>
        <v>Overdue</v>
      </c>
    </row>
    <row r="795" spans="1:11" x14ac:dyDescent="0.3">
      <c r="A795" t="s">
        <v>1739</v>
      </c>
      <c r="B795" t="s">
        <v>940</v>
      </c>
      <c r="C795" s="1">
        <v>44978</v>
      </c>
      <c r="D795" s="1">
        <v>45008</v>
      </c>
      <c r="E795" s="2">
        <v>2999.23</v>
      </c>
      <c r="F795" t="s">
        <v>28</v>
      </c>
      <c r="G795" t="s">
        <v>951</v>
      </c>
      <c r="H795" s="1">
        <v>45008</v>
      </c>
      <c r="I795" t="s">
        <v>941</v>
      </c>
      <c r="J795" t="str">
        <f>IF(ISBLANK(Table1[[#This Row],[PaidDate]]),"Unpaid",IF(Table1[[#This Row],[PaidDate]]&gt;Table1[[#This Row],[DueDate]],"Late",IF(Table1[[#This Row],[PaidDate]]&lt;Table1[[#This Row],[DueDate]],"Early","On Time")))</f>
        <v>On Time</v>
      </c>
      <c r="K795" t="str">
        <f ca="1">IF(AND(Table1[[#This Row],[Status]]&lt;&gt;"Paid",TODAY()&gt;Table1[[#This Row],[DueDate]]),"Overdue","OK")</f>
        <v>OK</v>
      </c>
    </row>
    <row r="796" spans="1:11" x14ac:dyDescent="0.3">
      <c r="A796" t="s">
        <v>1740</v>
      </c>
      <c r="B796" t="s">
        <v>944</v>
      </c>
      <c r="C796" s="1">
        <v>45543</v>
      </c>
      <c r="D796" s="1">
        <v>45573</v>
      </c>
      <c r="E796" s="2">
        <v>754.06</v>
      </c>
      <c r="F796" t="s">
        <v>16</v>
      </c>
      <c r="G796" t="s">
        <v>12</v>
      </c>
      <c r="I796" t="s">
        <v>941</v>
      </c>
      <c r="J796" t="str">
        <f>IF(ISBLANK(Table1[[#This Row],[PaidDate]]),"Unpaid",IF(Table1[[#This Row],[PaidDate]]&gt;Table1[[#This Row],[DueDate]],"Late",IF(Table1[[#This Row],[PaidDate]]&lt;Table1[[#This Row],[DueDate]],"Early","On Time")))</f>
        <v>Unpaid</v>
      </c>
      <c r="K796" t="str">
        <f ca="1">IF(AND(Table1[[#This Row],[Status]]&lt;&gt;"Paid",TODAY()&gt;Table1[[#This Row],[DueDate]]),"Overdue","OK")</f>
        <v>Overdue</v>
      </c>
    </row>
    <row r="797" spans="1:11" x14ac:dyDescent="0.3">
      <c r="A797" t="s">
        <v>1741</v>
      </c>
      <c r="B797" t="s">
        <v>944</v>
      </c>
      <c r="C797" s="1">
        <v>44961</v>
      </c>
      <c r="D797" s="1">
        <v>44991</v>
      </c>
      <c r="E797" s="2">
        <v>4250.7</v>
      </c>
      <c r="F797" t="s">
        <v>28</v>
      </c>
      <c r="G797" t="s">
        <v>951</v>
      </c>
      <c r="H797" s="1">
        <v>44991</v>
      </c>
      <c r="I797" t="s">
        <v>941</v>
      </c>
      <c r="J797" t="str">
        <f>IF(ISBLANK(Table1[[#This Row],[PaidDate]]),"Unpaid",IF(Table1[[#This Row],[PaidDate]]&gt;Table1[[#This Row],[DueDate]],"Late",IF(Table1[[#This Row],[PaidDate]]&lt;Table1[[#This Row],[DueDate]],"Early","On Time")))</f>
        <v>On Time</v>
      </c>
      <c r="K797" t="str">
        <f ca="1">IF(AND(Table1[[#This Row],[Status]]&lt;&gt;"Paid",TODAY()&gt;Table1[[#This Row],[DueDate]]),"Overdue","OK")</f>
        <v>OK</v>
      </c>
    </row>
    <row r="798" spans="1:11" x14ac:dyDescent="0.3">
      <c r="A798" t="s">
        <v>1742</v>
      </c>
      <c r="B798" t="s">
        <v>940</v>
      </c>
      <c r="C798" s="1">
        <v>45384</v>
      </c>
      <c r="D798" s="1">
        <v>45414</v>
      </c>
      <c r="E798" s="2">
        <v>613.6</v>
      </c>
      <c r="F798" t="s">
        <v>19</v>
      </c>
      <c r="G798" t="s">
        <v>17</v>
      </c>
      <c r="I798" t="s">
        <v>941</v>
      </c>
      <c r="J798" t="str">
        <f>IF(ISBLANK(Table1[[#This Row],[PaidDate]]),"Unpaid",IF(Table1[[#This Row],[PaidDate]]&gt;Table1[[#This Row],[DueDate]],"Late",IF(Table1[[#This Row],[PaidDate]]&lt;Table1[[#This Row],[DueDate]],"Early","On Time")))</f>
        <v>Unpaid</v>
      </c>
      <c r="K798" t="str">
        <f ca="1">IF(AND(Table1[[#This Row],[Status]]&lt;&gt;"Paid",TODAY()&gt;Table1[[#This Row],[DueDate]]),"Overdue","OK")</f>
        <v>Overdue</v>
      </c>
    </row>
    <row r="799" spans="1:11" x14ac:dyDescent="0.3">
      <c r="A799" t="s">
        <v>1743</v>
      </c>
      <c r="B799" t="s">
        <v>962</v>
      </c>
      <c r="C799" s="1">
        <v>45732</v>
      </c>
      <c r="D799" s="1">
        <v>45762</v>
      </c>
      <c r="E799" s="2">
        <v>1012.88</v>
      </c>
      <c r="F799" t="s">
        <v>16</v>
      </c>
      <c r="G799" t="s">
        <v>12</v>
      </c>
      <c r="I799" t="s">
        <v>941</v>
      </c>
      <c r="J799" t="str">
        <f>IF(ISBLANK(Table1[[#This Row],[PaidDate]]),"Unpaid",IF(Table1[[#This Row],[PaidDate]]&gt;Table1[[#This Row],[DueDate]],"Late",IF(Table1[[#This Row],[PaidDate]]&lt;Table1[[#This Row],[DueDate]],"Early","On Time")))</f>
        <v>Unpaid</v>
      </c>
      <c r="K799" t="str">
        <f ca="1">IF(AND(Table1[[#This Row],[Status]]&lt;&gt;"Paid",TODAY()&gt;Table1[[#This Row],[DueDate]]),"Overdue","OK")</f>
        <v>Overdue</v>
      </c>
    </row>
    <row r="800" spans="1:11" x14ac:dyDescent="0.3">
      <c r="A800" t="s">
        <v>1744</v>
      </c>
      <c r="B800" t="s">
        <v>946</v>
      </c>
      <c r="C800" s="1">
        <v>45827</v>
      </c>
      <c r="D800" s="1">
        <v>45857</v>
      </c>
      <c r="E800" s="2">
        <v>290.27</v>
      </c>
      <c r="F800" t="s">
        <v>19</v>
      </c>
      <c r="G800" t="s">
        <v>12</v>
      </c>
      <c r="I800" t="s">
        <v>941</v>
      </c>
      <c r="J800" t="str">
        <f>IF(ISBLANK(Table1[[#This Row],[PaidDate]]),"Unpaid",IF(Table1[[#This Row],[PaidDate]]&gt;Table1[[#This Row],[DueDate]],"Late",IF(Table1[[#This Row],[PaidDate]]&lt;Table1[[#This Row],[DueDate]],"Early","On Time")))</f>
        <v>Unpaid</v>
      </c>
      <c r="K800" t="str">
        <f ca="1">IF(AND(Table1[[#This Row],[Status]]&lt;&gt;"Paid",TODAY()&gt;Table1[[#This Row],[DueDate]]),"Overdue","OK")</f>
        <v>Overdue</v>
      </c>
    </row>
    <row r="801" spans="1:11" x14ac:dyDescent="0.3">
      <c r="A801" t="s">
        <v>1745</v>
      </c>
      <c r="B801" t="s">
        <v>962</v>
      </c>
      <c r="C801" s="1">
        <v>45648</v>
      </c>
      <c r="D801" s="1">
        <v>45678</v>
      </c>
      <c r="E801" s="2">
        <v>4608.55</v>
      </c>
      <c r="F801" t="s">
        <v>28</v>
      </c>
      <c r="G801" t="s">
        <v>12</v>
      </c>
      <c r="I801" t="s">
        <v>941</v>
      </c>
      <c r="J801" t="str">
        <f>IF(ISBLANK(Table1[[#This Row],[PaidDate]]),"",Table1[[#This Row],[PaidDate]]-Table1[[#This Row],[DueDate]])</f>
        <v/>
      </c>
      <c r="K801" t="str">
        <f ca="1">IF(AND(Table1[[#This Row],[Status]]&lt;&gt;"Paid",TODAY()&gt;Table1[[#This Row],[DueDate]]),"Overdue","OK")</f>
        <v>Overdue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51172-6B55-467E-95C7-AAB2B05BAD76}">
  <dimension ref="A1:J901"/>
  <sheetViews>
    <sheetView topLeftCell="A2" workbookViewId="0">
      <selection activeCell="D27" sqref="D27"/>
    </sheetView>
  </sheetViews>
  <sheetFormatPr defaultRowHeight="14.4" x14ac:dyDescent="0.3"/>
  <cols>
    <col min="1" max="1" width="8.21875" bestFit="1" customWidth="1"/>
    <col min="2" max="2" width="11" customWidth="1"/>
    <col min="3" max="3" width="17.77734375" customWidth="1"/>
    <col min="4" max="4" width="14.109375" customWidth="1"/>
    <col min="5" max="5" width="13.33203125" style="2" customWidth="1"/>
    <col min="6" max="6" width="10.44140625" customWidth="1"/>
    <col min="7" max="7" width="8.33203125" bestFit="1" customWidth="1"/>
    <col min="8" max="8" width="14.33203125" customWidth="1"/>
    <col min="9" max="9" width="8" customWidth="1"/>
  </cols>
  <sheetData>
    <row r="1" spans="1:10" x14ac:dyDescent="0.3">
      <c r="A1" s="3" t="s">
        <v>0</v>
      </c>
      <c r="B1" s="3" t="s">
        <v>1</v>
      </c>
      <c r="C1" s="3" t="s">
        <v>2</v>
      </c>
      <c r="D1" s="3" t="s">
        <v>3</v>
      </c>
      <c r="E1" s="4" t="s">
        <v>4</v>
      </c>
      <c r="F1" s="3" t="s">
        <v>5</v>
      </c>
      <c r="G1" s="3" t="s">
        <v>6</v>
      </c>
      <c r="H1" s="3" t="s">
        <v>7</v>
      </c>
      <c r="I1" s="3" t="s">
        <v>8</v>
      </c>
      <c r="J1" s="3" t="s">
        <v>1746</v>
      </c>
    </row>
    <row r="2" spans="1:10" x14ac:dyDescent="0.3">
      <c r="A2" t="s">
        <v>9</v>
      </c>
      <c r="B2" t="s">
        <v>10</v>
      </c>
      <c r="C2" s="1">
        <v>45157</v>
      </c>
      <c r="D2" s="1">
        <v>45202</v>
      </c>
      <c r="E2" s="2">
        <v>6160.48</v>
      </c>
      <c r="F2" t="s">
        <v>11</v>
      </c>
      <c r="G2" t="s">
        <v>12</v>
      </c>
      <c r="I2" t="s">
        <v>13</v>
      </c>
      <c r="J2" t="str">
        <f>IF(ISBLANK(Table2[[#This Row],[ReceivedDate]]),"Unpaid",IF(Table2[[#This Row],[ReceivedDate]]&gt;Table2[[#This Row],[DueDate]],"Late",IF(Table2[[#This Row],[ReceivedDate]]&lt;Table2[[#This Row],[DueDate]],"Early","On Time")))</f>
        <v>Unpaid</v>
      </c>
    </row>
    <row r="3" spans="1:10" x14ac:dyDescent="0.3">
      <c r="A3" t="s">
        <v>14</v>
      </c>
      <c r="B3" t="s">
        <v>15</v>
      </c>
      <c r="C3" s="1">
        <v>45748</v>
      </c>
      <c r="D3" s="1">
        <v>45793</v>
      </c>
      <c r="E3" s="2">
        <v>995.04</v>
      </c>
      <c r="F3" t="s">
        <v>16</v>
      </c>
      <c r="G3" t="s">
        <v>17</v>
      </c>
      <c r="I3" t="s">
        <v>13</v>
      </c>
      <c r="J3" t="str">
        <f>IF(ISBLANK(Table2[[#This Row],[ReceivedDate]]),"Unpaid",IF(Table2[[#This Row],[ReceivedDate]]&gt;Table2[[#This Row],[DueDate]],"Late",IF(Table2[[#This Row],[ReceivedDate]]&lt;Table2[[#This Row],[DueDate]],"Early","On Time")))</f>
        <v>Unpaid</v>
      </c>
    </row>
    <row r="4" spans="1:10" x14ac:dyDescent="0.3">
      <c r="A4" t="s">
        <v>18</v>
      </c>
      <c r="B4" t="s">
        <v>10</v>
      </c>
      <c r="C4" s="1">
        <v>45651</v>
      </c>
      <c r="D4" s="1">
        <v>45696</v>
      </c>
      <c r="E4" s="2">
        <v>3936.29</v>
      </c>
      <c r="F4" t="s">
        <v>19</v>
      </c>
      <c r="G4" t="s">
        <v>17</v>
      </c>
      <c r="I4" t="s">
        <v>13</v>
      </c>
      <c r="J4" t="str">
        <f>IF(ISBLANK(Table2[[#This Row],[ReceivedDate]]),"Unpaid",IF(Table2[[#This Row],[ReceivedDate]]&gt;Table2[[#This Row],[DueDate]],"Late",IF(Table2[[#This Row],[ReceivedDate]]&lt;Table2[[#This Row],[DueDate]],"Early","On Time")))</f>
        <v>Unpaid</v>
      </c>
    </row>
    <row r="5" spans="1:10" x14ac:dyDescent="0.3">
      <c r="A5" t="s">
        <v>20</v>
      </c>
      <c r="B5" t="s">
        <v>15</v>
      </c>
      <c r="C5" s="1">
        <v>45054</v>
      </c>
      <c r="D5" s="1">
        <v>45099</v>
      </c>
      <c r="E5" s="2">
        <v>3596.35</v>
      </c>
      <c r="F5" t="s">
        <v>19</v>
      </c>
      <c r="G5" t="s">
        <v>21</v>
      </c>
      <c r="H5" s="1">
        <v>45099</v>
      </c>
      <c r="I5" t="s">
        <v>13</v>
      </c>
      <c r="J5" t="str">
        <f>IF(ISBLANK(Table2[[#This Row],[ReceivedDate]]),"Unpaid",IF(Table2[[#This Row],[ReceivedDate]]&gt;Table2[[#This Row],[DueDate]],"Late",IF(Table2[[#This Row],[ReceivedDate]]&lt;Table2[[#This Row],[DueDate]],"Early","On Time")))</f>
        <v>On Time</v>
      </c>
    </row>
    <row r="6" spans="1:10" x14ac:dyDescent="0.3">
      <c r="A6" t="s">
        <v>22</v>
      </c>
      <c r="B6" t="s">
        <v>23</v>
      </c>
      <c r="C6" s="1">
        <v>45511</v>
      </c>
      <c r="D6" s="1">
        <v>45556</v>
      </c>
      <c r="E6" s="2">
        <v>6577.57</v>
      </c>
      <c r="F6" t="s">
        <v>19</v>
      </c>
      <c r="G6" t="s">
        <v>21</v>
      </c>
      <c r="H6" s="1">
        <v>45556</v>
      </c>
      <c r="I6" t="s">
        <v>13</v>
      </c>
      <c r="J6" t="str">
        <f>IF(ISBLANK(Table2[[#This Row],[ReceivedDate]]),"Unpaid",IF(Table2[[#This Row],[ReceivedDate]]&gt;Table2[[#This Row],[DueDate]],"Late",IF(Table2[[#This Row],[ReceivedDate]]&lt;Table2[[#This Row],[DueDate]],"Early","On Time")))</f>
        <v>On Time</v>
      </c>
    </row>
    <row r="7" spans="1:10" x14ac:dyDescent="0.3">
      <c r="A7" t="s">
        <v>24</v>
      </c>
      <c r="B7" t="s">
        <v>25</v>
      </c>
      <c r="C7" s="1">
        <v>45075</v>
      </c>
      <c r="D7" s="1">
        <v>45120</v>
      </c>
      <c r="E7" s="2">
        <v>6985.23</v>
      </c>
      <c r="F7" t="s">
        <v>26</v>
      </c>
      <c r="G7" t="s">
        <v>17</v>
      </c>
      <c r="I7" t="s">
        <v>13</v>
      </c>
      <c r="J7" t="str">
        <f>IF(ISBLANK(Table2[[#This Row],[ReceivedDate]]),"Unpaid",IF(Table2[[#This Row],[ReceivedDate]]&gt;Table2[[#This Row],[DueDate]],"Late",IF(Table2[[#This Row],[ReceivedDate]]&lt;Table2[[#This Row],[DueDate]],"Early","On Time")))</f>
        <v>Unpaid</v>
      </c>
    </row>
    <row r="8" spans="1:10" x14ac:dyDescent="0.3">
      <c r="A8" t="s">
        <v>27</v>
      </c>
      <c r="B8" t="s">
        <v>23</v>
      </c>
      <c r="C8" s="1">
        <v>45221</v>
      </c>
      <c r="D8" s="1">
        <v>45266</v>
      </c>
      <c r="E8" s="2">
        <v>6637.46</v>
      </c>
      <c r="F8" t="s">
        <v>28</v>
      </c>
      <c r="G8" t="s">
        <v>21</v>
      </c>
      <c r="H8" s="1">
        <v>45266</v>
      </c>
      <c r="I8" t="s">
        <v>13</v>
      </c>
      <c r="J8" t="str">
        <f>IF(ISBLANK(Table2[[#This Row],[ReceivedDate]]),"Unpaid",IF(Table2[[#This Row],[ReceivedDate]]&gt;Table2[[#This Row],[DueDate]],"Late",IF(Table2[[#This Row],[ReceivedDate]]&lt;Table2[[#This Row],[DueDate]],"Early","On Time")))</f>
        <v>On Time</v>
      </c>
    </row>
    <row r="9" spans="1:10" x14ac:dyDescent="0.3">
      <c r="A9" t="s">
        <v>29</v>
      </c>
      <c r="B9" t="s">
        <v>30</v>
      </c>
      <c r="C9" s="1">
        <v>45233</v>
      </c>
      <c r="D9" s="1">
        <v>45278</v>
      </c>
      <c r="E9" s="2">
        <v>4099.3</v>
      </c>
      <c r="F9" t="s">
        <v>11</v>
      </c>
      <c r="G9" t="s">
        <v>12</v>
      </c>
      <c r="I9" t="s">
        <v>13</v>
      </c>
      <c r="J9" t="str">
        <f>IF(ISBLANK(Table2[[#This Row],[ReceivedDate]]),"Unpaid",IF(Table2[[#This Row],[ReceivedDate]]&gt;Table2[[#This Row],[DueDate]],"Late",IF(Table2[[#This Row],[ReceivedDate]]&lt;Table2[[#This Row],[DueDate]],"Early","On Time")))</f>
        <v>Unpaid</v>
      </c>
    </row>
    <row r="10" spans="1:10" x14ac:dyDescent="0.3">
      <c r="A10" t="s">
        <v>31</v>
      </c>
      <c r="B10" t="s">
        <v>30</v>
      </c>
      <c r="C10" s="1">
        <v>45662</v>
      </c>
      <c r="D10" s="1">
        <v>45707</v>
      </c>
      <c r="E10" s="2">
        <v>3578.15</v>
      </c>
      <c r="F10" t="s">
        <v>19</v>
      </c>
      <c r="G10" t="s">
        <v>21</v>
      </c>
      <c r="H10" s="1">
        <v>45707</v>
      </c>
      <c r="I10" t="s">
        <v>13</v>
      </c>
      <c r="J10" t="str">
        <f>IF(ISBLANK(Table2[[#This Row],[ReceivedDate]]),"Unpaid",IF(Table2[[#This Row],[ReceivedDate]]&gt;Table2[[#This Row],[DueDate]],"Late",IF(Table2[[#This Row],[ReceivedDate]]&lt;Table2[[#This Row],[DueDate]],"Early","On Time")))</f>
        <v>On Time</v>
      </c>
    </row>
    <row r="11" spans="1:10" x14ac:dyDescent="0.3">
      <c r="A11" t="s">
        <v>32</v>
      </c>
      <c r="B11" t="s">
        <v>30</v>
      </c>
      <c r="C11" s="1">
        <v>45271</v>
      </c>
      <c r="D11" s="1">
        <v>45316</v>
      </c>
      <c r="E11" s="2">
        <v>2670.06</v>
      </c>
      <c r="F11" t="s">
        <v>16</v>
      </c>
      <c r="G11" t="s">
        <v>12</v>
      </c>
      <c r="I11" t="s">
        <v>13</v>
      </c>
      <c r="J11" t="str">
        <f>IF(ISBLANK(Table2[[#This Row],[ReceivedDate]]),"Unpaid",IF(Table2[[#This Row],[ReceivedDate]]&gt;Table2[[#This Row],[DueDate]],"Late",IF(Table2[[#This Row],[ReceivedDate]]&lt;Table2[[#This Row],[DueDate]],"Early","On Time")))</f>
        <v>Unpaid</v>
      </c>
    </row>
    <row r="12" spans="1:10" x14ac:dyDescent="0.3">
      <c r="A12" t="s">
        <v>33</v>
      </c>
      <c r="B12" t="s">
        <v>23</v>
      </c>
      <c r="C12" s="1">
        <v>45163</v>
      </c>
      <c r="D12" s="1">
        <v>45208</v>
      </c>
      <c r="E12" s="2">
        <v>3602.98</v>
      </c>
      <c r="F12" t="s">
        <v>19</v>
      </c>
      <c r="G12" t="s">
        <v>17</v>
      </c>
      <c r="I12" t="s">
        <v>13</v>
      </c>
      <c r="J12" t="str">
        <f>IF(ISBLANK(Table2[[#This Row],[ReceivedDate]]),"Unpaid",IF(Table2[[#This Row],[ReceivedDate]]&gt;Table2[[#This Row],[DueDate]],"Late",IF(Table2[[#This Row],[ReceivedDate]]&lt;Table2[[#This Row],[DueDate]],"Early","On Time")))</f>
        <v>Unpaid</v>
      </c>
    </row>
    <row r="13" spans="1:10" x14ac:dyDescent="0.3">
      <c r="A13" t="s">
        <v>34</v>
      </c>
      <c r="B13" t="s">
        <v>15</v>
      </c>
      <c r="C13" s="1">
        <v>45631</v>
      </c>
      <c r="D13" s="1">
        <v>45676</v>
      </c>
      <c r="E13" s="2">
        <v>1107.56</v>
      </c>
      <c r="F13" t="s">
        <v>16</v>
      </c>
      <c r="G13" t="s">
        <v>12</v>
      </c>
      <c r="I13" t="s">
        <v>13</v>
      </c>
      <c r="J13" t="str">
        <f>IF(ISBLANK(Table2[[#This Row],[ReceivedDate]]),"Unpaid",IF(Table2[[#This Row],[ReceivedDate]]&gt;Table2[[#This Row],[DueDate]],"Late",IF(Table2[[#This Row],[ReceivedDate]]&lt;Table2[[#This Row],[DueDate]],"Early","On Time")))</f>
        <v>Unpaid</v>
      </c>
    </row>
    <row r="14" spans="1:10" x14ac:dyDescent="0.3">
      <c r="A14" t="s">
        <v>35</v>
      </c>
      <c r="B14" t="s">
        <v>25</v>
      </c>
      <c r="C14" s="1">
        <v>45466</v>
      </c>
      <c r="D14" s="1">
        <v>45511</v>
      </c>
      <c r="E14" s="2">
        <v>4604.67</v>
      </c>
      <c r="F14" t="s">
        <v>26</v>
      </c>
      <c r="G14" t="s">
        <v>21</v>
      </c>
      <c r="H14" s="1">
        <v>45511</v>
      </c>
      <c r="I14" t="s">
        <v>13</v>
      </c>
      <c r="J14" t="str">
        <f>IF(ISBLANK(Table2[[#This Row],[ReceivedDate]]),"Unpaid",IF(Table2[[#This Row],[ReceivedDate]]&gt;Table2[[#This Row],[DueDate]],"Late",IF(Table2[[#This Row],[ReceivedDate]]&lt;Table2[[#This Row],[DueDate]],"Early","On Time")))</f>
        <v>On Time</v>
      </c>
    </row>
    <row r="15" spans="1:10" x14ac:dyDescent="0.3">
      <c r="A15" t="s">
        <v>36</v>
      </c>
      <c r="B15" t="s">
        <v>23</v>
      </c>
      <c r="C15" s="1">
        <v>45720</v>
      </c>
      <c r="D15" s="1">
        <v>45765</v>
      </c>
      <c r="E15" s="2">
        <v>1209.22</v>
      </c>
      <c r="F15" t="s">
        <v>16</v>
      </c>
      <c r="G15" t="s">
        <v>12</v>
      </c>
      <c r="I15" t="s">
        <v>13</v>
      </c>
      <c r="J15" t="str">
        <f>IF(ISBLANK(Table2[[#This Row],[ReceivedDate]]),"Unpaid",IF(Table2[[#This Row],[ReceivedDate]]&gt;Table2[[#This Row],[DueDate]],"Late",IF(Table2[[#This Row],[ReceivedDate]]&lt;Table2[[#This Row],[DueDate]],"Early","On Time")))</f>
        <v>Unpaid</v>
      </c>
    </row>
    <row r="16" spans="1:10" x14ac:dyDescent="0.3">
      <c r="A16" t="s">
        <v>37</v>
      </c>
      <c r="B16" t="s">
        <v>15</v>
      </c>
      <c r="C16" s="1">
        <v>45045</v>
      </c>
      <c r="D16" s="1">
        <v>45090</v>
      </c>
      <c r="E16" s="2">
        <v>1688.61</v>
      </c>
      <c r="F16" t="s">
        <v>19</v>
      </c>
      <c r="G16" t="s">
        <v>12</v>
      </c>
      <c r="I16" t="s">
        <v>13</v>
      </c>
      <c r="J16" t="str">
        <f>IF(ISBLANK(Table2[[#This Row],[ReceivedDate]]),"Unpaid",IF(Table2[[#This Row],[ReceivedDate]]&gt;Table2[[#This Row],[DueDate]],"Late",IF(Table2[[#This Row],[ReceivedDate]]&lt;Table2[[#This Row],[DueDate]],"Early","On Time")))</f>
        <v>Unpaid</v>
      </c>
    </row>
    <row r="17" spans="1:10" x14ac:dyDescent="0.3">
      <c r="A17" t="s">
        <v>38</v>
      </c>
      <c r="B17" t="s">
        <v>23</v>
      </c>
      <c r="C17" s="1">
        <v>45776</v>
      </c>
      <c r="D17" s="1">
        <v>45821</v>
      </c>
      <c r="E17" s="2">
        <v>3982.02</v>
      </c>
      <c r="F17" t="s">
        <v>16</v>
      </c>
      <c r="G17" t="s">
        <v>21</v>
      </c>
      <c r="H17" s="1">
        <v>45821</v>
      </c>
      <c r="I17" t="s">
        <v>13</v>
      </c>
      <c r="J17" t="str">
        <f>IF(ISBLANK(Table2[[#This Row],[ReceivedDate]]),"Unpaid",IF(Table2[[#This Row],[ReceivedDate]]&gt;Table2[[#This Row],[DueDate]],"Late",IF(Table2[[#This Row],[ReceivedDate]]&lt;Table2[[#This Row],[DueDate]],"Early","On Time")))</f>
        <v>On Time</v>
      </c>
    </row>
    <row r="18" spans="1:10" x14ac:dyDescent="0.3">
      <c r="A18" t="s">
        <v>39</v>
      </c>
      <c r="B18" t="s">
        <v>25</v>
      </c>
      <c r="C18" s="1">
        <v>45793</v>
      </c>
      <c r="D18" s="1">
        <v>45838</v>
      </c>
      <c r="E18" s="2">
        <v>4357.75</v>
      </c>
      <c r="F18" t="s">
        <v>16</v>
      </c>
      <c r="G18" t="s">
        <v>17</v>
      </c>
      <c r="I18" t="s">
        <v>13</v>
      </c>
      <c r="J18" t="str">
        <f>IF(ISBLANK(Table2[[#This Row],[ReceivedDate]]),"Unpaid",IF(Table2[[#This Row],[ReceivedDate]]&gt;Table2[[#This Row],[DueDate]],"Late",IF(Table2[[#This Row],[ReceivedDate]]&lt;Table2[[#This Row],[DueDate]],"Early","On Time")))</f>
        <v>Unpaid</v>
      </c>
    </row>
    <row r="19" spans="1:10" x14ac:dyDescent="0.3">
      <c r="A19" t="s">
        <v>40</v>
      </c>
      <c r="B19" t="s">
        <v>10</v>
      </c>
      <c r="C19" s="1">
        <v>45320</v>
      </c>
      <c r="D19" s="1">
        <v>45365</v>
      </c>
      <c r="E19" s="2">
        <v>4297.67</v>
      </c>
      <c r="F19" t="s">
        <v>16</v>
      </c>
      <c r="G19" t="s">
        <v>21</v>
      </c>
      <c r="H19" s="1">
        <v>45365</v>
      </c>
      <c r="I19" t="s">
        <v>13</v>
      </c>
      <c r="J19" t="str">
        <f>IF(ISBLANK(Table2[[#This Row],[ReceivedDate]]),"Unpaid",IF(Table2[[#This Row],[ReceivedDate]]&gt;Table2[[#This Row],[DueDate]],"Late",IF(Table2[[#This Row],[ReceivedDate]]&lt;Table2[[#This Row],[DueDate]],"Early","On Time")))</f>
        <v>On Time</v>
      </c>
    </row>
    <row r="20" spans="1:10" x14ac:dyDescent="0.3">
      <c r="A20" t="s">
        <v>41</v>
      </c>
      <c r="B20" t="s">
        <v>23</v>
      </c>
      <c r="C20" s="1">
        <v>45391</v>
      </c>
      <c r="D20" s="1">
        <v>45436</v>
      </c>
      <c r="E20" s="2">
        <v>3074.66</v>
      </c>
      <c r="F20" t="s">
        <v>11</v>
      </c>
      <c r="G20" t="s">
        <v>17</v>
      </c>
      <c r="I20" t="s">
        <v>13</v>
      </c>
      <c r="J20" t="str">
        <f>IF(ISBLANK(Table2[[#This Row],[ReceivedDate]]),"Unpaid",IF(Table2[[#This Row],[ReceivedDate]]&gt;Table2[[#This Row],[DueDate]],"Late",IF(Table2[[#This Row],[ReceivedDate]]&lt;Table2[[#This Row],[DueDate]],"Early","On Time")))</f>
        <v>Unpaid</v>
      </c>
    </row>
    <row r="21" spans="1:10" x14ac:dyDescent="0.3">
      <c r="A21" t="s">
        <v>42</v>
      </c>
      <c r="B21" t="s">
        <v>25</v>
      </c>
      <c r="C21" s="1">
        <v>45420</v>
      </c>
      <c r="D21" s="1">
        <v>45465</v>
      </c>
      <c r="E21" s="2">
        <v>7987.42</v>
      </c>
      <c r="F21" t="s">
        <v>11</v>
      </c>
      <c r="G21" t="s">
        <v>12</v>
      </c>
      <c r="I21" t="s">
        <v>13</v>
      </c>
      <c r="J21" t="str">
        <f>IF(ISBLANK(Table2[[#This Row],[ReceivedDate]]),"Unpaid",IF(Table2[[#This Row],[ReceivedDate]]&gt;Table2[[#This Row],[DueDate]],"Late",IF(Table2[[#This Row],[ReceivedDate]]&lt;Table2[[#This Row],[DueDate]],"Early","On Time")))</f>
        <v>Unpaid</v>
      </c>
    </row>
    <row r="22" spans="1:10" x14ac:dyDescent="0.3">
      <c r="A22" t="s">
        <v>43</v>
      </c>
      <c r="B22" t="s">
        <v>15</v>
      </c>
      <c r="C22" s="1">
        <v>45516</v>
      </c>
      <c r="D22" s="1">
        <v>45561</v>
      </c>
      <c r="E22" s="2">
        <v>1932.36</v>
      </c>
      <c r="F22" t="s">
        <v>28</v>
      </c>
      <c r="G22" t="s">
        <v>21</v>
      </c>
      <c r="H22" s="1">
        <v>45561</v>
      </c>
      <c r="I22" t="s">
        <v>13</v>
      </c>
      <c r="J22" t="str">
        <f>IF(ISBLANK(Table2[[#This Row],[ReceivedDate]]),"Unpaid",IF(Table2[[#This Row],[ReceivedDate]]&gt;Table2[[#This Row],[DueDate]],"Late",IF(Table2[[#This Row],[ReceivedDate]]&lt;Table2[[#This Row],[DueDate]],"Early","On Time")))</f>
        <v>On Time</v>
      </c>
    </row>
    <row r="23" spans="1:10" x14ac:dyDescent="0.3">
      <c r="A23" t="s">
        <v>44</v>
      </c>
      <c r="B23" t="s">
        <v>23</v>
      </c>
      <c r="C23" s="1">
        <v>45481</v>
      </c>
      <c r="D23" s="1">
        <v>45526</v>
      </c>
      <c r="E23" s="2">
        <v>5384.07</v>
      </c>
      <c r="F23" t="s">
        <v>16</v>
      </c>
      <c r="G23" t="s">
        <v>17</v>
      </c>
      <c r="I23" t="s">
        <v>13</v>
      </c>
      <c r="J23" t="str">
        <f>IF(ISBLANK(Table2[[#This Row],[ReceivedDate]]),"Unpaid",IF(Table2[[#This Row],[ReceivedDate]]&gt;Table2[[#This Row],[DueDate]],"Late",IF(Table2[[#This Row],[ReceivedDate]]&lt;Table2[[#This Row],[DueDate]],"Early","On Time")))</f>
        <v>Unpaid</v>
      </c>
    </row>
    <row r="24" spans="1:10" x14ac:dyDescent="0.3">
      <c r="A24" t="s">
        <v>45</v>
      </c>
      <c r="B24" t="s">
        <v>10</v>
      </c>
      <c r="C24" s="1">
        <v>45121</v>
      </c>
      <c r="D24" s="1">
        <v>45166</v>
      </c>
      <c r="E24" s="2">
        <v>5931.01</v>
      </c>
      <c r="F24" t="s">
        <v>19</v>
      </c>
      <c r="G24" t="s">
        <v>12</v>
      </c>
      <c r="I24" t="s">
        <v>13</v>
      </c>
      <c r="J24" t="str">
        <f>IF(ISBLANK(Table2[[#This Row],[ReceivedDate]]),"Unpaid",IF(Table2[[#This Row],[ReceivedDate]]&gt;Table2[[#This Row],[DueDate]],"Late",IF(Table2[[#This Row],[ReceivedDate]]&lt;Table2[[#This Row],[DueDate]],"Early","On Time")))</f>
        <v>Unpaid</v>
      </c>
    </row>
    <row r="25" spans="1:10" x14ac:dyDescent="0.3">
      <c r="A25" t="s">
        <v>46</v>
      </c>
      <c r="B25" t="s">
        <v>15</v>
      </c>
      <c r="C25" s="1">
        <v>45173</v>
      </c>
      <c r="D25" s="1">
        <v>45218</v>
      </c>
      <c r="E25" s="2">
        <v>7959.18</v>
      </c>
      <c r="F25" t="s">
        <v>19</v>
      </c>
      <c r="G25" t="s">
        <v>17</v>
      </c>
      <c r="I25" t="s">
        <v>13</v>
      </c>
      <c r="J25" t="str">
        <f>IF(ISBLANK(Table2[[#This Row],[ReceivedDate]]),"Unpaid",IF(Table2[[#This Row],[ReceivedDate]]&gt;Table2[[#This Row],[DueDate]],"Late",IF(Table2[[#This Row],[ReceivedDate]]&lt;Table2[[#This Row],[DueDate]],"Early","On Time")))</f>
        <v>Unpaid</v>
      </c>
    </row>
    <row r="26" spans="1:10" x14ac:dyDescent="0.3">
      <c r="A26" t="s">
        <v>47</v>
      </c>
      <c r="B26" t="s">
        <v>30</v>
      </c>
      <c r="C26" s="1">
        <v>45115</v>
      </c>
      <c r="D26" s="1">
        <v>45160</v>
      </c>
      <c r="E26" s="2">
        <v>5981.13</v>
      </c>
      <c r="F26" t="s">
        <v>26</v>
      </c>
      <c r="G26" t="s">
        <v>17</v>
      </c>
      <c r="I26" t="s">
        <v>13</v>
      </c>
      <c r="J26" t="str">
        <f>IF(ISBLANK(Table2[[#This Row],[ReceivedDate]]),"Unpaid",IF(Table2[[#This Row],[ReceivedDate]]&gt;Table2[[#This Row],[DueDate]],"Late",IF(Table2[[#This Row],[ReceivedDate]]&lt;Table2[[#This Row],[DueDate]],"Early","On Time")))</f>
        <v>Unpaid</v>
      </c>
    </row>
    <row r="27" spans="1:10" x14ac:dyDescent="0.3">
      <c r="A27" t="s">
        <v>48</v>
      </c>
      <c r="B27" t="s">
        <v>23</v>
      </c>
      <c r="C27" s="1">
        <v>44987</v>
      </c>
      <c r="D27" s="1">
        <v>45032</v>
      </c>
      <c r="E27" s="2">
        <v>5545.78</v>
      </c>
      <c r="F27" t="s">
        <v>16</v>
      </c>
      <c r="G27" t="s">
        <v>21</v>
      </c>
      <c r="H27" s="1">
        <v>45032</v>
      </c>
      <c r="I27" t="s">
        <v>13</v>
      </c>
      <c r="J27" t="str">
        <f>IF(ISBLANK(Table2[[#This Row],[ReceivedDate]]),"Unpaid",IF(Table2[[#This Row],[ReceivedDate]]&gt;Table2[[#This Row],[DueDate]],"Late",IF(Table2[[#This Row],[ReceivedDate]]&lt;Table2[[#This Row],[DueDate]],"Early","On Time")))</f>
        <v>On Time</v>
      </c>
    </row>
    <row r="28" spans="1:10" x14ac:dyDescent="0.3">
      <c r="A28" t="s">
        <v>49</v>
      </c>
      <c r="B28" t="s">
        <v>25</v>
      </c>
      <c r="C28" s="1">
        <v>45006</v>
      </c>
      <c r="D28" s="1">
        <v>45051</v>
      </c>
      <c r="E28" s="2">
        <v>895.41</v>
      </c>
      <c r="F28" t="s">
        <v>11</v>
      </c>
      <c r="G28" t="s">
        <v>21</v>
      </c>
      <c r="H28" s="1">
        <v>45051</v>
      </c>
      <c r="I28" t="s">
        <v>13</v>
      </c>
      <c r="J28" t="str">
        <f>IF(ISBLANK(Table2[[#This Row],[ReceivedDate]]),"Unpaid",IF(Table2[[#This Row],[ReceivedDate]]&gt;Table2[[#This Row],[DueDate]],"Late",IF(Table2[[#This Row],[ReceivedDate]]&lt;Table2[[#This Row],[DueDate]],"Early","On Time")))</f>
        <v>On Time</v>
      </c>
    </row>
    <row r="29" spans="1:10" x14ac:dyDescent="0.3">
      <c r="A29" t="s">
        <v>50</v>
      </c>
      <c r="B29" t="s">
        <v>23</v>
      </c>
      <c r="C29" s="1">
        <v>45217</v>
      </c>
      <c r="D29" s="1">
        <v>45262</v>
      </c>
      <c r="E29" s="2">
        <v>7961.36</v>
      </c>
      <c r="F29" t="s">
        <v>28</v>
      </c>
      <c r="G29" t="s">
        <v>21</v>
      </c>
      <c r="H29" s="1">
        <v>45262</v>
      </c>
      <c r="I29" t="s">
        <v>13</v>
      </c>
      <c r="J29" t="str">
        <f>IF(ISBLANK(Table2[[#This Row],[ReceivedDate]]),"Unpaid",IF(Table2[[#This Row],[ReceivedDate]]&gt;Table2[[#This Row],[DueDate]],"Late",IF(Table2[[#This Row],[ReceivedDate]]&lt;Table2[[#This Row],[DueDate]],"Early","On Time")))</f>
        <v>On Time</v>
      </c>
    </row>
    <row r="30" spans="1:10" x14ac:dyDescent="0.3">
      <c r="A30" t="s">
        <v>51</v>
      </c>
      <c r="B30" t="s">
        <v>10</v>
      </c>
      <c r="C30" s="1">
        <v>45087</v>
      </c>
      <c r="D30" s="1">
        <v>45132</v>
      </c>
      <c r="E30" s="2">
        <v>7898.89</v>
      </c>
      <c r="F30" t="s">
        <v>11</v>
      </c>
      <c r="G30" t="s">
        <v>12</v>
      </c>
      <c r="I30" t="s">
        <v>13</v>
      </c>
      <c r="J30" t="str">
        <f>IF(ISBLANK(Table2[[#This Row],[ReceivedDate]]),"Unpaid",IF(Table2[[#This Row],[ReceivedDate]]&gt;Table2[[#This Row],[DueDate]],"Late",IF(Table2[[#This Row],[ReceivedDate]]&lt;Table2[[#This Row],[DueDate]],"Early","On Time")))</f>
        <v>Unpaid</v>
      </c>
    </row>
    <row r="31" spans="1:10" x14ac:dyDescent="0.3">
      <c r="A31" t="s">
        <v>52</v>
      </c>
      <c r="B31" t="s">
        <v>23</v>
      </c>
      <c r="C31" s="1">
        <v>45546</v>
      </c>
      <c r="D31" s="1">
        <v>45591</v>
      </c>
      <c r="E31" s="2">
        <v>3210.82</v>
      </c>
      <c r="F31" t="s">
        <v>19</v>
      </c>
      <c r="G31" t="s">
        <v>12</v>
      </c>
      <c r="I31" t="s">
        <v>13</v>
      </c>
      <c r="J31" t="str">
        <f>IF(ISBLANK(Table2[[#This Row],[ReceivedDate]]),"Unpaid",IF(Table2[[#This Row],[ReceivedDate]]&gt;Table2[[#This Row],[DueDate]],"Late",IF(Table2[[#This Row],[ReceivedDate]]&lt;Table2[[#This Row],[DueDate]],"Early","On Time")))</f>
        <v>Unpaid</v>
      </c>
    </row>
    <row r="32" spans="1:10" x14ac:dyDescent="0.3">
      <c r="A32" t="s">
        <v>53</v>
      </c>
      <c r="B32" t="s">
        <v>25</v>
      </c>
      <c r="C32" s="1">
        <v>45427</v>
      </c>
      <c r="D32" s="1">
        <v>45472</v>
      </c>
      <c r="E32" s="2">
        <v>546.96</v>
      </c>
      <c r="F32" t="s">
        <v>26</v>
      </c>
      <c r="G32" t="s">
        <v>17</v>
      </c>
      <c r="I32" t="s">
        <v>13</v>
      </c>
      <c r="J32" t="str">
        <f>IF(ISBLANK(Table2[[#This Row],[ReceivedDate]]),"Unpaid",IF(Table2[[#This Row],[ReceivedDate]]&gt;Table2[[#This Row],[DueDate]],"Late",IF(Table2[[#This Row],[ReceivedDate]]&lt;Table2[[#This Row],[DueDate]],"Early","On Time")))</f>
        <v>Unpaid</v>
      </c>
    </row>
    <row r="33" spans="1:10" x14ac:dyDescent="0.3">
      <c r="A33" t="s">
        <v>54</v>
      </c>
      <c r="B33" t="s">
        <v>15</v>
      </c>
      <c r="C33" s="1">
        <v>45278</v>
      </c>
      <c r="D33" s="1">
        <v>45323</v>
      </c>
      <c r="E33" s="2">
        <v>2602.5100000000002</v>
      </c>
      <c r="F33" t="s">
        <v>26</v>
      </c>
      <c r="G33" t="s">
        <v>21</v>
      </c>
      <c r="H33" s="1">
        <v>45323</v>
      </c>
      <c r="I33" t="s">
        <v>13</v>
      </c>
      <c r="J33" t="str">
        <f>IF(ISBLANK(Table2[[#This Row],[ReceivedDate]]),"Unpaid",IF(Table2[[#This Row],[ReceivedDate]]&gt;Table2[[#This Row],[DueDate]],"Late",IF(Table2[[#This Row],[ReceivedDate]]&lt;Table2[[#This Row],[DueDate]],"Early","On Time")))</f>
        <v>On Time</v>
      </c>
    </row>
    <row r="34" spans="1:10" x14ac:dyDescent="0.3">
      <c r="A34" t="s">
        <v>55</v>
      </c>
      <c r="B34" t="s">
        <v>23</v>
      </c>
      <c r="C34" s="1">
        <v>45699</v>
      </c>
      <c r="D34" s="1">
        <v>45744</v>
      </c>
      <c r="E34" s="2">
        <v>7548.8</v>
      </c>
      <c r="F34" t="s">
        <v>28</v>
      </c>
      <c r="G34" t="s">
        <v>12</v>
      </c>
      <c r="I34" t="s">
        <v>13</v>
      </c>
      <c r="J34" t="str">
        <f>IF(ISBLANK(Table2[[#This Row],[ReceivedDate]]),"Unpaid",IF(Table2[[#This Row],[ReceivedDate]]&gt;Table2[[#This Row],[DueDate]],"Late",IF(Table2[[#This Row],[ReceivedDate]]&lt;Table2[[#This Row],[DueDate]],"Early","On Time")))</f>
        <v>Unpaid</v>
      </c>
    </row>
    <row r="35" spans="1:10" x14ac:dyDescent="0.3">
      <c r="A35" t="s">
        <v>56</v>
      </c>
      <c r="B35" t="s">
        <v>10</v>
      </c>
      <c r="C35" s="1">
        <v>45253</v>
      </c>
      <c r="D35" s="1">
        <v>45298</v>
      </c>
      <c r="E35" s="2">
        <v>634.25</v>
      </c>
      <c r="F35" t="s">
        <v>11</v>
      </c>
      <c r="G35" t="s">
        <v>12</v>
      </c>
      <c r="I35" t="s">
        <v>13</v>
      </c>
      <c r="J35" t="str">
        <f>IF(ISBLANK(Table2[[#This Row],[ReceivedDate]]),"Unpaid",IF(Table2[[#This Row],[ReceivedDate]]&gt;Table2[[#This Row],[DueDate]],"Late",IF(Table2[[#This Row],[ReceivedDate]]&lt;Table2[[#This Row],[DueDate]],"Early","On Time")))</f>
        <v>Unpaid</v>
      </c>
    </row>
    <row r="36" spans="1:10" x14ac:dyDescent="0.3">
      <c r="A36" t="s">
        <v>57</v>
      </c>
      <c r="B36" t="s">
        <v>25</v>
      </c>
      <c r="C36" s="1">
        <v>45740</v>
      </c>
      <c r="D36" s="1">
        <v>45785</v>
      </c>
      <c r="E36" s="2">
        <v>6230.43</v>
      </c>
      <c r="F36" t="s">
        <v>19</v>
      </c>
      <c r="G36" t="s">
        <v>21</v>
      </c>
      <c r="H36" s="1">
        <v>45785</v>
      </c>
      <c r="I36" t="s">
        <v>13</v>
      </c>
      <c r="J36" t="str">
        <f>IF(ISBLANK(Table2[[#This Row],[ReceivedDate]]),"Unpaid",IF(Table2[[#This Row],[ReceivedDate]]&gt;Table2[[#This Row],[DueDate]],"Late",IF(Table2[[#This Row],[ReceivedDate]]&lt;Table2[[#This Row],[DueDate]],"Early","On Time")))</f>
        <v>On Time</v>
      </c>
    </row>
    <row r="37" spans="1:10" x14ac:dyDescent="0.3">
      <c r="A37" t="s">
        <v>58</v>
      </c>
      <c r="B37" t="s">
        <v>25</v>
      </c>
      <c r="C37" s="1">
        <v>45231</v>
      </c>
      <c r="D37" s="1">
        <v>45276</v>
      </c>
      <c r="E37" s="2">
        <v>2323.42</v>
      </c>
      <c r="F37" t="s">
        <v>16</v>
      </c>
      <c r="G37" t="s">
        <v>21</v>
      </c>
      <c r="H37" s="1">
        <v>45276</v>
      </c>
      <c r="I37" t="s">
        <v>13</v>
      </c>
      <c r="J37" t="str">
        <f>IF(ISBLANK(Table2[[#This Row],[ReceivedDate]]),"Unpaid",IF(Table2[[#This Row],[ReceivedDate]]&gt;Table2[[#This Row],[DueDate]],"Late",IF(Table2[[#This Row],[ReceivedDate]]&lt;Table2[[#This Row],[DueDate]],"Early","On Time")))</f>
        <v>On Time</v>
      </c>
    </row>
    <row r="38" spans="1:10" x14ac:dyDescent="0.3">
      <c r="A38" t="s">
        <v>59</v>
      </c>
      <c r="B38" t="s">
        <v>23</v>
      </c>
      <c r="C38" s="1">
        <v>45493</v>
      </c>
      <c r="D38" s="1">
        <v>45538</v>
      </c>
      <c r="E38" s="2">
        <v>2167.31</v>
      </c>
      <c r="F38" t="s">
        <v>16</v>
      </c>
      <c r="G38" t="s">
        <v>21</v>
      </c>
      <c r="H38" s="1">
        <v>45538</v>
      </c>
      <c r="I38" t="s">
        <v>13</v>
      </c>
      <c r="J38" t="str">
        <f>IF(ISBLANK(Table2[[#This Row],[ReceivedDate]]),"Unpaid",IF(Table2[[#This Row],[ReceivedDate]]&gt;Table2[[#This Row],[DueDate]],"Late",IF(Table2[[#This Row],[ReceivedDate]]&lt;Table2[[#This Row],[DueDate]],"Early","On Time")))</f>
        <v>On Time</v>
      </c>
    </row>
    <row r="39" spans="1:10" x14ac:dyDescent="0.3">
      <c r="A39" t="s">
        <v>60</v>
      </c>
      <c r="B39" t="s">
        <v>30</v>
      </c>
      <c r="C39" s="1">
        <v>45642</v>
      </c>
      <c r="D39" s="1">
        <v>45687</v>
      </c>
      <c r="E39" s="2">
        <v>1711.81</v>
      </c>
      <c r="F39" t="s">
        <v>26</v>
      </c>
      <c r="G39" t="s">
        <v>17</v>
      </c>
      <c r="I39" t="s">
        <v>13</v>
      </c>
      <c r="J39" t="str">
        <f>IF(ISBLANK(Table2[[#This Row],[ReceivedDate]]),"Unpaid",IF(Table2[[#This Row],[ReceivedDate]]&gt;Table2[[#This Row],[DueDate]],"Late",IF(Table2[[#This Row],[ReceivedDate]]&lt;Table2[[#This Row],[DueDate]],"Early","On Time")))</f>
        <v>Unpaid</v>
      </c>
    </row>
    <row r="40" spans="1:10" x14ac:dyDescent="0.3">
      <c r="A40" t="s">
        <v>61</v>
      </c>
      <c r="B40" t="s">
        <v>15</v>
      </c>
      <c r="C40" s="1">
        <v>45230</v>
      </c>
      <c r="D40" s="1">
        <v>45275</v>
      </c>
      <c r="E40" s="2">
        <v>6942.78</v>
      </c>
      <c r="F40" t="s">
        <v>11</v>
      </c>
      <c r="G40" t="s">
        <v>12</v>
      </c>
      <c r="I40" t="s">
        <v>13</v>
      </c>
      <c r="J40" t="str">
        <f>IF(ISBLANK(Table2[[#This Row],[ReceivedDate]]),"Unpaid",IF(Table2[[#This Row],[ReceivedDate]]&gt;Table2[[#This Row],[DueDate]],"Late",IF(Table2[[#This Row],[ReceivedDate]]&lt;Table2[[#This Row],[DueDate]],"Early","On Time")))</f>
        <v>Unpaid</v>
      </c>
    </row>
    <row r="41" spans="1:10" x14ac:dyDescent="0.3">
      <c r="A41" t="s">
        <v>62</v>
      </c>
      <c r="B41" t="s">
        <v>23</v>
      </c>
      <c r="C41" s="1">
        <v>45143</v>
      </c>
      <c r="D41" s="1">
        <v>45188</v>
      </c>
      <c r="E41" s="2">
        <v>7098.74</v>
      </c>
      <c r="F41" t="s">
        <v>28</v>
      </c>
      <c r="G41" t="s">
        <v>17</v>
      </c>
      <c r="I41" t="s">
        <v>13</v>
      </c>
      <c r="J41" t="str">
        <f>IF(ISBLANK(Table2[[#This Row],[ReceivedDate]]),"Unpaid",IF(Table2[[#This Row],[ReceivedDate]]&gt;Table2[[#This Row],[DueDate]],"Late",IF(Table2[[#This Row],[ReceivedDate]]&lt;Table2[[#This Row],[DueDate]],"Early","On Time")))</f>
        <v>Unpaid</v>
      </c>
    </row>
    <row r="42" spans="1:10" x14ac:dyDescent="0.3">
      <c r="A42" t="s">
        <v>63</v>
      </c>
      <c r="B42" t="s">
        <v>23</v>
      </c>
      <c r="C42" s="1">
        <v>45110</v>
      </c>
      <c r="D42" s="1">
        <v>45155</v>
      </c>
      <c r="E42" s="2">
        <v>4881.63</v>
      </c>
      <c r="F42" t="s">
        <v>26</v>
      </c>
      <c r="G42" t="s">
        <v>21</v>
      </c>
      <c r="H42" s="1">
        <v>45155</v>
      </c>
      <c r="I42" t="s">
        <v>13</v>
      </c>
      <c r="J42" t="str">
        <f>IF(ISBLANK(Table2[[#This Row],[ReceivedDate]]),"Unpaid",IF(Table2[[#This Row],[ReceivedDate]]&gt;Table2[[#This Row],[DueDate]],"Late",IF(Table2[[#This Row],[ReceivedDate]]&lt;Table2[[#This Row],[DueDate]],"Early","On Time")))</f>
        <v>On Time</v>
      </c>
    </row>
    <row r="43" spans="1:10" x14ac:dyDescent="0.3">
      <c r="A43" t="s">
        <v>64</v>
      </c>
      <c r="B43" t="s">
        <v>25</v>
      </c>
      <c r="C43" s="1">
        <v>45212</v>
      </c>
      <c r="D43" s="1">
        <v>45257</v>
      </c>
      <c r="E43" s="2">
        <v>6438.74</v>
      </c>
      <c r="F43" t="s">
        <v>16</v>
      </c>
      <c r="G43" t="s">
        <v>12</v>
      </c>
      <c r="I43" t="s">
        <v>13</v>
      </c>
      <c r="J43" t="str">
        <f>IF(ISBLANK(Table2[[#This Row],[ReceivedDate]]),"Unpaid",IF(Table2[[#This Row],[ReceivedDate]]&gt;Table2[[#This Row],[DueDate]],"Late",IF(Table2[[#This Row],[ReceivedDate]]&lt;Table2[[#This Row],[DueDate]],"Early","On Time")))</f>
        <v>Unpaid</v>
      </c>
    </row>
    <row r="44" spans="1:10" x14ac:dyDescent="0.3">
      <c r="A44" t="s">
        <v>65</v>
      </c>
      <c r="B44" t="s">
        <v>15</v>
      </c>
      <c r="C44" s="1">
        <v>45227</v>
      </c>
      <c r="D44" s="1">
        <v>45272</v>
      </c>
      <c r="E44" s="2">
        <v>5344.09</v>
      </c>
      <c r="F44" t="s">
        <v>28</v>
      </c>
      <c r="G44" t="s">
        <v>21</v>
      </c>
      <c r="H44" s="1">
        <v>45272</v>
      </c>
      <c r="I44" t="s">
        <v>13</v>
      </c>
      <c r="J44" t="str">
        <f>IF(ISBLANK(Table2[[#This Row],[ReceivedDate]]),"Unpaid",IF(Table2[[#This Row],[ReceivedDate]]&gt;Table2[[#This Row],[DueDate]],"Late",IF(Table2[[#This Row],[ReceivedDate]]&lt;Table2[[#This Row],[DueDate]],"Early","On Time")))</f>
        <v>On Time</v>
      </c>
    </row>
    <row r="45" spans="1:10" x14ac:dyDescent="0.3">
      <c r="A45" t="s">
        <v>66</v>
      </c>
      <c r="B45" t="s">
        <v>30</v>
      </c>
      <c r="C45" s="1">
        <v>45109</v>
      </c>
      <c r="D45" s="1">
        <v>45154</v>
      </c>
      <c r="E45" s="2">
        <v>5121.3</v>
      </c>
      <c r="F45" t="s">
        <v>16</v>
      </c>
      <c r="G45" t="s">
        <v>17</v>
      </c>
      <c r="I45" t="s">
        <v>13</v>
      </c>
      <c r="J45" t="str">
        <f>IF(ISBLANK(Table2[[#This Row],[ReceivedDate]]),"Unpaid",IF(Table2[[#This Row],[ReceivedDate]]&gt;Table2[[#This Row],[DueDate]],"Late",IF(Table2[[#This Row],[ReceivedDate]]&lt;Table2[[#This Row],[DueDate]],"Early","On Time")))</f>
        <v>Unpaid</v>
      </c>
    </row>
    <row r="46" spans="1:10" x14ac:dyDescent="0.3">
      <c r="A46" t="s">
        <v>67</v>
      </c>
      <c r="B46" t="s">
        <v>15</v>
      </c>
      <c r="C46" s="1">
        <v>45754</v>
      </c>
      <c r="D46" s="1">
        <v>45799</v>
      </c>
      <c r="E46" s="2">
        <v>1325.15</v>
      </c>
      <c r="F46" t="s">
        <v>26</v>
      </c>
      <c r="G46" t="s">
        <v>17</v>
      </c>
      <c r="I46" t="s">
        <v>13</v>
      </c>
      <c r="J46" t="str">
        <f>IF(ISBLANK(Table2[[#This Row],[ReceivedDate]]),"Unpaid",IF(Table2[[#This Row],[ReceivedDate]]&gt;Table2[[#This Row],[DueDate]],"Late",IF(Table2[[#This Row],[ReceivedDate]]&lt;Table2[[#This Row],[DueDate]],"Early","On Time")))</f>
        <v>Unpaid</v>
      </c>
    </row>
    <row r="47" spans="1:10" x14ac:dyDescent="0.3">
      <c r="A47" t="s">
        <v>68</v>
      </c>
      <c r="B47" t="s">
        <v>30</v>
      </c>
      <c r="C47" s="1">
        <v>45604</v>
      </c>
      <c r="D47" s="1">
        <v>45649</v>
      </c>
      <c r="E47" s="2">
        <v>2200.8200000000002</v>
      </c>
      <c r="F47" t="s">
        <v>11</v>
      </c>
      <c r="G47" t="s">
        <v>17</v>
      </c>
      <c r="I47" t="s">
        <v>13</v>
      </c>
      <c r="J47" t="str">
        <f>IF(ISBLANK(Table2[[#This Row],[ReceivedDate]]),"Unpaid",IF(Table2[[#This Row],[ReceivedDate]]&gt;Table2[[#This Row],[DueDate]],"Late",IF(Table2[[#This Row],[ReceivedDate]]&lt;Table2[[#This Row],[DueDate]],"Early","On Time")))</f>
        <v>Unpaid</v>
      </c>
    </row>
    <row r="48" spans="1:10" x14ac:dyDescent="0.3">
      <c r="A48" t="s">
        <v>69</v>
      </c>
      <c r="B48" t="s">
        <v>30</v>
      </c>
      <c r="C48" s="1">
        <v>45751</v>
      </c>
      <c r="D48" s="1">
        <v>45796</v>
      </c>
      <c r="E48" s="2">
        <v>1015.66</v>
      </c>
      <c r="F48" t="s">
        <v>16</v>
      </c>
      <c r="G48" t="s">
        <v>21</v>
      </c>
      <c r="H48" s="1">
        <v>45796</v>
      </c>
      <c r="I48" t="s">
        <v>13</v>
      </c>
      <c r="J48" t="str">
        <f>IF(ISBLANK(Table2[[#This Row],[ReceivedDate]]),"Unpaid",IF(Table2[[#This Row],[ReceivedDate]]&gt;Table2[[#This Row],[DueDate]],"Late",IF(Table2[[#This Row],[ReceivedDate]]&lt;Table2[[#This Row],[DueDate]],"Early","On Time")))</f>
        <v>On Time</v>
      </c>
    </row>
    <row r="49" spans="1:10" x14ac:dyDescent="0.3">
      <c r="A49" t="s">
        <v>70</v>
      </c>
      <c r="B49" t="s">
        <v>15</v>
      </c>
      <c r="C49" s="1">
        <v>45108</v>
      </c>
      <c r="D49" s="1">
        <v>45153</v>
      </c>
      <c r="E49" s="2">
        <v>3180.12</v>
      </c>
      <c r="F49" t="s">
        <v>28</v>
      </c>
      <c r="G49" t="s">
        <v>17</v>
      </c>
      <c r="I49" t="s">
        <v>13</v>
      </c>
      <c r="J49" t="str">
        <f>IF(ISBLANK(Table2[[#This Row],[ReceivedDate]]),"Unpaid",IF(Table2[[#This Row],[ReceivedDate]]&gt;Table2[[#This Row],[DueDate]],"Late",IF(Table2[[#This Row],[ReceivedDate]]&lt;Table2[[#This Row],[DueDate]],"Early","On Time")))</f>
        <v>Unpaid</v>
      </c>
    </row>
    <row r="50" spans="1:10" x14ac:dyDescent="0.3">
      <c r="A50" t="s">
        <v>71</v>
      </c>
      <c r="B50" t="s">
        <v>23</v>
      </c>
      <c r="C50" s="1">
        <v>45729</v>
      </c>
      <c r="D50" s="1">
        <v>45774</v>
      </c>
      <c r="E50" s="2">
        <v>699.9</v>
      </c>
      <c r="F50" t="s">
        <v>11</v>
      </c>
      <c r="G50" t="s">
        <v>17</v>
      </c>
      <c r="I50" t="s">
        <v>13</v>
      </c>
      <c r="J50" t="str">
        <f>IF(ISBLANK(Table2[[#This Row],[ReceivedDate]]),"Unpaid",IF(Table2[[#This Row],[ReceivedDate]]&gt;Table2[[#This Row],[DueDate]],"Late",IF(Table2[[#This Row],[ReceivedDate]]&lt;Table2[[#This Row],[DueDate]],"Early","On Time")))</f>
        <v>Unpaid</v>
      </c>
    </row>
    <row r="51" spans="1:10" x14ac:dyDescent="0.3">
      <c r="A51" t="s">
        <v>72</v>
      </c>
      <c r="B51" t="s">
        <v>25</v>
      </c>
      <c r="C51" s="1">
        <v>45437</v>
      </c>
      <c r="D51" s="1">
        <v>45482</v>
      </c>
      <c r="E51" s="2">
        <v>498.51</v>
      </c>
      <c r="F51" t="s">
        <v>28</v>
      </c>
      <c r="G51" t="s">
        <v>17</v>
      </c>
      <c r="I51" t="s">
        <v>13</v>
      </c>
      <c r="J51" t="str">
        <f>IF(ISBLANK(Table2[[#This Row],[ReceivedDate]]),"Unpaid",IF(Table2[[#This Row],[ReceivedDate]]&gt;Table2[[#This Row],[DueDate]],"Late",IF(Table2[[#This Row],[ReceivedDate]]&lt;Table2[[#This Row],[DueDate]],"Early","On Time")))</f>
        <v>Unpaid</v>
      </c>
    </row>
    <row r="52" spans="1:10" x14ac:dyDescent="0.3">
      <c r="A52" t="s">
        <v>73</v>
      </c>
      <c r="B52" t="s">
        <v>23</v>
      </c>
      <c r="C52" s="1">
        <v>45007</v>
      </c>
      <c r="D52" s="1">
        <v>45052</v>
      </c>
      <c r="E52" s="2">
        <v>1578.97</v>
      </c>
      <c r="F52" t="s">
        <v>16</v>
      </c>
      <c r="G52" t="s">
        <v>12</v>
      </c>
      <c r="I52" t="s">
        <v>13</v>
      </c>
      <c r="J52" t="str">
        <f>IF(ISBLANK(Table2[[#This Row],[ReceivedDate]]),"Unpaid",IF(Table2[[#This Row],[ReceivedDate]]&gt;Table2[[#This Row],[DueDate]],"Late",IF(Table2[[#This Row],[ReceivedDate]]&lt;Table2[[#This Row],[DueDate]],"Early","On Time")))</f>
        <v>Unpaid</v>
      </c>
    </row>
    <row r="53" spans="1:10" x14ac:dyDescent="0.3">
      <c r="A53" t="s">
        <v>74</v>
      </c>
      <c r="B53" t="s">
        <v>23</v>
      </c>
      <c r="C53" s="1">
        <v>45674</v>
      </c>
      <c r="D53" s="1">
        <v>45719</v>
      </c>
      <c r="E53" s="2">
        <v>1246.19</v>
      </c>
      <c r="F53" t="s">
        <v>19</v>
      </c>
      <c r="G53" t="s">
        <v>12</v>
      </c>
      <c r="I53" t="s">
        <v>13</v>
      </c>
      <c r="J53" t="str">
        <f>IF(ISBLANK(Table2[[#This Row],[ReceivedDate]]),"Unpaid",IF(Table2[[#This Row],[ReceivedDate]]&gt;Table2[[#This Row],[DueDate]],"Late",IF(Table2[[#This Row],[ReceivedDate]]&lt;Table2[[#This Row],[DueDate]],"Early","On Time")))</f>
        <v>Unpaid</v>
      </c>
    </row>
    <row r="54" spans="1:10" x14ac:dyDescent="0.3">
      <c r="A54" t="s">
        <v>75</v>
      </c>
      <c r="B54" t="s">
        <v>30</v>
      </c>
      <c r="C54" s="1">
        <v>45070</v>
      </c>
      <c r="D54" s="1">
        <v>45115</v>
      </c>
      <c r="E54" s="2">
        <v>3082.8</v>
      </c>
      <c r="F54" t="s">
        <v>19</v>
      </c>
      <c r="G54" t="s">
        <v>21</v>
      </c>
      <c r="H54" s="1">
        <v>45115</v>
      </c>
      <c r="I54" t="s">
        <v>13</v>
      </c>
      <c r="J54" t="str">
        <f>IF(ISBLANK(Table2[[#This Row],[ReceivedDate]]),"Unpaid",IF(Table2[[#This Row],[ReceivedDate]]&gt;Table2[[#This Row],[DueDate]],"Late",IF(Table2[[#This Row],[ReceivedDate]]&lt;Table2[[#This Row],[DueDate]],"Early","On Time")))</f>
        <v>On Time</v>
      </c>
    </row>
    <row r="55" spans="1:10" x14ac:dyDescent="0.3">
      <c r="A55" t="s">
        <v>76</v>
      </c>
      <c r="B55" t="s">
        <v>10</v>
      </c>
      <c r="C55" s="1">
        <v>45756</v>
      </c>
      <c r="D55" s="1">
        <v>45801</v>
      </c>
      <c r="E55" s="2">
        <v>473.33</v>
      </c>
      <c r="F55" t="s">
        <v>26</v>
      </c>
      <c r="G55" t="s">
        <v>17</v>
      </c>
      <c r="I55" t="s">
        <v>13</v>
      </c>
      <c r="J55" t="str">
        <f>IF(ISBLANK(Table2[[#This Row],[ReceivedDate]]),"Unpaid",IF(Table2[[#This Row],[ReceivedDate]]&gt;Table2[[#This Row],[DueDate]],"Late",IF(Table2[[#This Row],[ReceivedDate]]&lt;Table2[[#This Row],[DueDate]],"Early","On Time")))</f>
        <v>Unpaid</v>
      </c>
    </row>
    <row r="56" spans="1:10" x14ac:dyDescent="0.3">
      <c r="A56" t="s">
        <v>77</v>
      </c>
      <c r="B56" t="s">
        <v>10</v>
      </c>
      <c r="C56" s="1">
        <v>45480</v>
      </c>
      <c r="D56" s="1">
        <v>45525</v>
      </c>
      <c r="E56" s="2">
        <v>5228.9399999999996</v>
      </c>
      <c r="F56" t="s">
        <v>26</v>
      </c>
      <c r="G56" t="s">
        <v>12</v>
      </c>
      <c r="I56" t="s">
        <v>13</v>
      </c>
      <c r="J56" t="str">
        <f>IF(ISBLANK(Table2[[#This Row],[ReceivedDate]]),"Unpaid",IF(Table2[[#This Row],[ReceivedDate]]&gt;Table2[[#This Row],[DueDate]],"Late",IF(Table2[[#This Row],[ReceivedDate]]&lt;Table2[[#This Row],[DueDate]],"Early","On Time")))</f>
        <v>Unpaid</v>
      </c>
    </row>
    <row r="57" spans="1:10" x14ac:dyDescent="0.3">
      <c r="A57" t="s">
        <v>78</v>
      </c>
      <c r="B57" t="s">
        <v>10</v>
      </c>
      <c r="C57" s="1">
        <v>45123</v>
      </c>
      <c r="D57" s="1">
        <v>45168</v>
      </c>
      <c r="E57" s="2">
        <v>3011.2</v>
      </c>
      <c r="F57" t="s">
        <v>28</v>
      </c>
      <c r="G57" t="s">
        <v>17</v>
      </c>
      <c r="I57" t="s">
        <v>13</v>
      </c>
      <c r="J57" t="str">
        <f>IF(ISBLANK(Table2[[#This Row],[ReceivedDate]]),"Unpaid",IF(Table2[[#This Row],[ReceivedDate]]&gt;Table2[[#This Row],[DueDate]],"Late",IF(Table2[[#This Row],[ReceivedDate]]&lt;Table2[[#This Row],[DueDate]],"Early","On Time")))</f>
        <v>Unpaid</v>
      </c>
    </row>
    <row r="58" spans="1:10" x14ac:dyDescent="0.3">
      <c r="A58" t="s">
        <v>79</v>
      </c>
      <c r="B58" t="s">
        <v>23</v>
      </c>
      <c r="C58" s="1">
        <v>45650</v>
      </c>
      <c r="D58" s="1">
        <v>45695</v>
      </c>
      <c r="E58" s="2">
        <v>4681.96</v>
      </c>
      <c r="F58" t="s">
        <v>11</v>
      </c>
      <c r="G58" t="s">
        <v>12</v>
      </c>
      <c r="I58" t="s">
        <v>13</v>
      </c>
      <c r="J58" t="str">
        <f>IF(ISBLANK(Table2[[#This Row],[ReceivedDate]]),"Unpaid",IF(Table2[[#This Row],[ReceivedDate]]&gt;Table2[[#This Row],[DueDate]],"Late",IF(Table2[[#This Row],[ReceivedDate]]&lt;Table2[[#This Row],[DueDate]],"Early","On Time")))</f>
        <v>Unpaid</v>
      </c>
    </row>
    <row r="59" spans="1:10" x14ac:dyDescent="0.3">
      <c r="A59" t="s">
        <v>80</v>
      </c>
      <c r="B59" t="s">
        <v>23</v>
      </c>
      <c r="C59" s="1">
        <v>45078</v>
      </c>
      <c r="D59" s="1">
        <v>45123</v>
      </c>
      <c r="E59" s="2">
        <v>814.13</v>
      </c>
      <c r="F59" t="s">
        <v>11</v>
      </c>
      <c r="G59" t="s">
        <v>21</v>
      </c>
      <c r="H59" s="1">
        <v>45123</v>
      </c>
      <c r="I59" t="s">
        <v>13</v>
      </c>
      <c r="J59" t="str">
        <f>IF(ISBLANK(Table2[[#This Row],[ReceivedDate]]),"Unpaid",IF(Table2[[#This Row],[ReceivedDate]]&gt;Table2[[#This Row],[DueDate]],"Late",IF(Table2[[#This Row],[ReceivedDate]]&lt;Table2[[#This Row],[DueDate]],"Early","On Time")))</f>
        <v>On Time</v>
      </c>
    </row>
    <row r="60" spans="1:10" x14ac:dyDescent="0.3">
      <c r="A60" t="s">
        <v>81</v>
      </c>
      <c r="B60" t="s">
        <v>15</v>
      </c>
      <c r="C60" s="1">
        <v>45175</v>
      </c>
      <c r="D60" s="1">
        <v>45220</v>
      </c>
      <c r="E60" s="2">
        <v>4305.1099999999997</v>
      </c>
      <c r="F60" t="s">
        <v>26</v>
      </c>
      <c r="G60" t="s">
        <v>12</v>
      </c>
      <c r="I60" t="s">
        <v>13</v>
      </c>
      <c r="J60" t="str">
        <f>IF(ISBLANK(Table2[[#This Row],[ReceivedDate]]),"Unpaid",IF(Table2[[#This Row],[ReceivedDate]]&gt;Table2[[#This Row],[DueDate]],"Late",IF(Table2[[#This Row],[ReceivedDate]]&lt;Table2[[#This Row],[DueDate]],"Early","On Time")))</f>
        <v>Unpaid</v>
      </c>
    </row>
    <row r="61" spans="1:10" x14ac:dyDescent="0.3">
      <c r="A61" t="s">
        <v>82</v>
      </c>
      <c r="B61" t="s">
        <v>10</v>
      </c>
      <c r="C61" s="1">
        <v>45106</v>
      </c>
      <c r="D61" s="1">
        <v>45151</v>
      </c>
      <c r="E61" s="2">
        <v>902.23</v>
      </c>
      <c r="F61" t="s">
        <v>28</v>
      </c>
      <c r="G61" t="s">
        <v>21</v>
      </c>
      <c r="H61" s="1">
        <v>45151</v>
      </c>
      <c r="I61" t="s">
        <v>13</v>
      </c>
      <c r="J61" t="str">
        <f>IF(ISBLANK(Table2[[#This Row],[ReceivedDate]]),"Unpaid",IF(Table2[[#This Row],[ReceivedDate]]&gt;Table2[[#This Row],[DueDate]],"Late",IF(Table2[[#This Row],[ReceivedDate]]&lt;Table2[[#This Row],[DueDate]],"Early","On Time")))</f>
        <v>On Time</v>
      </c>
    </row>
    <row r="62" spans="1:10" x14ac:dyDescent="0.3">
      <c r="A62" t="s">
        <v>83</v>
      </c>
      <c r="B62" t="s">
        <v>23</v>
      </c>
      <c r="C62" s="1">
        <v>45669</v>
      </c>
      <c r="D62" s="1">
        <v>45714</v>
      </c>
      <c r="E62" s="2">
        <v>7045.91</v>
      </c>
      <c r="F62" t="s">
        <v>11</v>
      </c>
      <c r="G62" t="s">
        <v>12</v>
      </c>
      <c r="I62" t="s">
        <v>13</v>
      </c>
      <c r="J62" t="str">
        <f>IF(ISBLANK(Table2[[#This Row],[ReceivedDate]]),"Unpaid",IF(Table2[[#This Row],[ReceivedDate]]&gt;Table2[[#This Row],[DueDate]],"Late",IF(Table2[[#This Row],[ReceivedDate]]&lt;Table2[[#This Row],[DueDate]],"Early","On Time")))</f>
        <v>Unpaid</v>
      </c>
    </row>
    <row r="63" spans="1:10" x14ac:dyDescent="0.3">
      <c r="A63" t="s">
        <v>84</v>
      </c>
      <c r="B63" t="s">
        <v>23</v>
      </c>
      <c r="C63" s="1">
        <v>45759</v>
      </c>
      <c r="D63" s="1">
        <v>45804</v>
      </c>
      <c r="E63" s="2">
        <v>425.01</v>
      </c>
      <c r="F63" t="s">
        <v>16</v>
      </c>
      <c r="G63" t="s">
        <v>17</v>
      </c>
      <c r="I63" t="s">
        <v>13</v>
      </c>
      <c r="J63" t="str">
        <f>IF(ISBLANK(Table2[[#This Row],[ReceivedDate]]),"Unpaid",IF(Table2[[#This Row],[ReceivedDate]]&gt;Table2[[#This Row],[DueDate]],"Late",IF(Table2[[#This Row],[ReceivedDate]]&lt;Table2[[#This Row],[DueDate]],"Early","On Time")))</f>
        <v>Unpaid</v>
      </c>
    </row>
    <row r="64" spans="1:10" x14ac:dyDescent="0.3">
      <c r="A64" t="s">
        <v>85</v>
      </c>
      <c r="B64" t="s">
        <v>30</v>
      </c>
      <c r="C64" s="1">
        <v>45219</v>
      </c>
      <c r="D64" s="1">
        <v>45264</v>
      </c>
      <c r="E64" s="2">
        <v>839.83</v>
      </c>
      <c r="F64" t="s">
        <v>11</v>
      </c>
      <c r="G64" t="s">
        <v>17</v>
      </c>
      <c r="I64" t="s">
        <v>13</v>
      </c>
      <c r="J64" t="str">
        <f>IF(ISBLANK(Table2[[#This Row],[ReceivedDate]]),"Unpaid",IF(Table2[[#This Row],[ReceivedDate]]&gt;Table2[[#This Row],[DueDate]],"Late",IF(Table2[[#This Row],[ReceivedDate]]&lt;Table2[[#This Row],[DueDate]],"Early","On Time")))</f>
        <v>Unpaid</v>
      </c>
    </row>
    <row r="65" spans="1:10" x14ac:dyDescent="0.3">
      <c r="A65" t="s">
        <v>86</v>
      </c>
      <c r="B65" t="s">
        <v>25</v>
      </c>
      <c r="C65" s="1">
        <v>45589</v>
      </c>
      <c r="D65" s="1">
        <v>45634</v>
      </c>
      <c r="E65" s="2">
        <v>997.56</v>
      </c>
      <c r="F65" t="s">
        <v>19</v>
      </c>
      <c r="G65" t="s">
        <v>17</v>
      </c>
      <c r="I65" t="s">
        <v>13</v>
      </c>
      <c r="J65" t="str">
        <f>IF(ISBLANK(Table2[[#This Row],[ReceivedDate]]),"Unpaid",IF(Table2[[#This Row],[ReceivedDate]]&gt;Table2[[#This Row],[DueDate]],"Late",IF(Table2[[#This Row],[ReceivedDate]]&lt;Table2[[#This Row],[DueDate]],"Early","On Time")))</f>
        <v>Unpaid</v>
      </c>
    </row>
    <row r="66" spans="1:10" x14ac:dyDescent="0.3">
      <c r="A66" t="s">
        <v>87</v>
      </c>
      <c r="B66" t="s">
        <v>10</v>
      </c>
      <c r="C66" s="1">
        <v>45152</v>
      </c>
      <c r="D66" s="1">
        <v>45197</v>
      </c>
      <c r="E66" s="2">
        <v>6142.65</v>
      </c>
      <c r="F66" t="s">
        <v>11</v>
      </c>
      <c r="G66" t="s">
        <v>17</v>
      </c>
      <c r="I66" t="s">
        <v>13</v>
      </c>
      <c r="J66" t="str">
        <f>IF(ISBLANK(Table2[[#This Row],[ReceivedDate]]),"Unpaid",IF(Table2[[#This Row],[ReceivedDate]]&gt;Table2[[#This Row],[DueDate]],"Late",IF(Table2[[#This Row],[ReceivedDate]]&lt;Table2[[#This Row],[DueDate]],"Early","On Time")))</f>
        <v>Unpaid</v>
      </c>
    </row>
    <row r="67" spans="1:10" x14ac:dyDescent="0.3">
      <c r="A67" t="s">
        <v>88</v>
      </c>
      <c r="B67" t="s">
        <v>23</v>
      </c>
      <c r="C67" s="1">
        <v>45739</v>
      </c>
      <c r="D67" s="1">
        <v>45784</v>
      </c>
      <c r="E67" s="2">
        <v>4402.5200000000004</v>
      </c>
      <c r="F67" t="s">
        <v>26</v>
      </c>
      <c r="G67" t="s">
        <v>17</v>
      </c>
      <c r="I67" t="s">
        <v>13</v>
      </c>
      <c r="J67" t="str">
        <f>IF(ISBLANK(Table2[[#This Row],[ReceivedDate]]),"Unpaid",IF(Table2[[#This Row],[ReceivedDate]]&gt;Table2[[#This Row],[DueDate]],"Late",IF(Table2[[#This Row],[ReceivedDate]]&lt;Table2[[#This Row],[DueDate]],"Early","On Time")))</f>
        <v>Unpaid</v>
      </c>
    </row>
    <row r="68" spans="1:10" x14ac:dyDescent="0.3">
      <c r="A68" t="s">
        <v>89</v>
      </c>
      <c r="B68" t="s">
        <v>25</v>
      </c>
      <c r="C68" s="1">
        <v>45483</v>
      </c>
      <c r="D68" s="1">
        <v>45528</v>
      </c>
      <c r="E68" s="2">
        <v>7809.98</v>
      </c>
      <c r="F68" t="s">
        <v>26</v>
      </c>
      <c r="G68" t="s">
        <v>17</v>
      </c>
      <c r="I68" t="s">
        <v>13</v>
      </c>
      <c r="J68" t="str">
        <f>IF(ISBLANK(Table2[[#This Row],[ReceivedDate]]),"Unpaid",IF(Table2[[#This Row],[ReceivedDate]]&gt;Table2[[#This Row],[DueDate]],"Late",IF(Table2[[#This Row],[ReceivedDate]]&lt;Table2[[#This Row],[DueDate]],"Early","On Time")))</f>
        <v>Unpaid</v>
      </c>
    </row>
    <row r="69" spans="1:10" x14ac:dyDescent="0.3">
      <c r="A69" t="s">
        <v>90</v>
      </c>
      <c r="B69" t="s">
        <v>15</v>
      </c>
      <c r="C69" s="1">
        <v>45200</v>
      </c>
      <c r="D69" s="1">
        <v>45245</v>
      </c>
      <c r="E69" s="2">
        <v>7348.09</v>
      </c>
      <c r="F69" t="s">
        <v>26</v>
      </c>
      <c r="G69" t="s">
        <v>21</v>
      </c>
      <c r="H69" s="1">
        <v>45245</v>
      </c>
      <c r="I69" t="s">
        <v>13</v>
      </c>
      <c r="J69" t="str">
        <f>IF(ISBLANK(Table2[[#This Row],[ReceivedDate]]),"Unpaid",IF(Table2[[#This Row],[ReceivedDate]]&gt;Table2[[#This Row],[DueDate]],"Late",IF(Table2[[#This Row],[ReceivedDate]]&lt;Table2[[#This Row],[DueDate]],"Early","On Time")))</f>
        <v>On Time</v>
      </c>
    </row>
    <row r="70" spans="1:10" x14ac:dyDescent="0.3">
      <c r="A70" t="s">
        <v>91</v>
      </c>
      <c r="B70" t="s">
        <v>25</v>
      </c>
      <c r="C70" s="1">
        <v>45325</v>
      </c>
      <c r="D70" s="1">
        <v>45370</v>
      </c>
      <c r="E70" s="2">
        <v>2946.05</v>
      </c>
      <c r="F70" t="s">
        <v>16</v>
      </c>
      <c r="G70" t="s">
        <v>12</v>
      </c>
      <c r="I70" t="s">
        <v>13</v>
      </c>
      <c r="J70" t="str">
        <f>IF(ISBLANK(Table2[[#This Row],[ReceivedDate]]),"Unpaid",IF(Table2[[#This Row],[ReceivedDate]]&gt;Table2[[#This Row],[DueDate]],"Late",IF(Table2[[#This Row],[ReceivedDate]]&lt;Table2[[#This Row],[DueDate]],"Early","On Time")))</f>
        <v>Unpaid</v>
      </c>
    </row>
    <row r="71" spans="1:10" x14ac:dyDescent="0.3">
      <c r="A71" t="s">
        <v>92</v>
      </c>
      <c r="B71" t="s">
        <v>23</v>
      </c>
      <c r="C71" s="1">
        <v>45451</v>
      </c>
      <c r="D71" s="1">
        <v>45496</v>
      </c>
      <c r="E71" s="2">
        <v>700.95</v>
      </c>
      <c r="F71" t="s">
        <v>26</v>
      </c>
      <c r="G71" t="s">
        <v>21</v>
      </c>
      <c r="H71" s="1">
        <v>45496</v>
      </c>
      <c r="I71" t="s">
        <v>13</v>
      </c>
      <c r="J71" t="str">
        <f>IF(ISBLANK(Table2[[#This Row],[ReceivedDate]]),"Unpaid",IF(Table2[[#This Row],[ReceivedDate]]&gt;Table2[[#This Row],[DueDate]],"Late",IF(Table2[[#This Row],[ReceivedDate]]&lt;Table2[[#This Row],[DueDate]],"Early","On Time")))</f>
        <v>On Time</v>
      </c>
    </row>
    <row r="72" spans="1:10" x14ac:dyDescent="0.3">
      <c r="A72" t="s">
        <v>93</v>
      </c>
      <c r="B72" t="s">
        <v>15</v>
      </c>
      <c r="C72" s="1">
        <v>44956</v>
      </c>
      <c r="D72" s="1">
        <v>45001</v>
      </c>
      <c r="E72" s="2">
        <v>4822.1899999999996</v>
      </c>
      <c r="F72" t="s">
        <v>16</v>
      </c>
      <c r="G72" t="s">
        <v>12</v>
      </c>
      <c r="I72" t="s">
        <v>13</v>
      </c>
      <c r="J72" t="str">
        <f>IF(ISBLANK(Table2[[#This Row],[ReceivedDate]]),"Unpaid",IF(Table2[[#This Row],[ReceivedDate]]&gt;Table2[[#This Row],[DueDate]],"Late",IF(Table2[[#This Row],[ReceivedDate]]&lt;Table2[[#This Row],[DueDate]],"Early","On Time")))</f>
        <v>Unpaid</v>
      </c>
    </row>
    <row r="73" spans="1:10" x14ac:dyDescent="0.3">
      <c r="A73" t="s">
        <v>94</v>
      </c>
      <c r="B73" t="s">
        <v>25</v>
      </c>
      <c r="C73" s="1">
        <v>45325</v>
      </c>
      <c r="D73" s="1">
        <v>45370</v>
      </c>
      <c r="E73" s="2">
        <v>457.35</v>
      </c>
      <c r="F73" t="s">
        <v>26</v>
      </c>
      <c r="G73" t="s">
        <v>12</v>
      </c>
      <c r="I73" t="s">
        <v>13</v>
      </c>
      <c r="J73" t="str">
        <f>IF(ISBLANK(Table2[[#This Row],[ReceivedDate]]),"Unpaid",IF(Table2[[#This Row],[ReceivedDate]]&gt;Table2[[#This Row],[DueDate]],"Late",IF(Table2[[#This Row],[ReceivedDate]]&lt;Table2[[#This Row],[DueDate]],"Early","On Time")))</f>
        <v>Unpaid</v>
      </c>
    </row>
    <row r="74" spans="1:10" x14ac:dyDescent="0.3">
      <c r="A74" t="s">
        <v>95</v>
      </c>
      <c r="B74" t="s">
        <v>25</v>
      </c>
      <c r="C74" s="1">
        <v>45192</v>
      </c>
      <c r="D74" s="1">
        <v>45237</v>
      </c>
      <c r="E74" s="2">
        <v>2055.94</v>
      </c>
      <c r="F74" t="s">
        <v>19</v>
      </c>
      <c r="G74" t="s">
        <v>12</v>
      </c>
      <c r="I74" t="s">
        <v>13</v>
      </c>
      <c r="J74" t="str">
        <f>IF(ISBLANK(Table2[[#This Row],[ReceivedDate]]),"Unpaid",IF(Table2[[#This Row],[ReceivedDate]]&gt;Table2[[#This Row],[DueDate]],"Late",IF(Table2[[#This Row],[ReceivedDate]]&lt;Table2[[#This Row],[DueDate]],"Early","On Time")))</f>
        <v>Unpaid</v>
      </c>
    </row>
    <row r="75" spans="1:10" x14ac:dyDescent="0.3">
      <c r="A75" t="s">
        <v>96</v>
      </c>
      <c r="B75" t="s">
        <v>30</v>
      </c>
      <c r="C75" s="1">
        <v>45406</v>
      </c>
      <c r="D75" s="1">
        <v>45451</v>
      </c>
      <c r="E75" s="2">
        <v>6747.59</v>
      </c>
      <c r="F75" t="s">
        <v>19</v>
      </c>
      <c r="G75" t="s">
        <v>12</v>
      </c>
      <c r="I75" t="s">
        <v>13</v>
      </c>
      <c r="J75" t="str">
        <f>IF(ISBLANK(Table2[[#This Row],[ReceivedDate]]),"Unpaid",IF(Table2[[#This Row],[ReceivedDate]]&gt;Table2[[#This Row],[DueDate]],"Late",IF(Table2[[#This Row],[ReceivedDate]]&lt;Table2[[#This Row],[DueDate]],"Early","On Time")))</f>
        <v>Unpaid</v>
      </c>
    </row>
    <row r="76" spans="1:10" x14ac:dyDescent="0.3">
      <c r="A76" t="s">
        <v>97</v>
      </c>
      <c r="B76" t="s">
        <v>25</v>
      </c>
      <c r="C76" s="1">
        <v>45580</v>
      </c>
      <c r="D76" s="1">
        <v>45625</v>
      </c>
      <c r="E76" s="2">
        <v>3184.22</v>
      </c>
      <c r="F76" t="s">
        <v>16</v>
      </c>
      <c r="G76" t="s">
        <v>12</v>
      </c>
      <c r="I76" t="s">
        <v>13</v>
      </c>
      <c r="J76" t="str">
        <f>IF(ISBLANK(Table2[[#This Row],[ReceivedDate]]),"Unpaid",IF(Table2[[#This Row],[ReceivedDate]]&gt;Table2[[#This Row],[DueDate]],"Late",IF(Table2[[#This Row],[ReceivedDate]]&lt;Table2[[#This Row],[DueDate]],"Early","On Time")))</f>
        <v>Unpaid</v>
      </c>
    </row>
    <row r="77" spans="1:10" x14ac:dyDescent="0.3">
      <c r="A77" t="s">
        <v>98</v>
      </c>
      <c r="B77" t="s">
        <v>25</v>
      </c>
      <c r="C77" s="1">
        <v>45704</v>
      </c>
      <c r="D77" s="1">
        <v>45749</v>
      </c>
      <c r="E77" s="2">
        <v>5289.37</v>
      </c>
      <c r="F77" t="s">
        <v>16</v>
      </c>
      <c r="G77" t="s">
        <v>21</v>
      </c>
      <c r="H77" s="1">
        <v>45749</v>
      </c>
      <c r="I77" t="s">
        <v>13</v>
      </c>
      <c r="J77" t="str">
        <f>IF(ISBLANK(Table2[[#This Row],[ReceivedDate]]),"Unpaid",IF(Table2[[#This Row],[ReceivedDate]]&gt;Table2[[#This Row],[DueDate]],"Late",IF(Table2[[#This Row],[ReceivedDate]]&lt;Table2[[#This Row],[DueDate]],"Early","On Time")))</f>
        <v>On Time</v>
      </c>
    </row>
    <row r="78" spans="1:10" x14ac:dyDescent="0.3">
      <c r="A78" t="s">
        <v>99</v>
      </c>
      <c r="B78" t="s">
        <v>10</v>
      </c>
      <c r="C78" s="1">
        <v>45018</v>
      </c>
      <c r="D78" s="1">
        <v>45063</v>
      </c>
      <c r="E78" s="2">
        <v>6399.62</v>
      </c>
      <c r="F78" t="s">
        <v>19</v>
      </c>
      <c r="G78" t="s">
        <v>12</v>
      </c>
      <c r="I78" t="s">
        <v>13</v>
      </c>
      <c r="J78" t="str">
        <f>IF(ISBLANK(Table2[[#This Row],[ReceivedDate]]),"Unpaid",IF(Table2[[#This Row],[ReceivedDate]]&gt;Table2[[#This Row],[DueDate]],"Late",IF(Table2[[#This Row],[ReceivedDate]]&lt;Table2[[#This Row],[DueDate]],"Early","On Time")))</f>
        <v>Unpaid</v>
      </c>
    </row>
    <row r="79" spans="1:10" x14ac:dyDescent="0.3">
      <c r="A79" t="s">
        <v>100</v>
      </c>
      <c r="B79" t="s">
        <v>10</v>
      </c>
      <c r="C79" s="1">
        <v>45107</v>
      </c>
      <c r="D79" s="1">
        <v>45152</v>
      </c>
      <c r="E79" s="2">
        <v>775.03</v>
      </c>
      <c r="F79" t="s">
        <v>16</v>
      </c>
      <c r="G79" t="s">
        <v>17</v>
      </c>
      <c r="I79" t="s">
        <v>13</v>
      </c>
      <c r="J79" t="str">
        <f>IF(ISBLANK(Table2[[#This Row],[ReceivedDate]]),"Unpaid",IF(Table2[[#This Row],[ReceivedDate]]&gt;Table2[[#This Row],[DueDate]],"Late",IF(Table2[[#This Row],[ReceivedDate]]&lt;Table2[[#This Row],[DueDate]],"Early","On Time")))</f>
        <v>Unpaid</v>
      </c>
    </row>
    <row r="80" spans="1:10" x14ac:dyDescent="0.3">
      <c r="A80" t="s">
        <v>101</v>
      </c>
      <c r="B80" t="s">
        <v>15</v>
      </c>
      <c r="C80" s="1">
        <v>45562</v>
      </c>
      <c r="D80" s="1">
        <v>45607</v>
      </c>
      <c r="E80" s="2">
        <v>3847.51</v>
      </c>
      <c r="F80" t="s">
        <v>28</v>
      </c>
      <c r="G80" t="s">
        <v>12</v>
      </c>
      <c r="I80" t="s">
        <v>13</v>
      </c>
      <c r="J80" t="str">
        <f>IF(ISBLANK(Table2[[#This Row],[ReceivedDate]]),"Unpaid",IF(Table2[[#This Row],[ReceivedDate]]&gt;Table2[[#This Row],[DueDate]],"Late",IF(Table2[[#This Row],[ReceivedDate]]&lt;Table2[[#This Row],[DueDate]],"Early","On Time")))</f>
        <v>Unpaid</v>
      </c>
    </row>
    <row r="81" spans="1:10" x14ac:dyDescent="0.3">
      <c r="A81" t="s">
        <v>102</v>
      </c>
      <c r="B81" t="s">
        <v>15</v>
      </c>
      <c r="C81" s="1">
        <v>45746</v>
      </c>
      <c r="D81" s="1">
        <v>45791</v>
      </c>
      <c r="E81" s="2">
        <v>7379.19</v>
      </c>
      <c r="F81" t="s">
        <v>16</v>
      </c>
      <c r="G81" t="s">
        <v>21</v>
      </c>
      <c r="H81" s="1">
        <v>45791</v>
      </c>
      <c r="I81" t="s">
        <v>13</v>
      </c>
      <c r="J81" t="str">
        <f>IF(ISBLANK(Table2[[#This Row],[ReceivedDate]]),"Unpaid",IF(Table2[[#This Row],[ReceivedDate]]&gt;Table2[[#This Row],[DueDate]],"Late",IF(Table2[[#This Row],[ReceivedDate]]&lt;Table2[[#This Row],[DueDate]],"Early","On Time")))</f>
        <v>On Time</v>
      </c>
    </row>
    <row r="82" spans="1:10" x14ac:dyDescent="0.3">
      <c r="A82" t="s">
        <v>103</v>
      </c>
      <c r="B82" t="s">
        <v>25</v>
      </c>
      <c r="C82" s="1">
        <v>45822</v>
      </c>
      <c r="D82" s="1">
        <v>45867</v>
      </c>
      <c r="E82" s="2">
        <v>3736.92</v>
      </c>
      <c r="F82" t="s">
        <v>16</v>
      </c>
      <c r="G82" t="s">
        <v>12</v>
      </c>
      <c r="I82" t="s">
        <v>13</v>
      </c>
      <c r="J82" t="str">
        <f>IF(ISBLANK(Table2[[#This Row],[ReceivedDate]]),"Unpaid",IF(Table2[[#This Row],[ReceivedDate]]&gt;Table2[[#This Row],[DueDate]],"Late",IF(Table2[[#This Row],[ReceivedDate]]&lt;Table2[[#This Row],[DueDate]],"Early","On Time")))</f>
        <v>Unpaid</v>
      </c>
    </row>
    <row r="83" spans="1:10" x14ac:dyDescent="0.3">
      <c r="A83" t="s">
        <v>104</v>
      </c>
      <c r="B83" t="s">
        <v>30</v>
      </c>
      <c r="C83" s="1">
        <v>45518</v>
      </c>
      <c r="D83" s="1">
        <v>45563</v>
      </c>
      <c r="E83" s="2">
        <v>7917.43</v>
      </c>
      <c r="F83" t="s">
        <v>19</v>
      </c>
      <c r="G83" t="s">
        <v>21</v>
      </c>
      <c r="H83" s="1">
        <v>45563</v>
      </c>
      <c r="I83" t="s">
        <v>13</v>
      </c>
      <c r="J83" t="str">
        <f>IF(ISBLANK(Table2[[#This Row],[ReceivedDate]]),"Unpaid",IF(Table2[[#This Row],[ReceivedDate]]&gt;Table2[[#This Row],[DueDate]],"Late",IF(Table2[[#This Row],[ReceivedDate]]&lt;Table2[[#This Row],[DueDate]],"Early","On Time")))</f>
        <v>On Time</v>
      </c>
    </row>
    <row r="84" spans="1:10" x14ac:dyDescent="0.3">
      <c r="A84" t="s">
        <v>105</v>
      </c>
      <c r="B84" t="s">
        <v>25</v>
      </c>
      <c r="C84" s="1">
        <v>45511</v>
      </c>
      <c r="D84" s="1">
        <v>45556</v>
      </c>
      <c r="E84" s="2">
        <v>7325.37</v>
      </c>
      <c r="F84" t="s">
        <v>28</v>
      </c>
      <c r="G84" t="s">
        <v>12</v>
      </c>
      <c r="I84" t="s">
        <v>13</v>
      </c>
      <c r="J84" t="str">
        <f>IF(ISBLANK(Table2[[#This Row],[ReceivedDate]]),"Unpaid",IF(Table2[[#This Row],[ReceivedDate]]&gt;Table2[[#This Row],[DueDate]],"Late",IF(Table2[[#This Row],[ReceivedDate]]&lt;Table2[[#This Row],[DueDate]],"Early","On Time")))</f>
        <v>Unpaid</v>
      </c>
    </row>
    <row r="85" spans="1:10" x14ac:dyDescent="0.3">
      <c r="A85" t="s">
        <v>106</v>
      </c>
      <c r="B85" t="s">
        <v>30</v>
      </c>
      <c r="C85" s="1">
        <v>45131</v>
      </c>
      <c r="D85" s="1">
        <v>45176</v>
      </c>
      <c r="E85" s="2">
        <v>3958.69</v>
      </c>
      <c r="F85" t="s">
        <v>28</v>
      </c>
      <c r="G85" t="s">
        <v>12</v>
      </c>
      <c r="I85" t="s">
        <v>13</v>
      </c>
      <c r="J85" t="str">
        <f>IF(ISBLANK(Table2[[#This Row],[ReceivedDate]]),"Unpaid",IF(Table2[[#This Row],[ReceivedDate]]&gt;Table2[[#This Row],[DueDate]],"Late",IF(Table2[[#This Row],[ReceivedDate]]&lt;Table2[[#This Row],[DueDate]],"Early","On Time")))</f>
        <v>Unpaid</v>
      </c>
    </row>
    <row r="86" spans="1:10" x14ac:dyDescent="0.3">
      <c r="A86" t="s">
        <v>107</v>
      </c>
      <c r="B86" t="s">
        <v>25</v>
      </c>
      <c r="C86" s="1">
        <v>45464</v>
      </c>
      <c r="D86" s="1">
        <v>45509</v>
      </c>
      <c r="E86" s="2">
        <v>996.98</v>
      </c>
      <c r="F86" t="s">
        <v>28</v>
      </c>
      <c r="G86" t="s">
        <v>17</v>
      </c>
      <c r="I86" t="s">
        <v>13</v>
      </c>
      <c r="J86" t="str">
        <f>IF(ISBLANK(Table2[[#This Row],[ReceivedDate]]),"Unpaid",IF(Table2[[#This Row],[ReceivedDate]]&gt;Table2[[#This Row],[DueDate]],"Late",IF(Table2[[#This Row],[ReceivedDate]]&lt;Table2[[#This Row],[DueDate]],"Early","On Time")))</f>
        <v>Unpaid</v>
      </c>
    </row>
    <row r="87" spans="1:10" x14ac:dyDescent="0.3">
      <c r="A87" t="s">
        <v>108</v>
      </c>
      <c r="B87" t="s">
        <v>25</v>
      </c>
      <c r="C87" s="1">
        <v>45142</v>
      </c>
      <c r="D87" s="1">
        <v>45187</v>
      </c>
      <c r="E87" s="2">
        <v>5165.8999999999996</v>
      </c>
      <c r="F87" t="s">
        <v>11</v>
      </c>
      <c r="G87" t="s">
        <v>12</v>
      </c>
      <c r="I87" t="s">
        <v>13</v>
      </c>
      <c r="J87" t="str">
        <f>IF(ISBLANK(Table2[[#This Row],[ReceivedDate]]),"Unpaid",IF(Table2[[#This Row],[ReceivedDate]]&gt;Table2[[#This Row],[DueDate]],"Late",IF(Table2[[#This Row],[ReceivedDate]]&lt;Table2[[#This Row],[DueDate]],"Early","On Time")))</f>
        <v>Unpaid</v>
      </c>
    </row>
    <row r="88" spans="1:10" x14ac:dyDescent="0.3">
      <c r="A88" t="s">
        <v>109</v>
      </c>
      <c r="B88" t="s">
        <v>25</v>
      </c>
      <c r="C88" s="1">
        <v>45485</v>
      </c>
      <c r="D88" s="1">
        <v>45530</v>
      </c>
      <c r="E88" s="2">
        <v>6048.66</v>
      </c>
      <c r="F88" t="s">
        <v>16</v>
      </c>
      <c r="G88" t="s">
        <v>17</v>
      </c>
      <c r="I88" t="s">
        <v>13</v>
      </c>
      <c r="J88" t="str">
        <f>IF(ISBLANK(Table2[[#This Row],[ReceivedDate]]),"Unpaid",IF(Table2[[#This Row],[ReceivedDate]]&gt;Table2[[#This Row],[DueDate]],"Late",IF(Table2[[#This Row],[ReceivedDate]]&lt;Table2[[#This Row],[DueDate]],"Early","On Time")))</f>
        <v>Unpaid</v>
      </c>
    </row>
    <row r="89" spans="1:10" x14ac:dyDescent="0.3">
      <c r="A89" t="s">
        <v>110</v>
      </c>
      <c r="B89" t="s">
        <v>10</v>
      </c>
      <c r="C89" s="1">
        <v>45276</v>
      </c>
      <c r="D89" s="1">
        <v>45321</v>
      </c>
      <c r="E89" s="2">
        <v>1217.8699999999999</v>
      </c>
      <c r="F89" t="s">
        <v>11</v>
      </c>
      <c r="G89" t="s">
        <v>21</v>
      </c>
      <c r="H89" s="1">
        <v>45321</v>
      </c>
      <c r="I89" t="s">
        <v>13</v>
      </c>
      <c r="J89" t="str">
        <f>IF(ISBLANK(Table2[[#This Row],[ReceivedDate]]),"Unpaid",IF(Table2[[#This Row],[ReceivedDate]]&gt;Table2[[#This Row],[DueDate]],"Late",IF(Table2[[#This Row],[ReceivedDate]]&lt;Table2[[#This Row],[DueDate]],"Early","On Time")))</f>
        <v>On Time</v>
      </c>
    </row>
    <row r="90" spans="1:10" x14ac:dyDescent="0.3">
      <c r="A90" t="s">
        <v>111</v>
      </c>
      <c r="B90" t="s">
        <v>25</v>
      </c>
      <c r="C90" s="1">
        <v>45380</v>
      </c>
      <c r="D90" s="1">
        <v>45425</v>
      </c>
      <c r="E90" s="2">
        <v>7578.16</v>
      </c>
      <c r="F90" t="s">
        <v>16</v>
      </c>
      <c r="G90" t="s">
        <v>12</v>
      </c>
      <c r="I90" t="s">
        <v>13</v>
      </c>
      <c r="J90" t="str">
        <f>IF(ISBLANK(Table2[[#This Row],[ReceivedDate]]),"Unpaid",IF(Table2[[#This Row],[ReceivedDate]]&gt;Table2[[#This Row],[DueDate]],"Late",IF(Table2[[#This Row],[ReceivedDate]]&lt;Table2[[#This Row],[DueDate]],"Early","On Time")))</f>
        <v>Unpaid</v>
      </c>
    </row>
    <row r="91" spans="1:10" x14ac:dyDescent="0.3">
      <c r="A91" t="s">
        <v>112</v>
      </c>
      <c r="B91" t="s">
        <v>15</v>
      </c>
      <c r="C91" s="1">
        <v>45062</v>
      </c>
      <c r="D91" s="1">
        <v>45107</v>
      </c>
      <c r="E91" s="2">
        <v>2123.65</v>
      </c>
      <c r="F91" t="s">
        <v>19</v>
      </c>
      <c r="G91" t="s">
        <v>17</v>
      </c>
      <c r="I91" t="s">
        <v>13</v>
      </c>
      <c r="J91" t="str">
        <f>IF(ISBLANK(Table2[[#This Row],[ReceivedDate]]),"Unpaid",IF(Table2[[#This Row],[ReceivedDate]]&gt;Table2[[#This Row],[DueDate]],"Late",IF(Table2[[#This Row],[ReceivedDate]]&lt;Table2[[#This Row],[DueDate]],"Early","On Time")))</f>
        <v>Unpaid</v>
      </c>
    </row>
    <row r="92" spans="1:10" x14ac:dyDescent="0.3">
      <c r="A92" t="s">
        <v>113</v>
      </c>
      <c r="B92" t="s">
        <v>23</v>
      </c>
      <c r="C92" s="1">
        <v>45349</v>
      </c>
      <c r="D92" s="1">
        <v>45394</v>
      </c>
      <c r="E92" s="2">
        <v>3260.89</v>
      </c>
      <c r="F92" t="s">
        <v>26</v>
      </c>
      <c r="G92" t="s">
        <v>21</v>
      </c>
      <c r="H92" s="1">
        <v>45394</v>
      </c>
      <c r="I92" t="s">
        <v>13</v>
      </c>
      <c r="J92" t="str">
        <f>IF(ISBLANK(Table2[[#This Row],[ReceivedDate]]),"Unpaid",IF(Table2[[#This Row],[ReceivedDate]]&gt;Table2[[#This Row],[DueDate]],"Late",IF(Table2[[#This Row],[ReceivedDate]]&lt;Table2[[#This Row],[DueDate]],"Early","On Time")))</f>
        <v>On Time</v>
      </c>
    </row>
    <row r="93" spans="1:10" x14ac:dyDescent="0.3">
      <c r="A93" t="s">
        <v>114</v>
      </c>
      <c r="B93" t="s">
        <v>10</v>
      </c>
      <c r="C93" s="1">
        <v>45665</v>
      </c>
      <c r="D93" s="1">
        <v>45710</v>
      </c>
      <c r="E93" s="2">
        <v>3764.75</v>
      </c>
      <c r="F93" t="s">
        <v>19</v>
      </c>
      <c r="G93" t="s">
        <v>17</v>
      </c>
      <c r="I93" t="s">
        <v>13</v>
      </c>
      <c r="J93" t="str">
        <f>IF(ISBLANK(Table2[[#This Row],[ReceivedDate]]),"Unpaid",IF(Table2[[#This Row],[ReceivedDate]]&gt;Table2[[#This Row],[DueDate]],"Late",IF(Table2[[#This Row],[ReceivedDate]]&lt;Table2[[#This Row],[DueDate]],"Early","On Time")))</f>
        <v>Unpaid</v>
      </c>
    </row>
    <row r="94" spans="1:10" x14ac:dyDescent="0.3">
      <c r="A94" t="s">
        <v>115</v>
      </c>
      <c r="B94" t="s">
        <v>30</v>
      </c>
      <c r="C94" s="1">
        <v>45741</v>
      </c>
      <c r="D94" s="1">
        <v>45786</v>
      </c>
      <c r="E94" s="2">
        <v>820.19</v>
      </c>
      <c r="F94" t="s">
        <v>16</v>
      </c>
      <c r="G94" t="s">
        <v>12</v>
      </c>
      <c r="I94" t="s">
        <v>13</v>
      </c>
      <c r="J94" t="str">
        <f>IF(ISBLANK(Table2[[#This Row],[ReceivedDate]]),"Unpaid",IF(Table2[[#This Row],[ReceivedDate]]&gt;Table2[[#This Row],[DueDate]],"Late",IF(Table2[[#This Row],[ReceivedDate]]&lt;Table2[[#This Row],[DueDate]],"Early","On Time")))</f>
        <v>Unpaid</v>
      </c>
    </row>
    <row r="95" spans="1:10" x14ac:dyDescent="0.3">
      <c r="A95" t="s">
        <v>116</v>
      </c>
      <c r="B95" t="s">
        <v>15</v>
      </c>
      <c r="C95" s="1">
        <v>45787</v>
      </c>
      <c r="D95" s="1">
        <v>45832</v>
      </c>
      <c r="E95" s="2">
        <v>5512.04</v>
      </c>
      <c r="F95" t="s">
        <v>16</v>
      </c>
      <c r="G95" t="s">
        <v>21</v>
      </c>
      <c r="H95" s="1">
        <v>45832</v>
      </c>
      <c r="I95" t="s">
        <v>13</v>
      </c>
      <c r="J95" t="str">
        <f>IF(ISBLANK(Table2[[#This Row],[ReceivedDate]]),"Unpaid",IF(Table2[[#This Row],[ReceivedDate]]&gt;Table2[[#This Row],[DueDate]],"Late",IF(Table2[[#This Row],[ReceivedDate]]&lt;Table2[[#This Row],[DueDate]],"Early","On Time")))</f>
        <v>On Time</v>
      </c>
    </row>
    <row r="96" spans="1:10" x14ac:dyDescent="0.3">
      <c r="A96" t="s">
        <v>117</v>
      </c>
      <c r="B96" t="s">
        <v>25</v>
      </c>
      <c r="C96" s="1">
        <v>45552</v>
      </c>
      <c r="D96" s="1">
        <v>45597</v>
      </c>
      <c r="E96" s="2">
        <v>3114.54</v>
      </c>
      <c r="F96" t="s">
        <v>16</v>
      </c>
      <c r="G96" t="s">
        <v>21</v>
      </c>
      <c r="H96" s="1">
        <v>45597</v>
      </c>
      <c r="I96" t="s">
        <v>13</v>
      </c>
      <c r="J96" t="str">
        <f>IF(ISBLANK(Table2[[#This Row],[ReceivedDate]]),"Unpaid",IF(Table2[[#This Row],[ReceivedDate]]&gt;Table2[[#This Row],[DueDate]],"Late",IF(Table2[[#This Row],[ReceivedDate]]&lt;Table2[[#This Row],[DueDate]],"Early","On Time")))</f>
        <v>On Time</v>
      </c>
    </row>
    <row r="97" spans="1:10" x14ac:dyDescent="0.3">
      <c r="A97" t="s">
        <v>118</v>
      </c>
      <c r="B97" t="s">
        <v>30</v>
      </c>
      <c r="C97" s="1">
        <v>45583</v>
      </c>
      <c r="D97" s="1">
        <v>45628</v>
      </c>
      <c r="E97" s="2">
        <v>2445.4899999999998</v>
      </c>
      <c r="F97" t="s">
        <v>28</v>
      </c>
      <c r="G97" t="s">
        <v>17</v>
      </c>
      <c r="I97" t="s">
        <v>13</v>
      </c>
      <c r="J97" t="str">
        <f>IF(ISBLANK(Table2[[#This Row],[ReceivedDate]]),"Unpaid",IF(Table2[[#This Row],[ReceivedDate]]&gt;Table2[[#This Row],[DueDate]],"Late",IF(Table2[[#This Row],[ReceivedDate]]&lt;Table2[[#This Row],[DueDate]],"Early","On Time")))</f>
        <v>Unpaid</v>
      </c>
    </row>
    <row r="98" spans="1:10" x14ac:dyDescent="0.3">
      <c r="A98" t="s">
        <v>119</v>
      </c>
      <c r="B98" t="s">
        <v>25</v>
      </c>
      <c r="C98" s="1">
        <v>45273</v>
      </c>
      <c r="D98" s="1">
        <v>45318</v>
      </c>
      <c r="E98" s="2">
        <v>1998.78</v>
      </c>
      <c r="F98" t="s">
        <v>16</v>
      </c>
      <c r="G98" t="s">
        <v>12</v>
      </c>
      <c r="I98" t="s">
        <v>13</v>
      </c>
      <c r="J98" t="str">
        <f>IF(ISBLANK(Table2[[#This Row],[ReceivedDate]]),"Unpaid",IF(Table2[[#This Row],[ReceivedDate]]&gt;Table2[[#This Row],[DueDate]],"Late",IF(Table2[[#This Row],[ReceivedDate]]&lt;Table2[[#This Row],[DueDate]],"Early","On Time")))</f>
        <v>Unpaid</v>
      </c>
    </row>
    <row r="99" spans="1:10" x14ac:dyDescent="0.3">
      <c r="A99" t="s">
        <v>120</v>
      </c>
      <c r="B99" t="s">
        <v>15</v>
      </c>
      <c r="C99" s="1">
        <v>45285</v>
      </c>
      <c r="D99" s="1">
        <v>45330</v>
      </c>
      <c r="E99" s="2">
        <v>3998.83</v>
      </c>
      <c r="F99" t="s">
        <v>28</v>
      </c>
      <c r="G99" t="s">
        <v>17</v>
      </c>
      <c r="I99" t="s">
        <v>13</v>
      </c>
      <c r="J99" t="str">
        <f>IF(ISBLANK(Table2[[#This Row],[ReceivedDate]]),"Unpaid",IF(Table2[[#This Row],[ReceivedDate]]&gt;Table2[[#This Row],[DueDate]],"Late",IF(Table2[[#This Row],[ReceivedDate]]&lt;Table2[[#This Row],[DueDate]],"Early","On Time")))</f>
        <v>Unpaid</v>
      </c>
    </row>
    <row r="100" spans="1:10" x14ac:dyDescent="0.3">
      <c r="A100" t="s">
        <v>121</v>
      </c>
      <c r="B100" t="s">
        <v>25</v>
      </c>
      <c r="C100" s="1">
        <v>45143</v>
      </c>
      <c r="D100" s="1">
        <v>45188</v>
      </c>
      <c r="E100" s="2">
        <v>7583.72</v>
      </c>
      <c r="F100" t="s">
        <v>16</v>
      </c>
      <c r="G100" t="s">
        <v>17</v>
      </c>
      <c r="I100" t="s">
        <v>13</v>
      </c>
      <c r="J100" t="str">
        <f>IF(ISBLANK(Table2[[#This Row],[ReceivedDate]]),"Unpaid",IF(Table2[[#This Row],[ReceivedDate]]&gt;Table2[[#This Row],[DueDate]],"Late",IF(Table2[[#This Row],[ReceivedDate]]&lt;Table2[[#This Row],[DueDate]],"Early","On Time")))</f>
        <v>Unpaid</v>
      </c>
    </row>
    <row r="101" spans="1:10" x14ac:dyDescent="0.3">
      <c r="A101" t="s">
        <v>122</v>
      </c>
      <c r="B101" t="s">
        <v>30</v>
      </c>
      <c r="C101" s="1">
        <v>45017</v>
      </c>
      <c r="D101" s="1">
        <v>45062</v>
      </c>
      <c r="E101" s="2">
        <v>962.46</v>
      </c>
      <c r="F101" t="s">
        <v>26</v>
      </c>
      <c r="G101" t="s">
        <v>17</v>
      </c>
      <c r="I101" t="s">
        <v>13</v>
      </c>
      <c r="J101" t="str">
        <f>IF(ISBLANK(Table2[[#This Row],[ReceivedDate]]),"Unpaid",IF(Table2[[#This Row],[ReceivedDate]]&gt;Table2[[#This Row],[DueDate]],"Late",IF(Table2[[#This Row],[ReceivedDate]]&lt;Table2[[#This Row],[DueDate]],"Early","On Time")))</f>
        <v>Unpaid</v>
      </c>
    </row>
    <row r="102" spans="1:10" x14ac:dyDescent="0.3">
      <c r="A102" t="s">
        <v>123</v>
      </c>
      <c r="B102" t="s">
        <v>23</v>
      </c>
      <c r="C102" s="1">
        <v>45375</v>
      </c>
      <c r="D102" s="1">
        <v>45420</v>
      </c>
      <c r="E102" s="2">
        <v>2924.69</v>
      </c>
      <c r="F102" t="s">
        <v>26</v>
      </c>
      <c r="G102" t="s">
        <v>17</v>
      </c>
      <c r="I102" t="s">
        <v>13</v>
      </c>
      <c r="J102" t="str">
        <f>IF(ISBLANK(Table2[[#This Row],[ReceivedDate]]),"Unpaid",IF(Table2[[#This Row],[ReceivedDate]]&gt;Table2[[#This Row],[DueDate]],"Late",IF(Table2[[#This Row],[ReceivedDate]]&lt;Table2[[#This Row],[DueDate]],"Early","On Time")))</f>
        <v>Unpaid</v>
      </c>
    </row>
    <row r="103" spans="1:10" x14ac:dyDescent="0.3">
      <c r="A103" t="s">
        <v>124</v>
      </c>
      <c r="B103" t="s">
        <v>23</v>
      </c>
      <c r="C103" s="1">
        <v>45189</v>
      </c>
      <c r="D103" s="1">
        <v>45234</v>
      </c>
      <c r="E103" s="2">
        <v>4442.67</v>
      </c>
      <c r="F103" t="s">
        <v>16</v>
      </c>
      <c r="G103" t="s">
        <v>17</v>
      </c>
      <c r="I103" t="s">
        <v>13</v>
      </c>
      <c r="J103" t="str">
        <f>IF(ISBLANK(Table2[[#This Row],[ReceivedDate]]),"Unpaid",IF(Table2[[#This Row],[ReceivedDate]]&gt;Table2[[#This Row],[DueDate]],"Late",IF(Table2[[#This Row],[ReceivedDate]]&lt;Table2[[#This Row],[DueDate]],"Early","On Time")))</f>
        <v>Unpaid</v>
      </c>
    </row>
    <row r="104" spans="1:10" x14ac:dyDescent="0.3">
      <c r="A104" t="s">
        <v>125</v>
      </c>
      <c r="B104" t="s">
        <v>10</v>
      </c>
      <c r="C104" s="1">
        <v>45825</v>
      </c>
      <c r="D104" s="1">
        <v>45870</v>
      </c>
      <c r="E104" s="2">
        <v>1643.11</v>
      </c>
      <c r="F104" t="s">
        <v>26</v>
      </c>
      <c r="G104" t="s">
        <v>21</v>
      </c>
      <c r="H104" s="1">
        <v>45870</v>
      </c>
      <c r="I104" t="s">
        <v>13</v>
      </c>
      <c r="J104" t="str">
        <f>IF(ISBLANK(Table2[[#This Row],[ReceivedDate]]),"Unpaid",IF(Table2[[#This Row],[ReceivedDate]]&gt;Table2[[#This Row],[DueDate]],"Late",IF(Table2[[#This Row],[ReceivedDate]]&lt;Table2[[#This Row],[DueDate]],"Early","On Time")))</f>
        <v>On Time</v>
      </c>
    </row>
    <row r="105" spans="1:10" x14ac:dyDescent="0.3">
      <c r="A105" t="s">
        <v>126</v>
      </c>
      <c r="B105" t="s">
        <v>23</v>
      </c>
      <c r="C105" s="1">
        <v>44950</v>
      </c>
      <c r="D105" s="1">
        <v>44995</v>
      </c>
      <c r="E105" s="2">
        <v>779.56</v>
      </c>
      <c r="F105" t="s">
        <v>11</v>
      </c>
      <c r="G105" t="s">
        <v>12</v>
      </c>
      <c r="I105" t="s">
        <v>13</v>
      </c>
      <c r="J105" t="str">
        <f>IF(ISBLANK(Table2[[#This Row],[ReceivedDate]]),"Unpaid",IF(Table2[[#This Row],[ReceivedDate]]&gt;Table2[[#This Row],[DueDate]],"Late",IF(Table2[[#This Row],[ReceivedDate]]&lt;Table2[[#This Row],[DueDate]],"Early","On Time")))</f>
        <v>Unpaid</v>
      </c>
    </row>
    <row r="106" spans="1:10" x14ac:dyDescent="0.3">
      <c r="A106" t="s">
        <v>127</v>
      </c>
      <c r="B106" t="s">
        <v>10</v>
      </c>
      <c r="C106" s="1">
        <v>45244</v>
      </c>
      <c r="D106" s="1">
        <v>45289</v>
      </c>
      <c r="E106" s="2">
        <v>546.16</v>
      </c>
      <c r="F106" t="s">
        <v>19</v>
      </c>
      <c r="G106" t="s">
        <v>17</v>
      </c>
      <c r="I106" t="s">
        <v>13</v>
      </c>
      <c r="J106" t="str">
        <f>IF(ISBLANK(Table2[[#This Row],[ReceivedDate]]),"Unpaid",IF(Table2[[#This Row],[ReceivedDate]]&gt;Table2[[#This Row],[DueDate]],"Late",IF(Table2[[#This Row],[ReceivedDate]]&lt;Table2[[#This Row],[DueDate]],"Early","On Time")))</f>
        <v>Unpaid</v>
      </c>
    </row>
    <row r="107" spans="1:10" x14ac:dyDescent="0.3">
      <c r="A107" t="s">
        <v>128</v>
      </c>
      <c r="B107" t="s">
        <v>30</v>
      </c>
      <c r="C107" s="1">
        <v>45553</v>
      </c>
      <c r="D107" s="1">
        <v>45598</v>
      </c>
      <c r="E107" s="2">
        <v>7954.05</v>
      </c>
      <c r="F107" t="s">
        <v>26</v>
      </c>
      <c r="G107" t="s">
        <v>17</v>
      </c>
      <c r="I107" t="s">
        <v>13</v>
      </c>
      <c r="J107" t="str">
        <f>IF(ISBLANK(Table2[[#This Row],[ReceivedDate]]),"Unpaid",IF(Table2[[#This Row],[ReceivedDate]]&gt;Table2[[#This Row],[DueDate]],"Late",IF(Table2[[#This Row],[ReceivedDate]]&lt;Table2[[#This Row],[DueDate]],"Early","On Time")))</f>
        <v>Unpaid</v>
      </c>
    </row>
    <row r="108" spans="1:10" x14ac:dyDescent="0.3">
      <c r="A108" t="s">
        <v>129</v>
      </c>
      <c r="B108" t="s">
        <v>15</v>
      </c>
      <c r="C108" s="1">
        <v>45543</v>
      </c>
      <c r="D108" s="1">
        <v>45588</v>
      </c>
      <c r="E108" s="2">
        <v>3639.68</v>
      </c>
      <c r="F108" t="s">
        <v>26</v>
      </c>
      <c r="G108" t="s">
        <v>17</v>
      </c>
      <c r="I108" t="s">
        <v>13</v>
      </c>
      <c r="J108" t="str">
        <f>IF(ISBLANK(Table2[[#This Row],[ReceivedDate]]),"Unpaid",IF(Table2[[#This Row],[ReceivedDate]]&gt;Table2[[#This Row],[DueDate]],"Late",IF(Table2[[#This Row],[ReceivedDate]]&lt;Table2[[#This Row],[DueDate]],"Early","On Time")))</f>
        <v>Unpaid</v>
      </c>
    </row>
    <row r="109" spans="1:10" x14ac:dyDescent="0.3">
      <c r="A109" t="s">
        <v>130</v>
      </c>
      <c r="B109" t="s">
        <v>30</v>
      </c>
      <c r="C109" s="1">
        <v>45831</v>
      </c>
      <c r="D109" s="1">
        <v>45876</v>
      </c>
      <c r="E109" s="2">
        <v>7625.21</v>
      </c>
      <c r="F109" t="s">
        <v>28</v>
      </c>
      <c r="G109" t="s">
        <v>12</v>
      </c>
      <c r="I109" t="s">
        <v>13</v>
      </c>
      <c r="J109" t="str">
        <f>IF(ISBLANK(Table2[[#This Row],[ReceivedDate]]),"Unpaid",IF(Table2[[#This Row],[ReceivedDate]]&gt;Table2[[#This Row],[DueDate]],"Late",IF(Table2[[#This Row],[ReceivedDate]]&lt;Table2[[#This Row],[DueDate]],"Early","On Time")))</f>
        <v>Unpaid</v>
      </c>
    </row>
    <row r="110" spans="1:10" x14ac:dyDescent="0.3">
      <c r="A110" t="s">
        <v>131</v>
      </c>
      <c r="B110" t="s">
        <v>30</v>
      </c>
      <c r="C110" s="1">
        <v>45358</v>
      </c>
      <c r="D110" s="1">
        <v>45403</v>
      </c>
      <c r="E110" s="2">
        <v>1585.28</v>
      </c>
      <c r="F110" t="s">
        <v>26</v>
      </c>
      <c r="G110" t="s">
        <v>12</v>
      </c>
      <c r="I110" t="s">
        <v>13</v>
      </c>
      <c r="J110" t="str">
        <f>IF(ISBLANK(Table2[[#This Row],[ReceivedDate]]),"Unpaid",IF(Table2[[#This Row],[ReceivedDate]]&gt;Table2[[#This Row],[DueDate]],"Late",IF(Table2[[#This Row],[ReceivedDate]]&lt;Table2[[#This Row],[DueDate]],"Early","On Time")))</f>
        <v>Unpaid</v>
      </c>
    </row>
    <row r="111" spans="1:10" x14ac:dyDescent="0.3">
      <c r="A111" t="s">
        <v>132</v>
      </c>
      <c r="B111" t="s">
        <v>25</v>
      </c>
      <c r="C111" s="1">
        <v>45590</v>
      </c>
      <c r="D111" s="1">
        <v>45635</v>
      </c>
      <c r="E111" s="2">
        <v>839.17</v>
      </c>
      <c r="F111" t="s">
        <v>28</v>
      </c>
      <c r="G111" t="s">
        <v>17</v>
      </c>
      <c r="I111" t="s">
        <v>13</v>
      </c>
      <c r="J111" t="str">
        <f>IF(ISBLANK(Table2[[#This Row],[ReceivedDate]]),"Unpaid",IF(Table2[[#This Row],[ReceivedDate]]&gt;Table2[[#This Row],[DueDate]],"Late",IF(Table2[[#This Row],[ReceivedDate]]&lt;Table2[[#This Row],[DueDate]],"Early","On Time")))</f>
        <v>Unpaid</v>
      </c>
    </row>
    <row r="112" spans="1:10" x14ac:dyDescent="0.3">
      <c r="A112" t="s">
        <v>133</v>
      </c>
      <c r="B112" t="s">
        <v>23</v>
      </c>
      <c r="C112" s="1">
        <v>45704</v>
      </c>
      <c r="D112" s="1">
        <v>45749</v>
      </c>
      <c r="E112" s="2">
        <v>3881.62</v>
      </c>
      <c r="F112" t="s">
        <v>16</v>
      </c>
      <c r="G112" t="s">
        <v>17</v>
      </c>
      <c r="I112" t="s">
        <v>13</v>
      </c>
      <c r="J112" t="str">
        <f>IF(ISBLANK(Table2[[#This Row],[ReceivedDate]]),"Unpaid",IF(Table2[[#This Row],[ReceivedDate]]&gt;Table2[[#This Row],[DueDate]],"Late",IF(Table2[[#This Row],[ReceivedDate]]&lt;Table2[[#This Row],[DueDate]],"Early","On Time")))</f>
        <v>Unpaid</v>
      </c>
    </row>
    <row r="113" spans="1:10" x14ac:dyDescent="0.3">
      <c r="A113" t="s">
        <v>134</v>
      </c>
      <c r="B113" t="s">
        <v>23</v>
      </c>
      <c r="C113" s="1">
        <v>45113</v>
      </c>
      <c r="D113" s="1">
        <v>45158</v>
      </c>
      <c r="E113" s="2">
        <v>7797.4</v>
      </c>
      <c r="F113" t="s">
        <v>26</v>
      </c>
      <c r="G113" t="s">
        <v>17</v>
      </c>
      <c r="I113" t="s">
        <v>13</v>
      </c>
      <c r="J113" t="str">
        <f>IF(ISBLANK(Table2[[#This Row],[ReceivedDate]]),"Unpaid",IF(Table2[[#This Row],[ReceivedDate]]&gt;Table2[[#This Row],[DueDate]],"Late",IF(Table2[[#This Row],[ReceivedDate]]&lt;Table2[[#This Row],[DueDate]],"Early","On Time")))</f>
        <v>Unpaid</v>
      </c>
    </row>
    <row r="114" spans="1:10" x14ac:dyDescent="0.3">
      <c r="A114" t="s">
        <v>135</v>
      </c>
      <c r="B114" t="s">
        <v>25</v>
      </c>
      <c r="C114" s="1">
        <v>45404</v>
      </c>
      <c r="D114" s="1">
        <v>45449</v>
      </c>
      <c r="E114" s="2">
        <v>3488.89</v>
      </c>
      <c r="F114" t="s">
        <v>11</v>
      </c>
      <c r="G114" t="s">
        <v>21</v>
      </c>
      <c r="H114" s="1">
        <v>45449</v>
      </c>
      <c r="I114" t="s">
        <v>13</v>
      </c>
      <c r="J114" t="str">
        <f>IF(ISBLANK(Table2[[#This Row],[ReceivedDate]]),"Unpaid",IF(Table2[[#This Row],[ReceivedDate]]&gt;Table2[[#This Row],[DueDate]],"Late",IF(Table2[[#This Row],[ReceivedDate]]&lt;Table2[[#This Row],[DueDate]],"Early","On Time")))</f>
        <v>On Time</v>
      </c>
    </row>
    <row r="115" spans="1:10" x14ac:dyDescent="0.3">
      <c r="A115" t="s">
        <v>136</v>
      </c>
      <c r="B115" t="s">
        <v>15</v>
      </c>
      <c r="C115" s="1">
        <v>45330</v>
      </c>
      <c r="D115" s="1">
        <v>45375</v>
      </c>
      <c r="E115" s="2">
        <v>2014.85</v>
      </c>
      <c r="F115" t="s">
        <v>26</v>
      </c>
      <c r="G115" t="s">
        <v>12</v>
      </c>
      <c r="I115" t="s">
        <v>13</v>
      </c>
      <c r="J115" t="str">
        <f>IF(ISBLANK(Table2[[#This Row],[ReceivedDate]]),"Unpaid",IF(Table2[[#This Row],[ReceivedDate]]&gt;Table2[[#This Row],[DueDate]],"Late",IF(Table2[[#This Row],[ReceivedDate]]&lt;Table2[[#This Row],[DueDate]],"Early","On Time")))</f>
        <v>Unpaid</v>
      </c>
    </row>
    <row r="116" spans="1:10" x14ac:dyDescent="0.3">
      <c r="A116" t="s">
        <v>137</v>
      </c>
      <c r="B116" t="s">
        <v>30</v>
      </c>
      <c r="C116" s="1">
        <v>45264</v>
      </c>
      <c r="D116" s="1">
        <v>45309</v>
      </c>
      <c r="E116" s="2">
        <v>4892.3500000000004</v>
      </c>
      <c r="F116" t="s">
        <v>28</v>
      </c>
      <c r="G116" t="s">
        <v>17</v>
      </c>
      <c r="I116" t="s">
        <v>13</v>
      </c>
      <c r="J116" t="str">
        <f>IF(ISBLANK(Table2[[#This Row],[ReceivedDate]]),"Unpaid",IF(Table2[[#This Row],[ReceivedDate]]&gt;Table2[[#This Row],[DueDate]],"Late",IF(Table2[[#This Row],[ReceivedDate]]&lt;Table2[[#This Row],[DueDate]],"Early","On Time")))</f>
        <v>Unpaid</v>
      </c>
    </row>
    <row r="117" spans="1:10" x14ac:dyDescent="0.3">
      <c r="A117" t="s">
        <v>138</v>
      </c>
      <c r="B117" t="s">
        <v>23</v>
      </c>
      <c r="C117" s="1">
        <v>45808</v>
      </c>
      <c r="D117" s="1">
        <v>45853</v>
      </c>
      <c r="E117" s="2">
        <v>4299.43</v>
      </c>
      <c r="F117" t="s">
        <v>11</v>
      </c>
      <c r="G117" t="s">
        <v>12</v>
      </c>
      <c r="I117" t="s">
        <v>13</v>
      </c>
      <c r="J117" t="str">
        <f>IF(ISBLANK(Table2[[#This Row],[ReceivedDate]]),"Unpaid",IF(Table2[[#This Row],[ReceivedDate]]&gt;Table2[[#This Row],[DueDate]],"Late",IF(Table2[[#This Row],[ReceivedDate]]&lt;Table2[[#This Row],[DueDate]],"Early","On Time")))</f>
        <v>Unpaid</v>
      </c>
    </row>
    <row r="118" spans="1:10" x14ac:dyDescent="0.3">
      <c r="A118" t="s">
        <v>139</v>
      </c>
      <c r="B118" t="s">
        <v>25</v>
      </c>
      <c r="C118" s="1">
        <v>45089</v>
      </c>
      <c r="D118" s="1">
        <v>45134</v>
      </c>
      <c r="E118" s="2">
        <v>5721</v>
      </c>
      <c r="F118" t="s">
        <v>11</v>
      </c>
      <c r="G118" t="s">
        <v>17</v>
      </c>
      <c r="I118" t="s">
        <v>13</v>
      </c>
      <c r="J118" t="str">
        <f>IF(ISBLANK(Table2[[#This Row],[ReceivedDate]]),"Unpaid",IF(Table2[[#This Row],[ReceivedDate]]&gt;Table2[[#This Row],[DueDate]],"Late",IF(Table2[[#This Row],[ReceivedDate]]&lt;Table2[[#This Row],[DueDate]],"Early","On Time")))</f>
        <v>Unpaid</v>
      </c>
    </row>
    <row r="119" spans="1:10" x14ac:dyDescent="0.3">
      <c r="A119" t="s">
        <v>140</v>
      </c>
      <c r="B119" t="s">
        <v>15</v>
      </c>
      <c r="C119" s="1">
        <v>45184</v>
      </c>
      <c r="D119" s="1">
        <v>45229</v>
      </c>
      <c r="E119" s="2">
        <v>7503.51</v>
      </c>
      <c r="F119" t="s">
        <v>11</v>
      </c>
      <c r="G119" t="s">
        <v>12</v>
      </c>
      <c r="I119" t="s">
        <v>13</v>
      </c>
      <c r="J119" t="str">
        <f>IF(ISBLANK(Table2[[#This Row],[ReceivedDate]]),"Unpaid",IF(Table2[[#This Row],[ReceivedDate]]&gt;Table2[[#This Row],[DueDate]],"Late",IF(Table2[[#This Row],[ReceivedDate]]&lt;Table2[[#This Row],[DueDate]],"Early","On Time")))</f>
        <v>Unpaid</v>
      </c>
    </row>
    <row r="120" spans="1:10" x14ac:dyDescent="0.3">
      <c r="A120" t="s">
        <v>141</v>
      </c>
      <c r="B120" t="s">
        <v>23</v>
      </c>
      <c r="C120" s="1">
        <v>45767</v>
      </c>
      <c r="D120" s="1">
        <v>45812</v>
      </c>
      <c r="E120" s="2">
        <v>971.21</v>
      </c>
      <c r="F120" t="s">
        <v>11</v>
      </c>
      <c r="G120" t="s">
        <v>21</v>
      </c>
      <c r="H120" s="1">
        <v>45812</v>
      </c>
      <c r="I120" t="s">
        <v>13</v>
      </c>
      <c r="J120" t="str">
        <f>IF(ISBLANK(Table2[[#This Row],[ReceivedDate]]),"Unpaid",IF(Table2[[#This Row],[ReceivedDate]]&gt;Table2[[#This Row],[DueDate]],"Late",IF(Table2[[#This Row],[ReceivedDate]]&lt;Table2[[#This Row],[DueDate]],"Early","On Time")))</f>
        <v>On Time</v>
      </c>
    </row>
    <row r="121" spans="1:10" x14ac:dyDescent="0.3">
      <c r="A121" t="s">
        <v>142</v>
      </c>
      <c r="B121" t="s">
        <v>30</v>
      </c>
      <c r="C121" s="1">
        <v>45475</v>
      </c>
      <c r="D121" s="1">
        <v>45520</v>
      </c>
      <c r="E121" s="2">
        <v>271.08999999999997</v>
      </c>
      <c r="F121" t="s">
        <v>11</v>
      </c>
      <c r="G121" t="s">
        <v>21</v>
      </c>
      <c r="H121" s="1">
        <v>45520</v>
      </c>
      <c r="I121" t="s">
        <v>13</v>
      </c>
      <c r="J121" t="str">
        <f>IF(ISBLANK(Table2[[#This Row],[ReceivedDate]]),"Unpaid",IF(Table2[[#This Row],[ReceivedDate]]&gt;Table2[[#This Row],[DueDate]],"Late",IF(Table2[[#This Row],[ReceivedDate]]&lt;Table2[[#This Row],[DueDate]],"Early","On Time")))</f>
        <v>On Time</v>
      </c>
    </row>
    <row r="122" spans="1:10" x14ac:dyDescent="0.3">
      <c r="A122" t="s">
        <v>143</v>
      </c>
      <c r="B122" t="s">
        <v>23</v>
      </c>
      <c r="C122" s="1">
        <v>45758</v>
      </c>
      <c r="D122" s="1">
        <v>45803</v>
      </c>
      <c r="E122" s="2">
        <v>3411.27</v>
      </c>
      <c r="F122" t="s">
        <v>19</v>
      </c>
      <c r="G122" t="s">
        <v>17</v>
      </c>
      <c r="I122" t="s">
        <v>13</v>
      </c>
      <c r="J122" t="str">
        <f>IF(ISBLANK(Table2[[#This Row],[ReceivedDate]]),"Unpaid",IF(Table2[[#This Row],[ReceivedDate]]&gt;Table2[[#This Row],[DueDate]],"Late",IF(Table2[[#This Row],[ReceivedDate]]&lt;Table2[[#This Row],[DueDate]],"Early","On Time")))</f>
        <v>Unpaid</v>
      </c>
    </row>
    <row r="123" spans="1:10" x14ac:dyDescent="0.3">
      <c r="A123" t="s">
        <v>144</v>
      </c>
      <c r="B123" t="s">
        <v>25</v>
      </c>
      <c r="C123" s="1">
        <v>45678</v>
      </c>
      <c r="D123" s="1">
        <v>45723</v>
      </c>
      <c r="E123" s="2">
        <v>785.47</v>
      </c>
      <c r="F123" t="s">
        <v>28</v>
      </c>
      <c r="G123" t="s">
        <v>12</v>
      </c>
      <c r="I123" t="s">
        <v>13</v>
      </c>
      <c r="J123" t="str">
        <f>IF(ISBLANK(Table2[[#This Row],[ReceivedDate]]),"Unpaid",IF(Table2[[#This Row],[ReceivedDate]]&gt;Table2[[#This Row],[DueDate]],"Late",IF(Table2[[#This Row],[ReceivedDate]]&lt;Table2[[#This Row],[DueDate]],"Early","On Time")))</f>
        <v>Unpaid</v>
      </c>
    </row>
    <row r="124" spans="1:10" x14ac:dyDescent="0.3">
      <c r="A124" t="s">
        <v>145</v>
      </c>
      <c r="B124" t="s">
        <v>30</v>
      </c>
      <c r="C124" s="1">
        <v>45370</v>
      </c>
      <c r="D124" s="1">
        <v>45415</v>
      </c>
      <c r="E124" s="2">
        <v>1451.37</v>
      </c>
      <c r="F124" t="s">
        <v>26</v>
      </c>
      <c r="G124" t="s">
        <v>12</v>
      </c>
      <c r="I124" t="s">
        <v>13</v>
      </c>
      <c r="J124" t="str">
        <f>IF(ISBLANK(Table2[[#This Row],[ReceivedDate]]),"Unpaid",IF(Table2[[#This Row],[ReceivedDate]]&gt;Table2[[#This Row],[DueDate]],"Late",IF(Table2[[#This Row],[ReceivedDate]]&lt;Table2[[#This Row],[DueDate]],"Early","On Time")))</f>
        <v>Unpaid</v>
      </c>
    </row>
    <row r="125" spans="1:10" x14ac:dyDescent="0.3">
      <c r="A125" t="s">
        <v>146</v>
      </c>
      <c r="B125" t="s">
        <v>25</v>
      </c>
      <c r="C125" s="1">
        <v>45092</v>
      </c>
      <c r="D125" s="1">
        <v>45137</v>
      </c>
      <c r="E125" s="2">
        <v>4225.25</v>
      </c>
      <c r="F125" t="s">
        <v>28</v>
      </c>
      <c r="G125" t="s">
        <v>21</v>
      </c>
      <c r="H125" s="1">
        <v>45137</v>
      </c>
      <c r="I125" t="s">
        <v>13</v>
      </c>
      <c r="J125" t="str">
        <f>IF(ISBLANK(Table2[[#This Row],[ReceivedDate]]),"Unpaid",IF(Table2[[#This Row],[ReceivedDate]]&gt;Table2[[#This Row],[DueDate]],"Late",IF(Table2[[#This Row],[ReceivedDate]]&lt;Table2[[#This Row],[DueDate]],"Early","On Time")))</f>
        <v>On Time</v>
      </c>
    </row>
    <row r="126" spans="1:10" x14ac:dyDescent="0.3">
      <c r="A126" t="s">
        <v>147</v>
      </c>
      <c r="B126" t="s">
        <v>25</v>
      </c>
      <c r="C126" s="1">
        <v>44977</v>
      </c>
      <c r="D126" s="1">
        <v>45022</v>
      </c>
      <c r="E126" s="2">
        <v>1416.74</v>
      </c>
      <c r="F126" t="s">
        <v>16</v>
      </c>
      <c r="G126" t="s">
        <v>12</v>
      </c>
      <c r="I126" t="s">
        <v>13</v>
      </c>
      <c r="J126" t="str">
        <f>IF(ISBLANK(Table2[[#This Row],[ReceivedDate]]),"Unpaid",IF(Table2[[#This Row],[ReceivedDate]]&gt;Table2[[#This Row],[DueDate]],"Late",IF(Table2[[#This Row],[ReceivedDate]]&lt;Table2[[#This Row],[DueDate]],"Early","On Time")))</f>
        <v>Unpaid</v>
      </c>
    </row>
    <row r="127" spans="1:10" x14ac:dyDescent="0.3">
      <c r="A127" t="s">
        <v>148</v>
      </c>
      <c r="B127" t="s">
        <v>30</v>
      </c>
      <c r="C127" s="1">
        <v>45807</v>
      </c>
      <c r="D127" s="1">
        <v>45852</v>
      </c>
      <c r="E127" s="2">
        <v>5473.58</v>
      </c>
      <c r="F127" t="s">
        <v>16</v>
      </c>
      <c r="G127" t="s">
        <v>21</v>
      </c>
      <c r="H127" s="1">
        <v>45852</v>
      </c>
      <c r="I127" t="s">
        <v>13</v>
      </c>
      <c r="J127" t="str">
        <f>IF(ISBLANK(Table2[[#This Row],[ReceivedDate]]),"Unpaid",IF(Table2[[#This Row],[ReceivedDate]]&gt;Table2[[#This Row],[DueDate]],"Late",IF(Table2[[#This Row],[ReceivedDate]]&lt;Table2[[#This Row],[DueDate]],"Early","On Time")))</f>
        <v>On Time</v>
      </c>
    </row>
    <row r="128" spans="1:10" x14ac:dyDescent="0.3">
      <c r="A128" t="s">
        <v>149</v>
      </c>
      <c r="B128" t="s">
        <v>30</v>
      </c>
      <c r="C128" s="1">
        <v>45135</v>
      </c>
      <c r="D128" s="1">
        <v>45180</v>
      </c>
      <c r="E128" s="2">
        <v>5239.3</v>
      </c>
      <c r="F128" t="s">
        <v>26</v>
      </c>
      <c r="G128" t="s">
        <v>12</v>
      </c>
      <c r="I128" t="s">
        <v>13</v>
      </c>
      <c r="J128" t="str">
        <f>IF(ISBLANK(Table2[[#This Row],[ReceivedDate]]),"Unpaid",IF(Table2[[#This Row],[ReceivedDate]]&gt;Table2[[#This Row],[DueDate]],"Late",IF(Table2[[#This Row],[ReceivedDate]]&lt;Table2[[#This Row],[DueDate]],"Early","On Time")))</f>
        <v>Unpaid</v>
      </c>
    </row>
    <row r="129" spans="1:10" x14ac:dyDescent="0.3">
      <c r="A129" t="s">
        <v>150</v>
      </c>
      <c r="B129" t="s">
        <v>15</v>
      </c>
      <c r="C129" s="1">
        <v>44997</v>
      </c>
      <c r="D129" s="1">
        <v>45042</v>
      </c>
      <c r="E129" s="2">
        <v>5141.1899999999996</v>
      </c>
      <c r="F129" t="s">
        <v>26</v>
      </c>
      <c r="G129" t="s">
        <v>17</v>
      </c>
      <c r="I129" t="s">
        <v>13</v>
      </c>
      <c r="J129" t="str">
        <f>IF(ISBLANK(Table2[[#This Row],[ReceivedDate]]),"Unpaid",IF(Table2[[#This Row],[ReceivedDate]]&gt;Table2[[#This Row],[DueDate]],"Late",IF(Table2[[#This Row],[ReceivedDate]]&lt;Table2[[#This Row],[DueDate]],"Early","On Time")))</f>
        <v>Unpaid</v>
      </c>
    </row>
    <row r="130" spans="1:10" x14ac:dyDescent="0.3">
      <c r="A130" t="s">
        <v>151</v>
      </c>
      <c r="B130" t="s">
        <v>23</v>
      </c>
      <c r="C130" s="1">
        <v>45243</v>
      </c>
      <c r="D130" s="1">
        <v>45288</v>
      </c>
      <c r="E130" s="2">
        <v>7401.81</v>
      </c>
      <c r="F130" t="s">
        <v>19</v>
      </c>
      <c r="G130" t="s">
        <v>21</v>
      </c>
      <c r="H130" s="1">
        <v>45288</v>
      </c>
      <c r="I130" t="s">
        <v>13</v>
      </c>
      <c r="J130" t="str">
        <f>IF(ISBLANK(Table2[[#This Row],[ReceivedDate]]),"Unpaid",IF(Table2[[#This Row],[ReceivedDate]]&gt;Table2[[#This Row],[DueDate]],"Late",IF(Table2[[#This Row],[ReceivedDate]]&lt;Table2[[#This Row],[DueDate]],"Early","On Time")))</f>
        <v>On Time</v>
      </c>
    </row>
    <row r="131" spans="1:10" x14ac:dyDescent="0.3">
      <c r="A131" t="s">
        <v>152</v>
      </c>
      <c r="B131" t="s">
        <v>30</v>
      </c>
      <c r="C131" s="1">
        <v>45229</v>
      </c>
      <c r="D131" s="1">
        <v>45274</v>
      </c>
      <c r="E131" s="2">
        <v>6909.77</v>
      </c>
      <c r="F131" t="s">
        <v>16</v>
      </c>
      <c r="G131" t="s">
        <v>12</v>
      </c>
      <c r="I131" t="s">
        <v>13</v>
      </c>
      <c r="J131" t="str">
        <f>IF(ISBLANK(Table2[[#This Row],[ReceivedDate]]),"Unpaid",IF(Table2[[#This Row],[ReceivedDate]]&gt;Table2[[#This Row],[DueDate]],"Late",IF(Table2[[#This Row],[ReceivedDate]]&lt;Table2[[#This Row],[DueDate]],"Early","On Time")))</f>
        <v>Unpaid</v>
      </c>
    </row>
    <row r="132" spans="1:10" x14ac:dyDescent="0.3">
      <c r="A132" t="s">
        <v>153</v>
      </c>
      <c r="B132" t="s">
        <v>30</v>
      </c>
      <c r="C132" s="1">
        <v>45197</v>
      </c>
      <c r="D132" s="1">
        <v>45242</v>
      </c>
      <c r="E132" s="2">
        <v>3554.68</v>
      </c>
      <c r="F132" t="s">
        <v>11</v>
      </c>
      <c r="G132" t="s">
        <v>21</v>
      </c>
      <c r="H132" s="1">
        <v>45242</v>
      </c>
      <c r="I132" t="s">
        <v>13</v>
      </c>
      <c r="J132" t="str">
        <f>IF(ISBLANK(Table2[[#This Row],[ReceivedDate]]),"Unpaid",IF(Table2[[#This Row],[ReceivedDate]]&gt;Table2[[#This Row],[DueDate]],"Late",IF(Table2[[#This Row],[ReceivedDate]]&lt;Table2[[#This Row],[DueDate]],"Early","On Time")))</f>
        <v>On Time</v>
      </c>
    </row>
    <row r="133" spans="1:10" x14ac:dyDescent="0.3">
      <c r="A133" t="s">
        <v>154</v>
      </c>
      <c r="B133" t="s">
        <v>15</v>
      </c>
      <c r="C133" s="1">
        <v>45194</v>
      </c>
      <c r="D133" s="1">
        <v>45239</v>
      </c>
      <c r="E133" s="2">
        <v>3944.66</v>
      </c>
      <c r="F133" t="s">
        <v>16</v>
      </c>
      <c r="G133" t="s">
        <v>12</v>
      </c>
      <c r="I133" t="s">
        <v>13</v>
      </c>
      <c r="J133" t="str">
        <f>IF(ISBLANK(Table2[[#This Row],[ReceivedDate]]),"Unpaid",IF(Table2[[#This Row],[ReceivedDate]]&gt;Table2[[#This Row],[DueDate]],"Late",IF(Table2[[#This Row],[ReceivedDate]]&lt;Table2[[#This Row],[DueDate]],"Early","On Time")))</f>
        <v>Unpaid</v>
      </c>
    </row>
    <row r="134" spans="1:10" x14ac:dyDescent="0.3">
      <c r="A134" t="s">
        <v>155</v>
      </c>
      <c r="B134" t="s">
        <v>10</v>
      </c>
      <c r="C134" s="1">
        <v>45349</v>
      </c>
      <c r="D134" s="1">
        <v>45394</v>
      </c>
      <c r="E134" s="2">
        <v>1328.09</v>
      </c>
      <c r="F134" t="s">
        <v>11</v>
      </c>
      <c r="G134" t="s">
        <v>21</v>
      </c>
      <c r="H134" s="1">
        <v>45394</v>
      </c>
      <c r="I134" t="s">
        <v>13</v>
      </c>
      <c r="J134" t="str">
        <f>IF(ISBLANK(Table2[[#This Row],[ReceivedDate]]),"Unpaid",IF(Table2[[#This Row],[ReceivedDate]]&gt;Table2[[#This Row],[DueDate]],"Late",IF(Table2[[#This Row],[ReceivedDate]]&lt;Table2[[#This Row],[DueDate]],"Early","On Time")))</f>
        <v>On Time</v>
      </c>
    </row>
    <row r="135" spans="1:10" x14ac:dyDescent="0.3">
      <c r="A135" t="s">
        <v>156</v>
      </c>
      <c r="B135" t="s">
        <v>10</v>
      </c>
      <c r="C135" s="1">
        <v>45804</v>
      </c>
      <c r="D135" s="1">
        <v>45849</v>
      </c>
      <c r="E135" s="2">
        <v>6057.16</v>
      </c>
      <c r="F135" t="s">
        <v>26</v>
      </c>
      <c r="G135" t="s">
        <v>21</v>
      </c>
      <c r="H135" s="1">
        <v>45849</v>
      </c>
      <c r="I135" t="s">
        <v>13</v>
      </c>
      <c r="J135" t="str">
        <f>IF(ISBLANK(Table2[[#This Row],[ReceivedDate]]),"Unpaid",IF(Table2[[#This Row],[ReceivedDate]]&gt;Table2[[#This Row],[DueDate]],"Late",IF(Table2[[#This Row],[ReceivedDate]]&lt;Table2[[#This Row],[DueDate]],"Early","On Time")))</f>
        <v>On Time</v>
      </c>
    </row>
    <row r="136" spans="1:10" x14ac:dyDescent="0.3">
      <c r="A136" t="s">
        <v>157</v>
      </c>
      <c r="B136" t="s">
        <v>25</v>
      </c>
      <c r="C136" s="1">
        <v>45230</v>
      </c>
      <c r="D136" s="1">
        <v>45275</v>
      </c>
      <c r="E136" s="2">
        <v>1009.43</v>
      </c>
      <c r="F136" t="s">
        <v>26</v>
      </c>
      <c r="G136" t="s">
        <v>17</v>
      </c>
      <c r="I136" t="s">
        <v>13</v>
      </c>
      <c r="J136" t="str">
        <f>IF(ISBLANK(Table2[[#This Row],[ReceivedDate]]),"Unpaid",IF(Table2[[#This Row],[ReceivedDate]]&gt;Table2[[#This Row],[DueDate]],"Late",IF(Table2[[#This Row],[ReceivedDate]]&lt;Table2[[#This Row],[DueDate]],"Early","On Time")))</f>
        <v>Unpaid</v>
      </c>
    </row>
    <row r="137" spans="1:10" x14ac:dyDescent="0.3">
      <c r="A137" t="s">
        <v>158</v>
      </c>
      <c r="B137" t="s">
        <v>15</v>
      </c>
      <c r="C137" s="1">
        <v>45096</v>
      </c>
      <c r="D137" s="1">
        <v>45141</v>
      </c>
      <c r="E137" s="2">
        <v>4953.59</v>
      </c>
      <c r="F137" t="s">
        <v>28</v>
      </c>
      <c r="G137" t="s">
        <v>21</v>
      </c>
      <c r="H137" s="1">
        <v>45141</v>
      </c>
      <c r="I137" t="s">
        <v>13</v>
      </c>
      <c r="J137" t="str">
        <f>IF(ISBLANK(Table2[[#This Row],[ReceivedDate]]),"Unpaid",IF(Table2[[#This Row],[ReceivedDate]]&gt;Table2[[#This Row],[DueDate]],"Late",IF(Table2[[#This Row],[ReceivedDate]]&lt;Table2[[#This Row],[DueDate]],"Early","On Time")))</f>
        <v>On Time</v>
      </c>
    </row>
    <row r="138" spans="1:10" x14ac:dyDescent="0.3">
      <c r="A138" t="s">
        <v>159</v>
      </c>
      <c r="B138" t="s">
        <v>30</v>
      </c>
      <c r="C138" s="1">
        <v>44944</v>
      </c>
      <c r="D138" s="1">
        <v>44989</v>
      </c>
      <c r="E138" s="2">
        <v>1113.25</v>
      </c>
      <c r="F138" t="s">
        <v>19</v>
      </c>
      <c r="G138" t="s">
        <v>21</v>
      </c>
      <c r="H138" s="1">
        <v>44989</v>
      </c>
      <c r="I138" t="s">
        <v>13</v>
      </c>
      <c r="J138" t="str">
        <f>IF(ISBLANK(Table2[[#This Row],[ReceivedDate]]),"Unpaid",IF(Table2[[#This Row],[ReceivedDate]]&gt;Table2[[#This Row],[DueDate]],"Late",IF(Table2[[#This Row],[ReceivedDate]]&lt;Table2[[#This Row],[DueDate]],"Early","On Time")))</f>
        <v>On Time</v>
      </c>
    </row>
    <row r="139" spans="1:10" x14ac:dyDescent="0.3">
      <c r="A139" t="s">
        <v>160</v>
      </c>
      <c r="B139" t="s">
        <v>23</v>
      </c>
      <c r="C139" s="1">
        <v>45745</v>
      </c>
      <c r="D139" s="1">
        <v>45790</v>
      </c>
      <c r="E139" s="2">
        <v>1115.26</v>
      </c>
      <c r="F139" t="s">
        <v>16</v>
      </c>
      <c r="G139" t="s">
        <v>17</v>
      </c>
      <c r="I139" t="s">
        <v>13</v>
      </c>
      <c r="J139" t="str">
        <f>IF(ISBLANK(Table2[[#This Row],[ReceivedDate]]),"Unpaid",IF(Table2[[#This Row],[ReceivedDate]]&gt;Table2[[#This Row],[DueDate]],"Late",IF(Table2[[#This Row],[ReceivedDate]]&lt;Table2[[#This Row],[DueDate]],"Early","On Time")))</f>
        <v>Unpaid</v>
      </c>
    </row>
    <row r="140" spans="1:10" x14ac:dyDescent="0.3">
      <c r="A140" t="s">
        <v>161</v>
      </c>
      <c r="B140" t="s">
        <v>30</v>
      </c>
      <c r="C140" s="1">
        <v>45410</v>
      </c>
      <c r="D140" s="1">
        <v>45455</v>
      </c>
      <c r="E140" s="2">
        <v>2676.36</v>
      </c>
      <c r="F140" t="s">
        <v>16</v>
      </c>
      <c r="G140" t="s">
        <v>21</v>
      </c>
      <c r="H140" s="1">
        <v>45455</v>
      </c>
      <c r="I140" t="s">
        <v>13</v>
      </c>
      <c r="J140" t="str">
        <f>IF(ISBLANK(Table2[[#This Row],[ReceivedDate]]),"Unpaid",IF(Table2[[#This Row],[ReceivedDate]]&gt;Table2[[#This Row],[DueDate]],"Late",IF(Table2[[#This Row],[ReceivedDate]]&lt;Table2[[#This Row],[DueDate]],"Early","On Time")))</f>
        <v>On Time</v>
      </c>
    </row>
    <row r="141" spans="1:10" x14ac:dyDescent="0.3">
      <c r="A141" t="s">
        <v>162</v>
      </c>
      <c r="B141" t="s">
        <v>23</v>
      </c>
      <c r="C141" s="1">
        <v>45186</v>
      </c>
      <c r="D141" s="1">
        <v>45231</v>
      </c>
      <c r="E141" s="2">
        <v>2786.7</v>
      </c>
      <c r="F141" t="s">
        <v>26</v>
      </c>
      <c r="G141" t="s">
        <v>12</v>
      </c>
      <c r="I141" t="s">
        <v>13</v>
      </c>
      <c r="J141" t="str">
        <f>IF(ISBLANK(Table2[[#This Row],[ReceivedDate]]),"Unpaid",IF(Table2[[#This Row],[ReceivedDate]]&gt;Table2[[#This Row],[DueDate]],"Late",IF(Table2[[#This Row],[ReceivedDate]]&lt;Table2[[#This Row],[DueDate]],"Early","On Time")))</f>
        <v>Unpaid</v>
      </c>
    </row>
    <row r="142" spans="1:10" x14ac:dyDescent="0.3">
      <c r="A142" t="s">
        <v>163</v>
      </c>
      <c r="B142" t="s">
        <v>10</v>
      </c>
      <c r="C142" s="1">
        <v>45821</v>
      </c>
      <c r="D142" s="1">
        <v>45866</v>
      </c>
      <c r="E142" s="2">
        <v>4407.9399999999996</v>
      </c>
      <c r="F142" t="s">
        <v>28</v>
      </c>
      <c r="G142" t="s">
        <v>17</v>
      </c>
      <c r="I142" t="s">
        <v>13</v>
      </c>
      <c r="J142" t="str">
        <f>IF(ISBLANK(Table2[[#This Row],[ReceivedDate]]),"Unpaid",IF(Table2[[#This Row],[ReceivedDate]]&gt;Table2[[#This Row],[DueDate]],"Late",IF(Table2[[#This Row],[ReceivedDate]]&lt;Table2[[#This Row],[DueDate]],"Early","On Time")))</f>
        <v>Unpaid</v>
      </c>
    </row>
    <row r="143" spans="1:10" x14ac:dyDescent="0.3">
      <c r="A143" t="s">
        <v>164</v>
      </c>
      <c r="B143" t="s">
        <v>10</v>
      </c>
      <c r="C143" s="1">
        <v>45587</v>
      </c>
      <c r="D143" s="1">
        <v>45632</v>
      </c>
      <c r="E143" s="2">
        <v>4894.13</v>
      </c>
      <c r="F143" t="s">
        <v>11</v>
      </c>
      <c r="G143" t="s">
        <v>12</v>
      </c>
      <c r="I143" t="s">
        <v>13</v>
      </c>
      <c r="J143" t="str">
        <f>IF(ISBLANK(Table2[[#This Row],[ReceivedDate]]),"Unpaid",IF(Table2[[#This Row],[ReceivedDate]]&gt;Table2[[#This Row],[DueDate]],"Late",IF(Table2[[#This Row],[ReceivedDate]]&lt;Table2[[#This Row],[DueDate]],"Early","On Time")))</f>
        <v>Unpaid</v>
      </c>
    </row>
    <row r="144" spans="1:10" x14ac:dyDescent="0.3">
      <c r="A144" t="s">
        <v>165</v>
      </c>
      <c r="B144" t="s">
        <v>23</v>
      </c>
      <c r="C144" s="1">
        <v>45787</v>
      </c>
      <c r="D144" s="1">
        <v>45832</v>
      </c>
      <c r="E144" s="2">
        <v>6832.48</v>
      </c>
      <c r="F144" t="s">
        <v>19</v>
      </c>
      <c r="G144" t="s">
        <v>17</v>
      </c>
      <c r="I144" t="s">
        <v>13</v>
      </c>
      <c r="J144" t="str">
        <f>IF(ISBLANK(Table2[[#This Row],[ReceivedDate]]),"Unpaid",IF(Table2[[#This Row],[ReceivedDate]]&gt;Table2[[#This Row],[DueDate]],"Late",IF(Table2[[#This Row],[ReceivedDate]]&lt;Table2[[#This Row],[DueDate]],"Early","On Time")))</f>
        <v>Unpaid</v>
      </c>
    </row>
    <row r="145" spans="1:10" x14ac:dyDescent="0.3">
      <c r="A145" t="s">
        <v>166</v>
      </c>
      <c r="B145" t="s">
        <v>10</v>
      </c>
      <c r="C145" s="1">
        <v>45539</v>
      </c>
      <c r="D145" s="1">
        <v>45584</v>
      </c>
      <c r="E145" s="2">
        <v>2060.19</v>
      </c>
      <c r="F145" t="s">
        <v>26</v>
      </c>
      <c r="G145" t="s">
        <v>17</v>
      </c>
      <c r="I145" t="s">
        <v>13</v>
      </c>
      <c r="J145" t="str">
        <f>IF(ISBLANK(Table2[[#This Row],[ReceivedDate]]),"Unpaid",IF(Table2[[#This Row],[ReceivedDate]]&gt;Table2[[#This Row],[DueDate]],"Late",IF(Table2[[#This Row],[ReceivedDate]]&lt;Table2[[#This Row],[DueDate]],"Early","On Time")))</f>
        <v>Unpaid</v>
      </c>
    </row>
    <row r="146" spans="1:10" x14ac:dyDescent="0.3">
      <c r="A146" t="s">
        <v>167</v>
      </c>
      <c r="B146" t="s">
        <v>30</v>
      </c>
      <c r="C146" s="1">
        <v>45764</v>
      </c>
      <c r="D146" s="1">
        <v>45809</v>
      </c>
      <c r="E146" s="2">
        <v>6302.98</v>
      </c>
      <c r="F146" t="s">
        <v>19</v>
      </c>
      <c r="G146" t="s">
        <v>17</v>
      </c>
      <c r="I146" t="s">
        <v>13</v>
      </c>
      <c r="J146" t="str">
        <f>IF(ISBLANK(Table2[[#This Row],[ReceivedDate]]),"Unpaid",IF(Table2[[#This Row],[ReceivedDate]]&gt;Table2[[#This Row],[DueDate]],"Late",IF(Table2[[#This Row],[ReceivedDate]]&lt;Table2[[#This Row],[DueDate]],"Early","On Time")))</f>
        <v>Unpaid</v>
      </c>
    </row>
    <row r="147" spans="1:10" x14ac:dyDescent="0.3">
      <c r="A147" t="s">
        <v>168</v>
      </c>
      <c r="B147" t="s">
        <v>30</v>
      </c>
      <c r="C147" s="1">
        <v>45149</v>
      </c>
      <c r="D147" s="1">
        <v>45194</v>
      </c>
      <c r="E147" s="2">
        <v>6748</v>
      </c>
      <c r="F147" t="s">
        <v>28</v>
      </c>
      <c r="G147" t="s">
        <v>12</v>
      </c>
      <c r="I147" t="s">
        <v>13</v>
      </c>
      <c r="J147" t="str">
        <f>IF(ISBLANK(Table2[[#This Row],[ReceivedDate]]),"Unpaid",IF(Table2[[#This Row],[ReceivedDate]]&gt;Table2[[#This Row],[DueDate]],"Late",IF(Table2[[#This Row],[ReceivedDate]]&lt;Table2[[#This Row],[DueDate]],"Early","On Time")))</f>
        <v>Unpaid</v>
      </c>
    </row>
    <row r="148" spans="1:10" x14ac:dyDescent="0.3">
      <c r="A148" t="s">
        <v>169</v>
      </c>
      <c r="B148" t="s">
        <v>25</v>
      </c>
      <c r="C148" s="1">
        <v>45579</v>
      </c>
      <c r="D148" s="1">
        <v>45624</v>
      </c>
      <c r="E148" s="2">
        <v>7996.24</v>
      </c>
      <c r="F148" t="s">
        <v>26</v>
      </c>
      <c r="G148" t="s">
        <v>12</v>
      </c>
      <c r="I148" t="s">
        <v>13</v>
      </c>
      <c r="J148" t="str">
        <f>IF(ISBLANK(Table2[[#This Row],[ReceivedDate]]),"Unpaid",IF(Table2[[#This Row],[ReceivedDate]]&gt;Table2[[#This Row],[DueDate]],"Late",IF(Table2[[#This Row],[ReceivedDate]]&lt;Table2[[#This Row],[DueDate]],"Early","On Time")))</f>
        <v>Unpaid</v>
      </c>
    </row>
    <row r="149" spans="1:10" x14ac:dyDescent="0.3">
      <c r="A149" t="s">
        <v>170</v>
      </c>
      <c r="B149" t="s">
        <v>23</v>
      </c>
      <c r="C149" s="1">
        <v>45684</v>
      </c>
      <c r="D149" s="1">
        <v>45729</v>
      </c>
      <c r="E149" s="2">
        <v>1809.76</v>
      </c>
      <c r="F149" t="s">
        <v>28</v>
      </c>
      <c r="G149" t="s">
        <v>21</v>
      </c>
      <c r="H149" s="1">
        <v>45729</v>
      </c>
      <c r="I149" t="s">
        <v>13</v>
      </c>
      <c r="J149" t="str">
        <f>IF(ISBLANK(Table2[[#This Row],[ReceivedDate]]),"Unpaid",IF(Table2[[#This Row],[ReceivedDate]]&gt;Table2[[#This Row],[DueDate]],"Late",IF(Table2[[#This Row],[ReceivedDate]]&lt;Table2[[#This Row],[DueDate]],"Early","On Time")))</f>
        <v>On Time</v>
      </c>
    </row>
    <row r="150" spans="1:10" x14ac:dyDescent="0.3">
      <c r="A150" t="s">
        <v>171</v>
      </c>
      <c r="B150" t="s">
        <v>10</v>
      </c>
      <c r="C150" s="1">
        <v>45750</v>
      </c>
      <c r="D150" s="1">
        <v>45795</v>
      </c>
      <c r="E150" s="2">
        <v>6175.65</v>
      </c>
      <c r="F150" t="s">
        <v>26</v>
      </c>
      <c r="G150" t="s">
        <v>12</v>
      </c>
      <c r="I150" t="s">
        <v>13</v>
      </c>
      <c r="J150" t="str">
        <f>IF(ISBLANK(Table2[[#This Row],[ReceivedDate]]),"Unpaid",IF(Table2[[#This Row],[ReceivedDate]]&gt;Table2[[#This Row],[DueDate]],"Late",IF(Table2[[#This Row],[ReceivedDate]]&lt;Table2[[#This Row],[DueDate]],"Early","On Time")))</f>
        <v>Unpaid</v>
      </c>
    </row>
    <row r="151" spans="1:10" x14ac:dyDescent="0.3">
      <c r="A151" t="s">
        <v>172</v>
      </c>
      <c r="B151" t="s">
        <v>25</v>
      </c>
      <c r="C151" s="1">
        <v>45546</v>
      </c>
      <c r="D151" s="1">
        <v>45591</v>
      </c>
      <c r="E151" s="2">
        <v>1636.23</v>
      </c>
      <c r="F151" t="s">
        <v>28</v>
      </c>
      <c r="G151" t="s">
        <v>17</v>
      </c>
      <c r="I151" t="s">
        <v>13</v>
      </c>
      <c r="J151" t="str">
        <f>IF(ISBLANK(Table2[[#This Row],[ReceivedDate]]),"Unpaid",IF(Table2[[#This Row],[ReceivedDate]]&gt;Table2[[#This Row],[DueDate]],"Late",IF(Table2[[#This Row],[ReceivedDate]]&lt;Table2[[#This Row],[DueDate]],"Early","On Time")))</f>
        <v>Unpaid</v>
      </c>
    </row>
    <row r="152" spans="1:10" x14ac:dyDescent="0.3">
      <c r="A152" t="s">
        <v>173</v>
      </c>
      <c r="B152" t="s">
        <v>30</v>
      </c>
      <c r="C152" s="1">
        <v>45553</v>
      </c>
      <c r="D152" s="1">
        <v>45598</v>
      </c>
      <c r="E152" s="2">
        <v>7573.95</v>
      </c>
      <c r="F152" t="s">
        <v>19</v>
      </c>
      <c r="G152" t="s">
        <v>21</v>
      </c>
      <c r="H152" s="1">
        <v>45598</v>
      </c>
      <c r="I152" t="s">
        <v>13</v>
      </c>
      <c r="J152" t="str">
        <f>IF(ISBLANK(Table2[[#This Row],[ReceivedDate]]),"Unpaid",IF(Table2[[#This Row],[ReceivedDate]]&gt;Table2[[#This Row],[DueDate]],"Late",IF(Table2[[#This Row],[ReceivedDate]]&lt;Table2[[#This Row],[DueDate]],"Early","On Time")))</f>
        <v>On Time</v>
      </c>
    </row>
    <row r="153" spans="1:10" x14ac:dyDescent="0.3">
      <c r="A153" t="s">
        <v>174</v>
      </c>
      <c r="B153" t="s">
        <v>25</v>
      </c>
      <c r="C153" s="1">
        <v>45091</v>
      </c>
      <c r="D153" s="1">
        <v>45136</v>
      </c>
      <c r="E153" s="2">
        <v>1194.4100000000001</v>
      </c>
      <c r="F153" t="s">
        <v>11</v>
      </c>
      <c r="G153" t="s">
        <v>17</v>
      </c>
      <c r="I153" t="s">
        <v>13</v>
      </c>
      <c r="J153" t="str">
        <f>IF(ISBLANK(Table2[[#This Row],[ReceivedDate]]),"Unpaid",IF(Table2[[#This Row],[ReceivedDate]]&gt;Table2[[#This Row],[DueDate]],"Late",IF(Table2[[#This Row],[ReceivedDate]]&lt;Table2[[#This Row],[DueDate]],"Early","On Time")))</f>
        <v>Unpaid</v>
      </c>
    </row>
    <row r="154" spans="1:10" x14ac:dyDescent="0.3">
      <c r="A154" t="s">
        <v>175</v>
      </c>
      <c r="B154" t="s">
        <v>10</v>
      </c>
      <c r="C154" s="1">
        <v>45152</v>
      </c>
      <c r="D154" s="1">
        <v>45197</v>
      </c>
      <c r="E154" s="2">
        <v>3323.19</v>
      </c>
      <c r="F154" t="s">
        <v>16</v>
      </c>
      <c r="G154" t="s">
        <v>21</v>
      </c>
      <c r="H154" s="1">
        <v>45197</v>
      </c>
      <c r="I154" t="s">
        <v>13</v>
      </c>
      <c r="J154" t="str">
        <f>IF(ISBLANK(Table2[[#This Row],[ReceivedDate]]),"Unpaid",IF(Table2[[#This Row],[ReceivedDate]]&gt;Table2[[#This Row],[DueDate]],"Late",IF(Table2[[#This Row],[ReceivedDate]]&lt;Table2[[#This Row],[DueDate]],"Early","On Time")))</f>
        <v>On Time</v>
      </c>
    </row>
    <row r="155" spans="1:10" x14ac:dyDescent="0.3">
      <c r="A155" t="s">
        <v>176</v>
      </c>
      <c r="B155" t="s">
        <v>23</v>
      </c>
      <c r="C155" s="1">
        <v>45627</v>
      </c>
      <c r="D155" s="1">
        <v>45672</v>
      </c>
      <c r="E155" s="2">
        <v>426.96</v>
      </c>
      <c r="F155" t="s">
        <v>26</v>
      </c>
      <c r="G155" t="s">
        <v>17</v>
      </c>
      <c r="I155" t="s">
        <v>13</v>
      </c>
      <c r="J155" t="str">
        <f>IF(ISBLANK(Table2[[#This Row],[ReceivedDate]]),"Unpaid",IF(Table2[[#This Row],[ReceivedDate]]&gt;Table2[[#This Row],[DueDate]],"Late",IF(Table2[[#This Row],[ReceivedDate]]&lt;Table2[[#This Row],[DueDate]],"Early","On Time")))</f>
        <v>Unpaid</v>
      </c>
    </row>
    <row r="156" spans="1:10" x14ac:dyDescent="0.3">
      <c r="A156" t="s">
        <v>177</v>
      </c>
      <c r="B156" t="s">
        <v>30</v>
      </c>
      <c r="C156" s="1">
        <v>45784</v>
      </c>
      <c r="D156" s="1">
        <v>45829</v>
      </c>
      <c r="E156" s="2">
        <v>3349.63</v>
      </c>
      <c r="F156" t="s">
        <v>16</v>
      </c>
      <c r="G156" t="s">
        <v>12</v>
      </c>
      <c r="I156" t="s">
        <v>13</v>
      </c>
      <c r="J156" t="str">
        <f>IF(ISBLANK(Table2[[#This Row],[ReceivedDate]]),"Unpaid",IF(Table2[[#This Row],[ReceivedDate]]&gt;Table2[[#This Row],[DueDate]],"Late",IF(Table2[[#This Row],[ReceivedDate]]&lt;Table2[[#This Row],[DueDate]],"Early","On Time")))</f>
        <v>Unpaid</v>
      </c>
    </row>
    <row r="157" spans="1:10" x14ac:dyDescent="0.3">
      <c r="A157" t="s">
        <v>178</v>
      </c>
      <c r="B157" t="s">
        <v>15</v>
      </c>
      <c r="C157" s="1">
        <v>45074</v>
      </c>
      <c r="D157" s="1">
        <v>45119</v>
      </c>
      <c r="E157" s="2">
        <v>2205.42</v>
      </c>
      <c r="F157" t="s">
        <v>28</v>
      </c>
      <c r="G157" t="s">
        <v>21</v>
      </c>
      <c r="H157" s="1">
        <v>45119</v>
      </c>
      <c r="I157" t="s">
        <v>13</v>
      </c>
      <c r="J157" t="str">
        <f>IF(ISBLANK(Table2[[#This Row],[ReceivedDate]]),"Unpaid",IF(Table2[[#This Row],[ReceivedDate]]&gt;Table2[[#This Row],[DueDate]],"Late",IF(Table2[[#This Row],[ReceivedDate]]&lt;Table2[[#This Row],[DueDate]],"Early","On Time")))</f>
        <v>On Time</v>
      </c>
    </row>
    <row r="158" spans="1:10" x14ac:dyDescent="0.3">
      <c r="A158" t="s">
        <v>179</v>
      </c>
      <c r="B158" t="s">
        <v>30</v>
      </c>
      <c r="C158" s="1">
        <v>45049</v>
      </c>
      <c r="D158" s="1">
        <v>45094</v>
      </c>
      <c r="E158" s="2">
        <v>3681.26</v>
      </c>
      <c r="F158" t="s">
        <v>28</v>
      </c>
      <c r="G158" t="s">
        <v>12</v>
      </c>
      <c r="I158" t="s">
        <v>13</v>
      </c>
      <c r="J158" t="str">
        <f>IF(ISBLANK(Table2[[#This Row],[ReceivedDate]]),"Unpaid",IF(Table2[[#This Row],[ReceivedDate]]&gt;Table2[[#This Row],[DueDate]],"Late",IF(Table2[[#This Row],[ReceivedDate]]&lt;Table2[[#This Row],[DueDate]],"Early","On Time")))</f>
        <v>Unpaid</v>
      </c>
    </row>
    <row r="159" spans="1:10" x14ac:dyDescent="0.3">
      <c r="A159" t="s">
        <v>180</v>
      </c>
      <c r="B159" t="s">
        <v>30</v>
      </c>
      <c r="C159" s="1">
        <v>45488</v>
      </c>
      <c r="D159" s="1">
        <v>45533</v>
      </c>
      <c r="E159" s="2">
        <v>4481.24</v>
      </c>
      <c r="F159" t="s">
        <v>19</v>
      </c>
      <c r="G159" t="s">
        <v>21</v>
      </c>
      <c r="H159" s="1">
        <v>45533</v>
      </c>
      <c r="I159" t="s">
        <v>13</v>
      </c>
      <c r="J159" t="str">
        <f>IF(ISBLANK(Table2[[#This Row],[ReceivedDate]]),"Unpaid",IF(Table2[[#This Row],[ReceivedDate]]&gt;Table2[[#This Row],[DueDate]],"Late",IF(Table2[[#This Row],[ReceivedDate]]&lt;Table2[[#This Row],[DueDate]],"Early","On Time")))</f>
        <v>On Time</v>
      </c>
    </row>
    <row r="160" spans="1:10" x14ac:dyDescent="0.3">
      <c r="A160" t="s">
        <v>181</v>
      </c>
      <c r="B160" t="s">
        <v>15</v>
      </c>
      <c r="C160" s="1">
        <v>45694</v>
      </c>
      <c r="D160" s="1">
        <v>45739</v>
      </c>
      <c r="E160" s="2">
        <v>6512.91</v>
      </c>
      <c r="F160" t="s">
        <v>26</v>
      </c>
      <c r="G160" t="s">
        <v>17</v>
      </c>
      <c r="I160" t="s">
        <v>13</v>
      </c>
      <c r="J160" t="str">
        <f>IF(ISBLANK(Table2[[#This Row],[ReceivedDate]]),"Unpaid",IF(Table2[[#This Row],[ReceivedDate]]&gt;Table2[[#This Row],[DueDate]],"Late",IF(Table2[[#This Row],[ReceivedDate]]&lt;Table2[[#This Row],[DueDate]],"Early","On Time")))</f>
        <v>Unpaid</v>
      </c>
    </row>
    <row r="161" spans="1:10" x14ac:dyDescent="0.3">
      <c r="A161" t="s">
        <v>182</v>
      </c>
      <c r="B161" t="s">
        <v>23</v>
      </c>
      <c r="C161" s="1">
        <v>45270</v>
      </c>
      <c r="D161" s="1">
        <v>45315</v>
      </c>
      <c r="E161" s="2">
        <v>5880.66</v>
      </c>
      <c r="F161" t="s">
        <v>28</v>
      </c>
      <c r="G161" t="s">
        <v>12</v>
      </c>
      <c r="I161" t="s">
        <v>13</v>
      </c>
      <c r="J161" t="str">
        <f>IF(ISBLANK(Table2[[#This Row],[ReceivedDate]]),"Unpaid",IF(Table2[[#This Row],[ReceivedDate]]&gt;Table2[[#This Row],[DueDate]],"Late",IF(Table2[[#This Row],[ReceivedDate]]&lt;Table2[[#This Row],[DueDate]],"Early","On Time")))</f>
        <v>Unpaid</v>
      </c>
    </row>
    <row r="162" spans="1:10" x14ac:dyDescent="0.3">
      <c r="A162" t="s">
        <v>183</v>
      </c>
      <c r="B162" t="s">
        <v>15</v>
      </c>
      <c r="C162" s="1">
        <v>45714</v>
      </c>
      <c r="D162" s="1">
        <v>45759</v>
      </c>
      <c r="E162" s="2">
        <v>6131.33</v>
      </c>
      <c r="F162" t="s">
        <v>11</v>
      </c>
      <c r="G162" t="s">
        <v>17</v>
      </c>
      <c r="I162" t="s">
        <v>13</v>
      </c>
      <c r="J162" t="str">
        <f>IF(ISBLANK(Table2[[#This Row],[ReceivedDate]]),"Unpaid",IF(Table2[[#This Row],[ReceivedDate]]&gt;Table2[[#This Row],[DueDate]],"Late",IF(Table2[[#This Row],[ReceivedDate]]&lt;Table2[[#This Row],[DueDate]],"Early","On Time")))</f>
        <v>Unpaid</v>
      </c>
    </row>
    <row r="163" spans="1:10" x14ac:dyDescent="0.3">
      <c r="A163" t="s">
        <v>184</v>
      </c>
      <c r="B163" t="s">
        <v>30</v>
      </c>
      <c r="C163" s="1">
        <v>44977</v>
      </c>
      <c r="D163" s="1">
        <v>45022</v>
      </c>
      <c r="E163" s="2">
        <v>5140.8500000000004</v>
      </c>
      <c r="F163" t="s">
        <v>26</v>
      </c>
      <c r="G163" t="s">
        <v>12</v>
      </c>
      <c r="I163" t="s">
        <v>13</v>
      </c>
      <c r="J163" t="str">
        <f>IF(ISBLANK(Table2[[#This Row],[ReceivedDate]]),"Unpaid",IF(Table2[[#This Row],[ReceivedDate]]&gt;Table2[[#This Row],[DueDate]],"Late",IF(Table2[[#This Row],[ReceivedDate]]&lt;Table2[[#This Row],[DueDate]],"Early","On Time")))</f>
        <v>Unpaid</v>
      </c>
    </row>
    <row r="164" spans="1:10" x14ac:dyDescent="0.3">
      <c r="A164" t="s">
        <v>185</v>
      </c>
      <c r="B164" t="s">
        <v>23</v>
      </c>
      <c r="C164" s="1">
        <v>45019</v>
      </c>
      <c r="D164" s="1">
        <v>45064</v>
      </c>
      <c r="E164" s="2">
        <v>955.2</v>
      </c>
      <c r="F164" t="s">
        <v>28</v>
      </c>
      <c r="G164" t="s">
        <v>21</v>
      </c>
      <c r="H164" s="1">
        <v>45064</v>
      </c>
      <c r="I164" t="s">
        <v>13</v>
      </c>
      <c r="J164" t="str">
        <f>IF(ISBLANK(Table2[[#This Row],[ReceivedDate]]),"Unpaid",IF(Table2[[#This Row],[ReceivedDate]]&gt;Table2[[#This Row],[DueDate]],"Late",IF(Table2[[#This Row],[ReceivedDate]]&lt;Table2[[#This Row],[DueDate]],"Early","On Time")))</f>
        <v>On Time</v>
      </c>
    </row>
    <row r="165" spans="1:10" x14ac:dyDescent="0.3">
      <c r="A165" t="s">
        <v>186</v>
      </c>
      <c r="B165" t="s">
        <v>25</v>
      </c>
      <c r="C165" s="1">
        <v>45034</v>
      </c>
      <c r="D165" s="1">
        <v>45079</v>
      </c>
      <c r="E165" s="2">
        <v>3300.51</v>
      </c>
      <c r="F165" t="s">
        <v>16</v>
      </c>
      <c r="G165" t="s">
        <v>21</v>
      </c>
      <c r="H165" s="1">
        <v>45079</v>
      </c>
      <c r="I165" t="s">
        <v>13</v>
      </c>
      <c r="J165" t="str">
        <f>IF(ISBLANK(Table2[[#This Row],[ReceivedDate]]),"Unpaid",IF(Table2[[#This Row],[ReceivedDate]]&gt;Table2[[#This Row],[DueDate]],"Late",IF(Table2[[#This Row],[ReceivedDate]]&lt;Table2[[#This Row],[DueDate]],"Early","On Time")))</f>
        <v>On Time</v>
      </c>
    </row>
    <row r="166" spans="1:10" x14ac:dyDescent="0.3">
      <c r="A166" t="s">
        <v>187</v>
      </c>
      <c r="B166" t="s">
        <v>25</v>
      </c>
      <c r="C166" s="1">
        <v>45651</v>
      </c>
      <c r="D166" s="1">
        <v>45696</v>
      </c>
      <c r="E166" s="2">
        <v>4647.5</v>
      </c>
      <c r="F166" t="s">
        <v>28</v>
      </c>
      <c r="G166" t="s">
        <v>21</v>
      </c>
      <c r="H166" s="1">
        <v>45696</v>
      </c>
      <c r="I166" t="s">
        <v>13</v>
      </c>
      <c r="J166" t="str">
        <f>IF(ISBLANK(Table2[[#This Row],[ReceivedDate]]),"Unpaid",IF(Table2[[#This Row],[ReceivedDate]]&gt;Table2[[#This Row],[DueDate]],"Late",IF(Table2[[#This Row],[ReceivedDate]]&lt;Table2[[#This Row],[DueDate]],"Early","On Time")))</f>
        <v>On Time</v>
      </c>
    </row>
    <row r="167" spans="1:10" x14ac:dyDescent="0.3">
      <c r="A167" t="s">
        <v>188</v>
      </c>
      <c r="B167" t="s">
        <v>25</v>
      </c>
      <c r="C167" s="1">
        <v>45197</v>
      </c>
      <c r="D167" s="1">
        <v>45242</v>
      </c>
      <c r="E167" s="2">
        <v>2799.03</v>
      </c>
      <c r="F167" t="s">
        <v>28</v>
      </c>
      <c r="G167" t="s">
        <v>17</v>
      </c>
      <c r="I167" t="s">
        <v>13</v>
      </c>
      <c r="J167" t="str">
        <f>IF(ISBLANK(Table2[[#This Row],[ReceivedDate]]),"Unpaid",IF(Table2[[#This Row],[ReceivedDate]]&gt;Table2[[#This Row],[DueDate]],"Late",IF(Table2[[#This Row],[ReceivedDate]]&lt;Table2[[#This Row],[DueDate]],"Early","On Time")))</f>
        <v>Unpaid</v>
      </c>
    </row>
    <row r="168" spans="1:10" x14ac:dyDescent="0.3">
      <c r="A168" t="s">
        <v>189</v>
      </c>
      <c r="B168" t="s">
        <v>23</v>
      </c>
      <c r="C168" s="1">
        <v>45499</v>
      </c>
      <c r="D168" s="1">
        <v>45544</v>
      </c>
      <c r="E168" s="2">
        <v>6835.74</v>
      </c>
      <c r="F168" t="s">
        <v>16</v>
      </c>
      <c r="G168" t="s">
        <v>12</v>
      </c>
      <c r="I168" t="s">
        <v>13</v>
      </c>
      <c r="J168" t="str">
        <f>IF(ISBLANK(Table2[[#This Row],[ReceivedDate]]),"Unpaid",IF(Table2[[#This Row],[ReceivedDate]]&gt;Table2[[#This Row],[DueDate]],"Late",IF(Table2[[#This Row],[ReceivedDate]]&lt;Table2[[#This Row],[DueDate]],"Early","On Time")))</f>
        <v>Unpaid</v>
      </c>
    </row>
    <row r="169" spans="1:10" x14ac:dyDescent="0.3">
      <c r="A169" t="s">
        <v>190</v>
      </c>
      <c r="B169" t="s">
        <v>15</v>
      </c>
      <c r="C169" s="1">
        <v>45787</v>
      </c>
      <c r="D169" s="1">
        <v>45832</v>
      </c>
      <c r="E169" s="2">
        <v>6160.95</v>
      </c>
      <c r="F169" t="s">
        <v>19</v>
      </c>
      <c r="G169" t="s">
        <v>17</v>
      </c>
      <c r="I169" t="s">
        <v>13</v>
      </c>
      <c r="J169" t="str">
        <f>IF(ISBLANK(Table2[[#This Row],[ReceivedDate]]),"Unpaid",IF(Table2[[#This Row],[ReceivedDate]]&gt;Table2[[#This Row],[DueDate]],"Late",IF(Table2[[#This Row],[ReceivedDate]]&lt;Table2[[#This Row],[DueDate]],"Early","On Time")))</f>
        <v>Unpaid</v>
      </c>
    </row>
    <row r="170" spans="1:10" x14ac:dyDescent="0.3">
      <c r="A170" t="s">
        <v>191</v>
      </c>
      <c r="B170" t="s">
        <v>25</v>
      </c>
      <c r="C170" s="1">
        <v>45758</v>
      </c>
      <c r="D170" s="1">
        <v>45803</v>
      </c>
      <c r="E170" s="2">
        <v>1275.3699999999999</v>
      </c>
      <c r="F170" t="s">
        <v>16</v>
      </c>
      <c r="G170" t="s">
        <v>21</v>
      </c>
      <c r="H170" s="1">
        <v>45803</v>
      </c>
      <c r="I170" t="s">
        <v>13</v>
      </c>
      <c r="J170" t="str">
        <f>IF(ISBLANK(Table2[[#This Row],[ReceivedDate]]),"Unpaid",IF(Table2[[#This Row],[ReceivedDate]]&gt;Table2[[#This Row],[DueDate]],"Late",IF(Table2[[#This Row],[ReceivedDate]]&lt;Table2[[#This Row],[DueDate]],"Early","On Time")))</f>
        <v>On Time</v>
      </c>
    </row>
    <row r="171" spans="1:10" x14ac:dyDescent="0.3">
      <c r="A171" t="s">
        <v>192</v>
      </c>
      <c r="B171" t="s">
        <v>15</v>
      </c>
      <c r="C171" s="1">
        <v>45115</v>
      </c>
      <c r="D171" s="1">
        <v>45160</v>
      </c>
      <c r="E171" s="2">
        <v>6366.69</v>
      </c>
      <c r="F171" t="s">
        <v>19</v>
      </c>
      <c r="G171" t="s">
        <v>21</v>
      </c>
      <c r="H171" s="1">
        <v>45160</v>
      </c>
      <c r="I171" t="s">
        <v>13</v>
      </c>
      <c r="J171" t="str">
        <f>IF(ISBLANK(Table2[[#This Row],[ReceivedDate]]),"Unpaid",IF(Table2[[#This Row],[ReceivedDate]]&gt;Table2[[#This Row],[DueDate]],"Late",IF(Table2[[#This Row],[ReceivedDate]]&lt;Table2[[#This Row],[DueDate]],"Early","On Time")))</f>
        <v>On Time</v>
      </c>
    </row>
    <row r="172" spans="1:10" x14ac:dyDescent="0.3">
      <c r="A172" t="s">
        <v>193</v>
      </c>
      <c r="B172" t="s">
        <v>30</v>
      </c>
      <c r="C172" s="1">
        <v>45354</v>
      </c>
      <c r="D172" s="1">
        <v>45399</v>
      </c>
      <c r="E172" s="2">
        <v>2426.38</v>
      </c>
      <c r="F172" t="s">
        <v>19</v>
      </c>
      <c r="G172" t="s">
        <v>17</v>
      </c>
      <c r="I172" t="s">
        <v>13</v>
      </c>
      <c r="J172" t="str">
        <f>IF(ISBLANK(Table2[[#This Row],[ReceivedDate]]),"Unpaid",IF(Table2[[#This Row],[ReceivedDate]]&gt;Table2[[#This Row],[DueDate]],"Late",IF(Table2[[#This Row],[ReceivedDate]]&lt;Table2[[#This Row],[DueDate]],"Early","On Time")))</f>
        <v>Unpaid</v>
      </c>
    </row>
    <row r="173" spans="1:10" x14ac:dyDescent="0.3">
      <c r="A173" t="s">
        <v>194</v>
      </c>
      <c r="B173" t="s">
        <v>30</v>
      </c>
      <c r="C173" s="1">
        <v>45179</v>
      </c>
      <c r="D173" s="1">
        <v>45224</v>
      </c>
      <c r="E173" s="2">
        <v>5499.32</v>
      </c>
      <c r="F173" t="s">
        <v>26</v>
      </c>
      <c r="G173" t="s">
        <v>21</v>
      </c>
      <c r="H173" s="1">
        <v>45224</v>
      </c>
      <c r="I173" t="s">
        <v>13</v>
      </c>
      <c r="J173" t="str">
        <f>IF(ISBLANK(Table2[[#This Row],[ReceivedDate]]),"Unpaid",IF(Table2[[#This Row],[ReceivedDate]]&gt;Table2[[#This Row],[DueDate]],"Late",IF(Table2[[#This Row],[ReceivedDate]]&lt;Table2[[#This Row],[DueDate]],"Early","On Time")))</f>
        <v>On Time</v>
      </c>
    </row>
    <row r="174" spans="1:10" x14ac:dyDescent="0.3">
      <c r="A174" t="s">
        <v>195</v>
      </c>
      <c r="B174" t="s">
        <v>15</v>
      </c>
      <c r="C174" s="1">
        <v>45106</v>
      </c>
      <c r="D174" s="1">
        <v>45151</v>
      </c>
      <c r="E174" s="2">
        <v>2573.4899999999998</v>
      </c>
      <c r="F174" t="s">
        <v>26</v>
      </c>
      <c r="G174" t="s">
        <v>21</v>
      </c>
      <c r="H174" s="1">
        <v>45151</v>
      </c>
      <c r="I174" t="s">
        <v>13</v>
      </c>
      <c r="J174" t="str">
        <f>IF(ISBLANK(Table2[[#This Row],[ReceivedDate]]),"Unpaid",IF(Table2[[#This Row],[ReceivedDate]]&gt;Table2[[#This Row],[DueDate]],"Late",IF(Table2[[#This Row],[ReceivedDate]]&lt;Table2[[#This Row],[DueDate]],"Early","On Time")))</f>
        <v>On Time</v>
      </c>
    </row>
    <row r="175" spans="1:10" x14ac:dyDescent="0.3">
      <c r="A175" t="s">
        <v>196</v>
      </c>
      <c r="B175" t="s">
        <v>30</v>
      </c>
      <c r="C175" s="1">
        <v>44928</v>
      </c>
      <c r="D175" s="1">
        <v>44973</v>
      </c>
      <c r="E175" s="2">
        <v>895.39</v>
      </c>
      <c r="F175" t="s">
        <v>16</v>
      </c>
      <c r="G175" t="s">
        <v>17</v>
      </c>
      <c r="I175" t="s">
        <v>13</v>
      </c>
      <c r="J175" t="str">
        <f>IF(ISBLANK(Table2[[#This Row],[ReceivedDate]]),"Unpaid",IF(Table2[[#This Row],[ReceivedDate]]&gt;Table2[[#This Row],[DueDate]],"Late",IF(Table2[[#This Row],[ReceivedDate]]&lt;Table2[[#This Row],[DueDate]],"Early","On Time")))</f>
        <v>Unpaid</v>
      </c>
    </row>
    <row r="176" spans="1:10" x14ac:dyDescent="0.3">
      <c r="A176" t="s">
        <v>197</v>
      </c>
      <c r="B176" t="s">
        <v>30</v>
      </c>
      <c r="C176" s="1">
        <v>45752</v>
      </c>
      <c r="D176" s="1">
        <v>45797</v>
      </c>
      <c r="E176" s="2">
        <v>1425.44</v>
      </c>
      <c r="F176" t="s">
        <v>26</v>
      </c>
      <c r="G176" t="s">
        <v>17</v>
      </c>
      <c r="I176" t="s">
        <v>13</v>
      </c>
      <c r="J176" t="str">
        <f>IF(ISBLANK(Table2[[#This Row],[ReceivedDate]]),"Unpaid",IF(Table2[[#This Row],[ReceivedDate]]&gt;Table2[[#This Row],[DueDate]],"Late",IF(Table2[[#This Row],[ReceivedDate]]&lt;Table2[[#This Row],[DueDate]],"Early","On Time")))</f>
        <v>Unpaid</v>
      </c>
    </row>
    <row r="177" spans="1:10" x14ac:dyDescent="0.3">
      <c r="A177" t="s">
        <v>198</v>
      </c>
      <c r="B177" t="s">
        <v>23</v>
      </c>
      <c r="C177" s="1">
        <v>45697</v>
      </c>
      <c r="D177" s="1">
        <v>45742</v>
      </c>
      <c r="E177" s="2">
        <v>7615.32</v>
      </c>
      <c r="F177" t="s">
        <v>19</v>
      </c>
      <c r="G177" t="s">
        <v>17</v>
      </c>
      <c r="I177" t="s">
        <v>13</v>
      </c>
      <c r="J177" t="str">
        <f>IF(ISBLANK(Table2[[#This Row],[ReceivedDate]]),"Unpaid",IF(Table2[[#This Row],[ReceivedDate]]&gt;Table2[[#This Row],[DueDate]],"Late",IF(Table2[[#This Row],[ReceivedDate]]&lt;Table2[[#This Row],[DueDate]],"Early","On Time")))</f>
        <v>Unpaid</v>
      </c>
    </row>
    <row r="178" spans="1:10" x14ac:dyDescent="0.3">
      <c r="A178" t="s">
        <v>199</v>
      </c>
      <c r="B178" t="s">
        <v>15</v>
      </c>
      <c r="C178" s="1">
        <v>45095</v>
      </c>
      <c r="D178" s="1">
        <v>45140</v>
      </c>
      <c r="E178" s="2">
        <v>5139.07</v>
      </c>
      <c r="F178" t="s">
        <v>19</v>
      </c>
      <c r="G178" t="s">
        <v>12</v>
      </c>
      <c r="I178" t="s">
        <v>13</v>
      </c>
      <c r="J178" t="str">
        <f>IF(ISBLANK(Table2[[#This Row],[ReceivedDate]]),"Unpaid",IF(Table2[[#This Row],[ReceivedDate]]&gt;Table2[[#This Row],[DueDate]],"Late",IF(Table2[[#This Row],[ReceivedDate]]&lt;Table2[[#This Row],[DueDate]],"Early","On Time")))</f>
        <v>Unpaid</v>
      </c>
    </row>
    <row r="179" spans="1:10" x14ac:dyDescent="0.3">
      <c r="A179" t="s">
        <v>200</v>
      </c>
      <c r="B179" t="s">
        <v>10</v>
      </c>
      <c r="C179" s="1">
        <v>45211</v>
      </c>
      <c r="D179" s="1">
        <v>45256</v>
      </c>
      <c r="E179" s="2">
        <v>5167.68</v>
      </c>
      <c r="F179" t="s">
        <v>19</v>
      </c>
      <c r="G179" t="s">
        <v>12</v>
      </c>
      <c r="I179" t="s">
        <v>13</v>
      </c>
      <c r="J179" t="str">
        <f>IF(ISBLANK(Table2[[#This Row],[ReceivedDate]]),"Unpaid",IF(Table2[[#This Row],[ReceivedDate]]&gt;Table2[[#This Row],[DueDate]],"Late",IF(Table2[[#This Row],[ReceivedDate]]&lt;Table2[[#This Row],[DueDate]],"Early","On Time")))</f>
        <v>Unpaid</v>
      </c>
    </row>
    <row r="180" spans="1:10" x14ac:dyDescent="0.3">
      <c r="A180" t="s">
        <v>201</v>
      </c>
      <c r="B180" t="s">
        <v>30</v>
      </c>
      <c r="C180" s="1">
        <v>45510</v>
      </c>
      <c r="D180" s="1">
        <v>45555</v>
      </c>
      <c r="E180" s="2">
        <v>3033.26</v>
      </c>
      <c r="F180" t="s">
        <v>26</v>
      </c>
      <c r="G180" t="s">
        <v>17</v>
      </c>
      <c r="I180" t="s">
        <v>13</v>
      </c>
      <c r="J180" t="str">
        <f>IF(ISBLANK(Table2[[#This Row],[ReceivedDate]]),"Unpaid",IF(Table2[[#This Row],[ReceivedDate]]&gt;Table2[[#This Row],[DueDate]],"Late",IF(Table2[[#This Row],[ReceivedDate]]&lt;Table2[[#This Row],[DueDate]],"Early","On Time")))</f>
        <v>Unpaid</v>
      </c>
    </row>
    <row r="181" spans="1:10" x14ac:dyDescent="0.3">
      <c r="A181" t="s">
        <v>202</v>
      </c>
      <c r="B181" t="s">
        <v>30</v>
      </c>
      <c r="C181" s="1">
        <v>45638</v>
      </c>
      <c r="D181" s="1">
        <v>45683</v>
      </c>
      <c r="E181" s="2">
        <v>2790.33</v>
      </c>
      <c r="F181" t="s">
        <v>28</v>
      </c>
      <c r="G181" t="s">
        <v>21</v>
      </c>
      <c r="H181" s="1">
        <v>45683</v>
      </c>
      <c r="I181" t="s">
        <v>13</v>
      </c>
      <c r="J181" t="str">
        <f>IF(ISBLANK(Table2[[#This Row],[ReceivedDate]]),"Unpaid",IF(Table2[[#This Row],[ReceivedDate]]&gt;Table2[[#This Row],[DueDate]],"Late",IF(Table2[[#This Row],[ReceivedDate]]&lt;Table2[[#This Row],[DueDate]],"Early","On Time")))</f>
        <v>On Time</v>
      </c>
    </row>
    <row r="182" spans="1:10" x14ac:dyDescent="0.3">
      <c r="A182" t="s">
        <v>203</v>
      </c>
      <c r="B182" t="s">
        <v>10</v>
      </c>
      <c r="C182" s="1">
        <v>45122</v>
      </c>
      <c r="D182" s="1">
        <v>45167</v>
      </c>
      <c r="E182" s="2">
        <v>2501.6799999999998</v>
      </c>
      <c r="F182" t="s">
        <v>26</v>
      </c>
      <c r="G182" t="s">
        <v>21</v>
      </c>
      <c r="H182" s="1">
        <v>45167</v>
      </c>
      <c r="I182" t="s">
        <v>13</v>
      </c>
      <c r="J182" t="str">
        <f>IF(ISBLANK(Table2[[#This Row],[ReceivedDate]]),"Unpaid",IF(Table2[[#This Row],[ReceivedDate]]&gt;Table2[[#This Row],[DueDate]],"Late",IF(Table2[[#This Row],[ReceivedDate]]&lt;Table2[[#This Row],[DueDate]],"Early","On Time")))</f>
        <v>On Time</v>
      </c>
    </row>
    <row r="183" spans="1:10" x14ac:dyDescent="0.3">
      <c r="A183" t="s">
        <v>204</v>
      </c>
      <c r="B183" t="s">
        <v>30</v>
      </c>
      <c r="C183" s="1">
        <v>45239</v>
      </c>
      <c r="D183" s="1">
        <v>45284</v>
      </c>
      <c r="E183" s="2">
        <v>4360.84</v>
      </c>
      <c r="F183" t="s">
        <v>28</v>
      </c>
      <c r="G183" t="s">
        <v>17</v>
      </c>
      <c r="I183" t="s">
        <v>13</v>
      </c>
      <c r="J183" t="str">
        <f>IF(ISBLANK(Table2[[#This Row],[ReceivedDate]]),"Unpaid",IF(Table2[[#This Row],[ReceivedDate]]&gt;Table2[[#This Row],[DueDate]],"Late",IF(Table2[[#This Row],[ReceivedDate]]&lt;Table2[[#This Row],[DueDate]],"Early","On Time")))</f>
        <v>Unpaid</v>
      </c>
    </row>
    <row r="184" spans="1:10" x14ac:dyDescent="0.3">
      <c r="A184" t="s">
        <v>205</v>
      </c>
      <c r="B184" t="s">
        <v>25</v>
      </c>
      <c r="C184" s="1">
        <v>45373</v>
      </c>
      <c r="D184" s="1">
        <v>45418</v>
      </c>
      <c r="E184" s="2">
        <v>3594.45</v>
      </c>
      <c r="F184" t="s">
        <v>28</v>
      </c>
      <c r="G184" t="s">
        <v>12</v>
      </c>
      <c r="I184" t="s">
        <v>13</v>
      </c>
      <c r="J184" t="str">
        <f>IF(ISBLANK(Table2[[#This Row],[ReceivedDate]]),"Unpaid",IF(Table2[[#This Row],[ReceivedDate]]&gt;Table2[[#This Row],[DueDate]],"Late",IF(Table2[[#This Row],[ReceivedDate]]&lt;Table2[[#This Row],[DueDate]],"Early","On Time")))</f>
        <v>Unpaid</v>
      </c>
    </row>
    <row r="185" spans="1:10" x14ac:dyDescent="0.3">
      <c r="A185" t="s">
        <v>206</v>
      </c>
      <c r="B185" t="s">
        <v>25</v>
      </c>
      <c r="C185" s="1">
        <v>45683</v>
      </c>
      <c r="D185" s="1">
        <v>45728</v>
      </c>
      <c r="E185" s="2">
        <v>532.94000000000005</v>
      </c>
      <c r="F185" t="s">
        <v>16</v>
      </c>
      <c r="G185" t="s">
        <v>17</v>
      </c>
      <c r="I185" t="s">
        <v>13</v>
      </c>
      <c r="J185" t="str">
        <f>IF(ISBLANK(Table2[[#This Row],[ReceivedDate]]),"Unpaid",IF(Table2[[#This Row],[ReceivedDate]]&gt;Table2[[#This Row],[DueDate]],"Late",IF(Table2[[#This Row],[ReceivedDate]]&lt;Table2[[#This Row],[DueDate]],"Early","On Time")))</f>
        <v>Unpaid</v>
      </c>
    </row>
    <row r="186" spans="1:10" x14ac:dyDescent="0.3">
      <c r="A186" t="s">
        <v>207</v>
      </c>
      <c r="B186" t="s">
        <v>23</v>
      </c>
      <c r="C186" s="1">
        <v>45082</v>
      </c>
      <c r="D186" s="1">
        <v>45127</v>
      </c>
      <c r="E186" s="2">
        <v>3313.6</v>
      </c>
      <c r="F186" t="s">
        <v>11</v>
      </c>
      <c r="G186" t="s">
        <v>12</v>
      </c>
      <c r="I186" t="s">
        <v>13</v>
      </c>
      <c r="J186" t="str">
        <f>IF(ISBLANK(Table2[[#This Row],[ReceivedDate]]),"Unpaid",IF(Table2[[#This Row],[ReceivedDate]]&gt;Table2[[#This Row],[DueDate]],"Late",IF(Table2[[#This Row],[ReceivedDate]]&lt;Table2[[#This Row],[DueDate]],"Early","On Time")))</f>
        <v>Unpaid</v>
      </c>
    </row>
    <row r="187" spans="1:10" x14ac:dyDescent="0.3">
      <c r="A187" t="s">
        <v>208</v>
      </c>
      <c r="B187" t="s">
        <v>23</v>
      </c>
      <c r="C187" s="1">
        <v>45171</v>
      </c>
      <c r="D187" s="1">
        <v>45216</v>
      </c>
      <c r="E187" s="2">
        <v>1217.21</v>
      </c>
      <c r="F187" t="s">
        <v>28</v>
      </c>
      <c r="G187" t="s">
        <v>12</v>
      </c>
      <c r="I187" t="s">
        <v>13</v>
      </c>
      <c r="J187" t="str">
        <f>IF(ISBLANK(Table2[[#This Row],[ReceivedDate]]),"Unpaid",IF(Table2[[#This Row],[ReceivedDate]]&gt;Table2[[#This Row],[DueDate]],"Late",IF(Table2[[#This Row],[ReceivedDate]]&lt;Table2[[#This Row],[DueDate]],"Early","On Time")))</f>
        <v>Unpaid</v>
      </c>
    </row>
    <row r="188" spans="1:10" x14ac:dyDescent="0.3">
      <c r="A188" t="s">
        <v>209</v>
      </c>
      <c r="B188" t="s">
        <v>10</v>
      </c>
      <c r="C188" s="1">
        <v>44962</v>
      </c>
      <c r="D188" s="1">
        <v>45007</v>
      </c>
      <c r="E188" s="2">
        <v>2638.46</v>
      </c>
      <c r="F188" t="s">
        <v>19</v>
      </c>
      <c r="G188" t="s">
        <v>12</v>
      </c>
      <c r="I188" t="s">
        <v>13</v>
      </c>
      <c r="J188" t="str">
        <f>IF(ISBLANK(Table2[[#This Row],[ReceivedDate]]),"Unpaid",IF(Table2[[#This Row],[ReceivedDate]]&gt;Table2[[#This Row],[DueDate]],"Late",IF(Table2[[#This Row],[ReceivedDate]]&lt;Table2[[#This Row],[DueDate]],"Early","On Time")))</f>
        <v>Unpaid</v>
      </c>
    </row>
    <row r="189" spans="1:10" x14ac:dyDescent="0.3">
      <c r="A189" t="s">
        <v>210</v>
      </c>
      <c r="B189" t="s">
        <v>23</v>
      </c>
      <c r="C189" s="1">
        <v>45007</v>
      </c>
      <c r="D189" s="1">
        <v>45052</v>
      </c>
      <c r="E189" s="2">
        <v>1769.81</v>
      </c>
      <c r="F189" t="s">
        <v>16</v>
      </c>
      <c r="G189" t="s">
        <v>12</v>
      </c>
      <c r="I189" t="s">
        <v>13</v>
      </c>
      <c r="J189" t="str">
        <f>IF(ISBLANK(Table2[[#This Row],[ReceivedDate]]),"Unpaid",IF(Table2[[#This Row],[ReceivedDate]]&gt;Table2[[#This Row],[DueDate]],"Late",IF(Table2[[#This Row],[ReceivedDate]]&lt;Table2[[#This Row],[DueDate]],"Early","On Time")))</f>
        <v>Unpaid</v>
      </c>
    </row>
    <row r="190" spans="1:10" x14ac:dyDescent="0.3">
      <c r="A190" t="s">
        <v>211</v>
      </c>
      <c r="B190" t="s">
        <v>15</v>
      </c>
      <c r="C190" s="1">
        <v>45728</v>
      </c>
      <c r="D190" s="1">
        <v>45773</v>
      </c>
      <c r="E190" s="2">
        <v>358</v>
      </c>
      <c r="F190" t="s">
        <v>26</v>
      </c>
      <c r="G190" t="s">
        <v>17</v>
      </c>
      <c r="I190" t="s">
        <v>13</v>
      </c>
      <c r="J190" t="str">
        <f>IF(ISBLANK(Table2[[#This Row],[ReceivedDate]]),"Unpaid",IF(Table2[[#This Row],[ReceivedDate]]&gt;Table2[[#This Row],[DueDate]],"Late",IF(Table2[[#This Row],[ReceivedDate]]&lt;Table2[[#This Row],[DueDate]],"Early","On Time")))</f>
        <v>Unpaid</v>
      </c>
    </row>
    <row r="191" spans="1:10" x14ac:dyDescent="0.3">
      <c r="A191" t="s">
        <v>212</v>
      </c>
      <c r="B191" t="s">
        <v>30</v>
      </c>
      <c r="C191" s="1">
        <v>45453</v>
      </c>
      <c r="D191" s="1">
        <v>45498</v>
      </c>
      <c r="E191" s="2">
        <v>6116.96</v>
      </c>
      <c r="F191" t="s">
        <v>26</v>
      </c>
      <c r="G191" t="s">
        <v>17</v>
      </c>
      <c r="I191" t="s">
        <v>13</v>
      </c>
      <c r="J191" t="str">
        <f>IF(ISBLANK(Table2[[#This Row],[ReceivedDate]]),"Unpaid",IF(Table2[[#This Row],[ReceivedDate]]&gt;Table2[[#This Row],[DueDate]],"Late",IF(Table2[[#This Row],[ReceivedDate]]&lt;Table2[[#This Row],[DueDate]],"Early","On Time")))</f>
        <v>Unpaid</v>
      </c>
    </row>
    <row r="192" spans="1:10" x14ac:dyDescent="0.3">
      <c r="A192" t="s">
        <v>213</v>
      </c>
      <c r="B192" t="s">
        <v>30</v>
      </c>
      <c r="C192" s="1">
        <v>45068</v>
      </c>
      <c r="D192" s="1">
        <v>45113</v>
      </c>
      <c r="E192" s="2">
        <v>6724.64</v>
      </c>
      <c r="F192" t="s">
        <v>26</v>
      </c>
      <c r="G192" t="s">
        <v>21</v>
      </c>
      <c r="H192" s="1">
        <v>45113</v>
      </c>
      <c r="I192" t="s">
        <v>13</v>
      </c>
      <c r="J192" t="str">
        <f>IF(ISBLANK(Table2[[#This Row],[ReceivedDate]]),"Unpaid",IF(Table2[[#This Row],[ReceivedDate]]&gt;Table2[[#This Row],[DueDate]],"Late",IF(Table2[[#This Row],[ReceivedDate]]&lt;Table2[[#This Row],[DueDate]],"Early","On Time")))</f>
        <v>On Time</v>
      </c>
    </row>
    <row r="193" spans="1:10" x14ac:dyDescent="0.3">
      <c r="A193" t="s">
        <v>214</v>
      </c>
      <c r="B193" t="s">
        <v>10</v>
      </c>
      <c r="C193" s="1">
        <v>45682</v>
      </c>
      <c r="D193" s="1">
        <v>45727</v>
      </c>
      <c r="E193" s="2">
        <v>1713.9</v>
      </c>
      <c r="F193" t="s">
        <v>28</v>
      </c>
      <c r="G193" t="s">
        <v>21</v>
      </c>
      <c r="H193" s="1">
        <v>45727</v>
      </c>
      <c r="I193" t="s">
        <v>13</v>
      </c>
      <c r="J193" t="str">
        <f>IF(ISBLANK(Table2[[#This Row],[ReceivedDate]]),"Unpaid",IF(Table2[[#This Row],[ReceivedDate]]&gt;Table2[[#This Row],[DueDate]],"Late",IF(Table2[[#This Row],[ReceivedDate]]&lt;Table2[[#This Row],[DueDate]],"Early","On Time")))</f>
        <v>On Time</v>
      </c>
    </row>
    <row r="194" spans="1:10" x14ac:dyDescent="0.3">
      <c r="A194" t="s">
        <v>215</v>
      </c>
      <c r="B194" t="s">
        <v>15</v>
      </c>
      <c r="C194" s="1">
        <v>45006</v>
      </c>
      <c r="D194" s="1">
        <v>45051</v>
      </c>
      <c r="E194" s="2">
        <v>4500.46</v>
      </c>
      <c r="F194" t="s">
        <v>28</v>
      </c>
      <c r="G194" t="s">
        <v>17</v>
      </c>
      <c r="I194" t="s">
        <v>13</v>
      </c>
      <c r="J194" t="str">
        <f>IF(ISBLANK(Table2[[#This Row],[ReceivedDate]]),"Unpaid",IF(Table2[[#This Row],[ReceivedDate]]&gt;Table2[[#This Row],[DueDate]],"Late",IF(Table2[[#This Row],[ReceivedDate]]&lt;Table2[[#This Row],[DueDate]],"Early","On Time")))</f>
        <v>Unpaid</v>
      </c>
    </row>
    <row r="195" spans="1:10" x14ac:dyDescent="0.3">
      <c r="A195" t="s">
        <v>216</v>
      </c>
      <c r="B195" t="s">
        <v>23</v>
      </c>
      <c r="C195" s="1">
        <v>45189</v>
      </c>
      <c r="D195" s="1">
        <v>45234</v>
      </c>
      <c r="E195" s="2">
        <v>5401.26</v>
      </c>
      <c r="F195" t="s">
        <v>28</v>
      </c>
      <c r="G195" t="s">
        <v>17</v>
      </c>
      <c r="I195" t="s">
        <v>13</v>
      </c>
      <c r="J195" t="str">
        <f>IF(ISBLANK(Table2[[#This Row],[ReceivedDate]]),"Unpaid",IF(Table2[[#This Row],[ReceivedDate]]&gt;Table2[[#This Row],[DueDate]],"Late",IF(Table2[[#This Row],[ReceivedDate]]&lt;Table2[[#This Row],[DueDate]],"Early","On Time")))</f>
        <v>Unpaid</v>
      </c>
    </row>
    <row r="196" spans="1:10" x14ac:dyDescent="0.3">
      <c r="A196" t="s">
        <v>217</v>
      </c>
      <c r="B196" t="s">
        <v>23</v>
      </c>
      <c r="C196" s="1">
        <v>45695</v>
      </c>
      <c r="D196" s="1">
        <v>45740</v>
      </c>
      <c r="E196" s="2">
        <v>7173.1</v>
      </c>
      <c r="F196" t="s">
        <v>16</v>
      </c>
      <c r="G196" t="s">
        <v>21</v>
      </c>
      <c r="H196" s="1">
        <v>45740</v>
      </c>
      <c r="I196" t="s">
        <v>13</v>
      </c>
      <c r="J196" t="str">
        <f>IF(ISBLANK(Table2[[#This Row],[ReceivedDate]]),"Unpaid",IF(Table2[[#This Row],[ReceivedDate]]&gt;Table2[[#This Row],[DueDate]],"Late",IF(Table2[[#This Row],[ReceivedDate]]&lt;Table2[[#This Row],[DueDate]],"Early","On Time")))</f>
        <v>On Time</v>
      </c>
    </row>
    <row r="197" spans="1:10" x14ac:dyDescent="0.3">
      <c r="A197" t="s">
        <v>218</v>
      </c>
      <c r="B197" t="s">
        <v>30</v>
      </c>
      <c r="C197" s="1">
        <v>45122</v>
      </c>
      <c r="D197" s="1">
        <v>45167</v>
      </c>
      <c r="E197" s="2">
        <v>255.6</v>
      </c>
      <c r="F197" t="s">
        <v>19</v>
      </c>
      <c r="G197" t="s">
        <v>21</v>
      </c>
      <c r="H197" s="1">
        <v>45167</v>
      </c>
      <c r="I197" t="s">
        <v>13</v>
      </c>
      <c r="J197" t="str">
        <f>IF(ISBLANK(Table2[[#This Row],[ReceivedDate]]),"Unpaid",IF(Table2[[#This Row],[ReceivedDate]]&gt;Table2[[#This Row],[DueDate]],"Late",IF(Table2[[#This Row],[ReceivedDate]]&lt;Table2[[#This Row],[DueDate]],"Early","On Time")))</f>
        <v>On Time</v>
      </c>
    </row>
    <row r="198" spans="1:10" x14ac:dyDescent="0.3">
      <c r="A198" t="s">
        <v>219</v>
      </c>
      <c r="B198" t="s">
        <v>10</v>
      </c>
      <c r="C198" s="1">
        <v>45758</v>
      </c>
      <c r="D198" s="1">
        <v>45803</v>
      </c>
      <c r="E198" s="2">
        <v>1321.36</v>
      </c>
      <c r="F198" t="s">
        <v>19</v>
      </c>
      <c r="G198" t="s">
        <v>17</v>
      </c>
      <c r="I198" t="s">
        <v>13</v>
      </c>
      <c r="J198" t="str">
        <f>IF(ISBLANK(Table2[[#This Row],[ReceivedDate]]),"Unpaid",IF(Table2[[#This Row],[ReceivedDate]]&gt;Table2[[#This Row],[DueDate]],"Late",IF(Table2[[#This Row],[ReceivedDate]]&lt;Table2[[#This Row],[DueDate]],"Early","On Time")))</f>
        <v>Unpaid</v>
      </c>
    </row>
    <row r="199" spans="1:10" x14ac:dyDescent="0.3">
      <c r="A199" t="s">
        <v>220</v>
      </c>
      <c r="B199" t="s">
        <v>23</v>
      </c>
      <c r="C199" s="1">
        <v>45694</v>
      </c>
      <c r="D199" s="1">
        <v>45739</v>
      </c>
      <c r="E199" s="2">
        <v>4239.62</v>
      </c>
      <c r="F199" t="s">
        <v>11</v>
      </c>
      <c r="G199" t="s">
        <v>21</v>
      </c>
      <c r="H199" s="1">
        <v>45739</v>
      </c>
      <c r="I199" t="s">
        <v>13</v>
      </c>
      <c r="J199" t="str">
        <f>IF(ISBLANK(Table2[[#This Row],[ReceivedDate]]),"Unpaid",IF(Table2[[#This Row],[ReceivedDate]]&gt;Table2[[#This Row],[DueDate]],"Late",IF(Table2[[#This Row],[ReceivedDate]]&lt;Table2[[#This Row],[DueDate]],"Early","On Time")))</f>
        <v>On Time</v>
      </c>
    </row>
    <row r="200" spans="1:10" x14ac:dyDescent="0.3">
      <c r="A200" t="s">
        <v>221</v>
      </c>
      <c r="B200" t="s">
        <v>10</v>
      </c>
      <c r="C200" s="1">
        <v>45447</v>
      </c>
      <c r="D200" s="1">
        <v>45492</v>
      </c>
      <c r="E200" s="2">
        <v>1910.09</v>
      </c>
      <c r="F200" t="s">
        <v>11</v>
      </c>
      <c r="G200" t="s">
        <v>17</v>
      </c>
      <c r="I200" t="s">
        <v>13</v>
      </c>
      <c r="J200" t="str">
        <f>IF(ISBLANK(Table2[[#This Row],[ReceivedDate]]),"Unpaid",IF(Table2[[#This Row],[ReceivedDate]]&gt;Table2[[#This Row],[DueDate]],"Late",IF(Table2[[#This Row],[ReceivedDate]]&lt;Table2[[#This Row],[DueDate]],"Early","On Time")))</f>
        <v>Unpaid</v>
      </c>
    </row>
    <row r="201" spans="1:10" x14ac:dyDescent="0.3">
      <c r="A201" t="s">
        <v>222</v>
      </c>
      <c r="B201" t="s">
        <v>25</v>
      </c>
      <c r="C201" s="1">
        <v>44975</v>
      </c>
      <c r="D201" s="1">
        <v>45020</v>
      </c>
      <c r="E201" s="2">
        <v>1732.73</v>
      </c>
      <c r="F201" t="s">
        <v>28</v>
      </c>
      <c r="G201" t="s">
        <v>17</v>
      </c>
      <c r="I201" t="s">
        <v>13</v>
      </c>
      <c r="J201" t="str">
        <f>IF(ISBLANK(Table2[[#This Row],[ReceivedDate]]),"Unpaid",IF(Table2[[#This Row],[ReceivedDate]]&gt;Table2[[#This Row],[DueDate]],"Late",IF(Table2[[#This Row],[ReceivedDate]]&lt;Table2[[#This Row],[DueDate]],"Early","On Time")))</f>
        <v>Unpaid</v>
      </c>
    </row>
    <row r="202" spans="1:10" x14ac:dyDescent="0.3">
      <c r="A202" t="s">
        <v>223</v>
      </c>
      <c r="B202" t="s">
        <v>23</v>
      </c>
      <c r="C202" s="1">
        <v>45235</v>
      </c>
      <c r="D202" s="1">
        <v>45280</v>
      </c>
      <c r="E202" s="2">
        <v>7442.79</v>
      </c>
      <c r="F202" t="s">
        <v>19</v>
      </c>
      <c r="G202" t="s">
        <v>12</v>
      </c>
      <c r="I202" t="s">
        <v>13</v>
      </c>
      <c r="J202" t="str">
        <f>IF(ISBLANK(Table2[[#This Row],[ReceivedDate]]),"Unpaid",IF(Table2[[#This Row],[ReceivedDate]]&gt;Table2[[#This Row],[DueDate]],"Late",IF(Table2[[#This Row],[ReceivedDate]]&lt;Table2[[#This Row],[DueDate]],"Early","On Time")))</f>
        <v>Unpaid</v>
      </c>
    </row>
    <row r="203" spans="1:10" x14ac:dyDescent="0.3">
      <c r="A203" t="s">
        <v>224</v>
      </c>
      <c r="B203" t="s">
        <v>15</v>
      </c>
      <c r="C203" s="1">
        <v>45814</v>
      </c>
      <c r="D203" s="1">
        <v>45859</v>
      </c>
      <c r="E203" s="2">
        <v>7828.34</v>
      </c>
      <c r="F203" t="s">
        <v>26</v>
      </c>
      <c r="G203" t="s">
        <v>12</v>
      </c>
      <c r="I203" t="s">
        <v>13</v>
      </c>
      <c r="J203" t="str">
        <f>IF(ISBLANK(Table2[[#This Row],[ReceivedDate]]),"Unpaid",IF(Table2[[#This Row],[ReceivedDate]]&gt;Table2[[#This Row],[DueDate]],"Late",IF(Table2[[#This Row],[ReceivedDate]]&lt;Table2[[#This Row],[DueDate]],"Early","On Time")))</f>
        <v>Unpaid</v>
      </c>
    </row>
    <row r="204" spans="1:10" x14ac:dyDescent="0.3">
      <c r="A204" t="s">
        <v>225</v>
      </c>
      <c r="B204" t="s">
        <v>30</v>
      </c>
      <c r="C204" s="1">
        <v>44927</v>
      </c>
      <c r="D204" s="1">
        <v>44972</v>
      </c>
      <c r="E204" s="2">
        <v>3603.21</v>
      </c>
      <c r="F204" t="s">
        <v>19</v>
      </c>
      <c r="G204" t="s">
        <v>17</v>
      </c>
      <c r="I204" t="s">
        <v>13</v>
      </c>
      <c r="J204" t="str">
        <f>IF(ISBLANK(Table2[[#This Row],[ReceivedDate]]),"Unpaid",IF(Table2[[#This Row],[ReceivedDate]]&gt;Table2[[#This Row],[DueDate]],"Late",IF(Table2[[#This Row],[ReceivedDate]]&lt;Table2[[#This Row],[DueDate]],"Early","On Time")))</f>
        <v>Unpaid</v>
      </c>
    </row>
    <row r="205" spans="1:10" x14ac:dyDescent="0.3">
      <c r="A205" t="s">
        <v>226</v>
      </c>
      <c r="B205" t="s">
        <v>23</v>
      </c>
      <c r="C205" s="1">
        <v>44934</v>
      </c>
      <c r="D205" s="1">
        <v>44979</v>
      </c>
      <c r="E205" s="2">
        <v>3256.73</v>
      </c>
      <c r="F205" t="s">
        <v>26</v>
      </c>
      <c r="G205" t="s">
        <v>21</v>
      </c>
      <c r="H205" s="1">
        <v>44979</v>
      </c>
      <c r="I205" t="s">
        <v>13</v>
      </c>
      <c r="J205" t="str">
        <f>IF(ISBLANK(Table2[[#This Row],[ReceivedDate]]),"Unpaid",IF(Table2[[#This Row],[ReceivedDate]]&gt;Table2[[#This Row],[DueDate]],"Late",IF(Table2[[#This Row],[ReceivedDate]]&lt;Table2[[#This Row],[DueDate]],"Early","On Time")))</f>
        <v>On Time</v>
      </c>
    </row>
    <row r="206" spans="1:10" x14ac:dyDescent="0.3">
      <c r="A206" t="s">
        <v>227</v>
      </c>
      <c r="B206" t="s">
        <v>10</v>
      </c>
      <c r="C206" s="1">
        <v>45142</v>
      </c>
      <c r="D206" s="1">
        <v>45187</v>
      </c>
      <c r="E206" s="2">
        <v>694.22</v>
      </c>
      <c r="F206" t="s">
        <v>28</v>
      </c>
      <c r="G206" t="s">
        <v>21</v>
      </c>
      <c r="H206" s="1">
        <v>45187</v>
      </c>
      <c r="I206" t="s">
        <v>13</v>
      </c>
      <c r="J206" t="str">
        <f>IF(ISBLANK(Table2[[#This Row],[ReceivedDate]]),"Unpaid",IF(Table2[[#This Row],[ReceivedDate]]&gt;Table2[[#This Row],[DueDate]],"Late",IF(Table2[[#This Row],[ReceivedDate]]&lt;Table2[[#This Row],[DueDate]],"Early","On Time")))</f>
        <v>On Time</v>
      </c>
    </row>
    <row r="207" spans="1:10" x14ac:dyDescent="0.3">
      <c r="A207" t="s">
        <v>228</v>
      </c>
      <c r="B207" t="s">
        <v>25</v>
      </c>
      <c r="C207" s="1">
        <v>44948</v>
      </c>
      <c r="D207" s="1">
        <v>44993</v>
      </c>
      <c r="E207" s="2">
        <v>4742.33</v>
      </c>
      <c r="F207" t="s">
        <v>11</v>
      </c>
      <c r="G207" t="s">
        <v>17</v>
      </c>
      <c r="I207" t="s">
        <v>13</v>
      </c>
      <c r="J207" t="str">
        <f>IF(ISBLANK(Table2[[#This Row],[ReceivedDate]]),"Unpaid",IF(Table2[[#This Row],[ReceivedDate]]&gt;Table2[[#This Row],[DueDate]],"Late",IF(Table2[[#This Row],[ReceivedDate]]&lt;Table2[[#This Row],[DueDate]],"Early","On Time")))</f>
        <v>Unpaid</v>
      </c>
    </row>
    <row r="208" spans="1:10" x14ac:dyDescent="0.3">
      <c r="A208" t="s">
        <v>229</v>
      </c>
      <c r="B208" t="s">
        <v>15</v>
      </c>
      <c r="C208" s="1">
        <v>45695</v>
      </c>
      <c r="D208" s="1">
        <v>45740</v>
      </c>
      <c r="E208" s="2">
        <v>5745.4</v>
      </c>
      <c r="F208" t="s">
        <v>26</v>
      </c>
      <c r="G208" t="s">
        <v>12</v>
      </c>
      <c r="I208" t="s">
        <v>13</v>
      </c>
      <c r="J208" t="str">
        <f>IF(ISBLANK(Table2[[#This Row],[ReceivedDate]]),"Unpaid",IF(Table2[[#This Row],[ReceivedDate]]&gt;Table2[[#This Row],[DueDate]],"Late",IF(Table2[[#This Row],[ReceivedDate]]&lt;Table2[[#This Row],[DueDate]],"Early","On Time")))</f>
        <v>Unpaid</v>
      </c>
    </row>
    <row r="209" spans="1:10" x14ac:dyDescent="0.3">
      <c r="A209" t="s">
        <v>230</v>
      </c>
      <c r="B209" t="s">
        <v>25</v>
      </c>
      <c r="C209" s="1">
        <v>45125</v>
      </c>
      <c r="D209" s="1">
        <v>45170</v>
      </c>
      <c r="E209" s="2">
        <v>6440.55</v>
      </c>
      <c r="F209" t="s">
        <v>11</v>
      </c>
      <c r="G209" t="s">
        <v>12</v>
      </c>
      <c r="I209" t="s">
        <v>13</v>
      </c>
      <c r="J209" t="str">
        <f>IF(ISBLANK(Table2[[#This Row],[ReceivedDate]]),"Unpaid",IF(Table2[[#This Row],[ReceivedDate]]&gt;Table2[[#This Row],[DueDate]],"Late",IF(Table2[[#This Row],[ReceivedDate]]&lt;Table2[[#This Row],[DueDate]],"Early","On Time")))</f>
        <v>Unpaid</v>
      </c>
    </row>
    <row r="210" spans="1:10" x14ac:dyDescent="0.3">
      <c r="A210" t="s">
        <v>231</v>
      </c>
      <c r="B210" t="s">
        <v>15</v>
      </c>
      <c r="C210" s="1">
        <v>45386</v>
      </c>
      <c r="D210" s="1">
        <v>45431</v>
      </c>
      <c r="E210" s="2">
        <v>5467.97</v>
      </c>
      <c r="F210" t="s">
        <v>26</v>
      </c>
      <c r="G210" t="s">
        <v>21</v>
      </c>
      <c r="H210" s="1">
        <v>45431</v>
      </c>
      <c r="I210" t="s">
        <v>13</v>
      </c>
      <c r="J210" t="str">
        <f>IF(ISBLANK(Table2[[#This Row],[ReceivedDate]]),"Unpaid",IF(Table2[[#This Row],[ReceivedDate]]&gt;Table2[[#This Row],[DueDate]],"Late",IF(Table2[[#This Row],[ReceivedDate]]&lt;Table2[[#This Row],[DueDate]],"Early","On Time")))</f>
        <v>On Time</v>
      </c>
    </row>
    <row r="211" spans="1:10" x14ac:dyDescent="0.3">
      <c r="A211" t="s">
        <v>232</v>
      </c>
      <c r="B211" t="s">
        <v>30</v>
      </c>
      <c r="C211" s="1">
        <v>45785</v>
      </c>
      <c r="D211" s="1">
        <v>45830</v>
      </c>
      <c r="E211" s="2">
        <v>3067.69</v>
      </c>
      <c r="F211" t="s">
        <v>19</v>
      </c>
      <c r="G211" t="s">
        <v>12</v>
      </c>
      <c r="I211" t="s">
        <v>13</v>
      </c>
      <c r="J211" t="str">
        <f>IF(ISBLANK(Table2[[#This Row],[ReceivedDate]]),"Unpaid",IF(Table2[[#This Row],[ReceivedDate]]&gt;Table2[[#This Row],[DueDate]],"Late",IF(Table2[[#This Row],[ReceivedDate]]&lt;Table2[[#This Row],[DueDate]],"Early","On Time")))</f>
        <v>Unpaid</v>
      </c>
    </row>
    <row r="212" spans="1:10" x14ac:dyDescent="0.3">
      <c r="A212" t="s">
        <v>233</v>
      </c>
      <c r="B212" t="s">
        <v>23</v>
      </c>
      <c r="C212" s="1">
        <v>45091</v>
      </c>
      <c r="D212" s="1">
        <v>45136</v>
      </c>
      <c r="E212" s="2">
        <v>3030.85</v>
      </c>
      <c r="F212" t="s">
        <v>28</v>
      </c>
      <c r="G212" t="s">
        <v>12</v>
      </c>
      <c r="I212" t="s">
        <v>13</v>
      </c>
      <c r="J212" t="str">
        <f>IF(ISBLANK(Table2[[#This Row],[ReceivedDate]]),"Unpaid",IF(Table2[[#This Row],[ReceivedDate]]&gt;Table2[[#This Row],[DueDate]],"Late",IF(Table2[[#This Row],[ReceivedDate]]&lt;Table2[[#This Row],[DueDate]],"Early","On Time")))</f>
        <v>Unpaid</v>
      </c>
    </row>
    <row r="213" spans="1:10" x14ac:dyDescent="0.3">
      <c r="A213" t="s">
        <v>234</v>
      </c>
      <c r="B213" t="s">
        <v>25</v>
      </c>
      <c r="C213" s="1">
        <v>45756</v>
      </c>
      <c r="D213" s="1">
        <v>45801</v>
      </c>
      <c r="E213" s="2">
        <v>4387.58</v>
      </c>
      <c r="F213" t="s">
        <v>16</v>
      </c>
      <c r="G213" t="s">
        <v>21</v>
      </c>
      <c r="H213" s="1">
        <v>45801</v>
      </c>
      <c r="I213" t="s">
        <v>13</v>
      </c>
      <c r="J213" t="str">
        <f>IF(ISBLANK(Table2[[#This Row],[ReceivedDate]]),"Unpaid",IF(Table2[[#This Row],[ReceivedDate]]&gt;Table2[[#This Row],[DueDate]],"Late",IF(Table2[[#This Row],[ReceivedDate]]&lt;Table2[[#This Row],[DueDate]],"Early","On Time")))</f>
        <v>On Time</v>
      </c>
    </row>
    <row r="214" spans="1:10" x14ac:dyDescent="0.3">
      <c r="A214" t="s">
        <v>235</v>
      </c>
      <c r="B214" t="s">
        <v>10</v>
      </c>
      <c r="C214" s="1">
        <v>45119</v>
      </c>
      <c r="D214" s="1">
        <v>45164</v>
      </c>
      <c r="E214" s="2">
        <v>970.15</v>
      </c>
      <c r="F214" t="s">
        <v>16</v>
      </c>
      <c r="G214" t="s">
        <v>21</v>
      </c>
      <c r="H214" s="1">
        <v>45164</v>
      </c>
      <c r="I214" t="s">
        <v>13</v>
      </c>
      <c r="J214" t="str">
        <f>IF(ISBLANK(Table2[[#This Row],[ReceivedDate]]),"Unpaid",IF(Table2[[#This Row],[ReceivedDate]]&gt;Table2[[#This Row],[DueDate]],"Late",IF(Table2[[#This Row],[ReceivedDate]]&lt;Table2[[#This Row],[DueDate]],"Early","On Time")))</f>
        <v>On Time</v>
      </c>
    </row>
    <row r="215" spans="1:10" x14ac:dyDescent="0.3">
      <c r="A215" t="s">
        <v>236</v>
      </c>
      <c r="B215" t="s">
        <v>25</v>
      </c>
      <c r="C215" s="1">
        <v>45038</v>
      </c>
      <c r="D215" s="1">
        <v>45083</v>
      </c>
      <c r="E215" s="2">
        <v>6545.56</v>
      </c>
      <c r="F215" t="s">
        <v>19</v>
      </c>
      <c r="G215" t="s">
        <v>12</v>
      </c>
      <c r="I215" t="s">
        <v>13</v>
      </c>
      <c r="J215" t="str">
        <f>IF(ISBLANK(Table2[[#This Row],[ReceivedDate]]),"Unpaid",IF(Table2[[#This Row],[ReceivedDate]]&gt;Table2[[#This Row],[DueDate]],"Late",IF(Table2[[#This Row],[ReceivedDate]]&lt;Table2[[#This Row],[DueDate]],"Early","On Time")))</f>
        <v>Unpaid</v>
      </c>
    </row>
    <row r="216" spans="1:10" x14ac:dyDescent="0.3">
      <c r="A216" t="s">
        <v>237</v>
      </c>
      <c r="B216" t="s">
        <v>23</v>
      </c>
      <c r="C216" s="1">
        <v>45246</v>
      </c>
      <c r="D216" s="1">
        <v>45291</v>
      </c>
      <c r="E216" s="2">
        <v>4888.93</v>
      </c>
      <c r="F216" t="s">
        <v>26</v>
      </c>
      <c r="G216" t="s">
        <v>17</v>
      </c>
      <c r="I216" t="s">
        <v>13</v>
      </c>
      <c r="J216" t="str">
        <f>IF(ISBLANK(Table2[[#This Row],[ReceivedDate]]),"Unpaid",IF(Table2[[#This Row],[ReceivedDate]]&gt;Table2[[#This Row],[DueDate]],"Late",IF(Table2[[#This Row],[ReceivedDate]]&lt;Table2[[#This Row],[DueDate]],"Early","On Time")))</f>
        <v>Unpaid</v>
      </c>
    </row>
    <row r="217" spans="1:10" x14ac:dyDescent="0.3">
      <c r="A217" t="s">
        <v>238</v>
      </c>
      <c r="B217" t="s">
        <v>15</v>
      </c>
      <c r="C217" s="1">
        <v>45172</v>
      </c>
      <c r="D217" s="1">
        <v>45217</v>
      </c>
      <c r="E217" s="2">
        <v>354.48</v>
      </c>
      <c r="F217" t="s">
        <v>16</v>
      </c>
      <c r="G217" t="s">
        <v>21</v>
      </c>
      <c r="H217" s="1">
        <v>45217</v>
      </c>
      <c r="I217" t="s">
        <v>13</v>
      </c>
      <c r="J217" t="str">
        <f>IF(ISBLANK(Table2[[#This Row],[ReceivedDate]]),"Unpaid",IF(Table2[[#This Row],[ReceivedDate]]&gt;Table2[[#This Row],[DueDate]],"Late",IF(Table2[[#This Row],[ReceivedDate]]&lt;Table2[[#This Row],[DueDate]],"Early","On Time")))</f>
        <v>On Time</v>
      </c>
    </row>
    <row r="218" spans="1:10" x14ac:dyDescent="0.3">
      <c r="A218" t="s">
        <v>239</v>
      </c>
      <c r="B218" t="s">
        <v>25</v>
      </c>
      <c r="C218" s="1">
        <v>45308</v>
      </c>
      <c r="D218" s="1">
        <v>45353</v>
      </c>
      <c r="E218" s="2">
        <v>657.87</v>
      </c>
      <c r="F218" t="s">
        <v>26</v>
      </c>
      <c r="G218" t="s">
        <v>21</v>
      </c>
      <c r="H218" s="1">
        <v>45353</v>
      </c>
      <c r="I218" t="s">
        <v>13</v>
      </c>
      <c r="J218" t="str">
        <f>IF(ISBLANK(Table2[[#This Row],[ReceivedDate]]),"Unpaid",IF(Table2[[#This Row],[ReceivedDate]]&gt;Table2[[#This Row],[DueDate]],"Late",IF(Table2[[#This Row],[ReceivedDate]]&lt;Table2[[#This Row],[DueDate]],"Early","On Time")))</f>
        <v>On Time</v>
      </c>
    </row>
    <row r="219" spans="1:10" x14ac:dyDescent="0.3">
      <c r="A219" t="s">
        <v>240</v>
      </c>
      <c r="B219" t="s">
        <v>25</v>
      </c>
      <c r="C219" s="1">
        <v>45012</v>
      </c>
      <c r="D219" s="1">
        <v>45057</v>
      </c>
      <c r="E219" s="2">
        <v>3415.75</v>
      </c>
      <c r="F219" t="s">
        <v>16</v>
      </c>
      <c r="G219" t="s">
        <v>17</v>
      </c>
      <c r="I219" t="s">
        <v>13</v>
      </c>
      <c r="J219" t="str">
        <f>IF(ISBLANK(Table2[[#This Row],[ReceivedDate]]),"Unpaid",IF(Table2[[#This Row],[ReceivedDate]]&gt;Table2[[#This Row],[DueDate]],"Late",IF(Table2[[#This Row],[ReceivedDate]]&lt;Table2[[#This Row],[DueDate]],"Early","On Time")))</f>
        <v>Unpaid</v>
      </c>
    </row>
    <row r="220" spans="1:10" x14ac:dyDescent="0.3">
      <c r="A220" t="s">
        <v>241</v>
      </c>
      <c r="B220" t="s">
        <v>15</v>
      </c>
      <c r="C220" s="1">
        <v>45768</v>
      </c>
      <c r="D220" s="1">
        <v>45813</v>
      </c>
      <c r="E220" s="2">
        <v>1884.26</v>
      </c>
      <c r="F220" t="s">
        <v>11</v>
      </c>
      <c r="G220" t="s">
        <v>21</v>
      </c>
      <c r="H220" s="1">
        <v>45813</v>
      </c>
      <c r="I220" t="s">
        <v>13</v>
      </c>
      <c r="J220" t="str">
        <f>IF(ISBLANK(Table2[[#This Row],[ReceivedDate]]),"Unpaid",IF(Table2[[#This Row],[ReceivedDate]]&gt;Table2[[#This Row],[DueDate]],"Late",IF(Table2[[#This Row],[ReceivedDate]]&lt;Table2[[#This Row],[DueDate]],"Early","On Time")))</f>
        <v>On Time</v>
      </c>
    </row>
    <row r="221" spans="1:10" x14ac:dyDescent="0.3">
      <c r="A221" t="s">
        <v>242</v>
      </c>
      <c r="B221" t="s">
        <v>10</v>
      </c>
      <c r="C221" s="1">
        <v>44983</v>
      </c>
      <c r="D221" s="1">
        <v>45028</v>
      </c>
      <c r="E221" s="2">
        <v>741.72</v>
      </c>
      <c r="F221" t="s">
        <v>28</v>
      </c>
      <c r="G221" t="s">
        <v>21</v>
      </c>
      <c r="H221" s="1">
        <v>45028</v>
      </c>
      <c r="I221" t="s">
        <v>13</v>
      </c>
      <c r="J221" t="str">
        <f>IF(ISBLANK(Table2[[#This Row],[ReceivedDate]]),"Unpaid",IF(Table2[[#This Row],[ReceivedDate]]&gt;Table2[[#This Row],[DueDate]],"Late",IF(Table2[[#This Row],[ReceivedDate]]&lt;Table2[[#This Row],[DueDate]],"Early","On Time")))</f>
        <v>On Time</v>
      </c>
    </row>
    <row r="222" spans="1:10" x14ac:dyDescent="0.3">
      <c r="A222" t="s">
        <v>243</v>
      </c>
      <c r="B222" t="s">
        <v>10</v>
      </c>
      <c r="C222" s="1">
        <v>45308</v>
      </c>
      <c r="D222" s="1">
        <v>45353</v>
      </c>
      <c r="E222" s="2">
        <v>7943.83</v>
      </c>
      <c r="F222" t="s">
        <v>11</v>
      </c>
      <c r="G222" t="s">
        <v>17</v>
      </c>
      <c r="I222" t="s">
        <v>13</v>
      </c>
      <c r="J222" t="str">
        <f>IF(ISBLANK(Table2[[#This Row],[ReceivedDate]]),"Unpaid",IF(Table2[[#This Row],[ReceivedDate]]&gt;Table2[[#This Row],[DueDate]],"Late",IF(Table2[[#This Row],[ReceivedDate]]&lt;Table2[[#This Row],[DueDate]],"Early","On Time")))</f>
        <v>Unpaid</v>
      </c>
    </row>
    <row r="223" spans="1:10" x14ac:dyDescent="0.3">
      <c r="A223" t="s">
        <v>244</v>
      </c>
      <c r="B223" t="s">
        <v>25</v>
      </c>
      <c r="C223" s="1">
        <v>45559</v>
      </c>
      <c r="D223" s="1">
        <v>45604</v>
      </c>
      <c r="E223" s="2">
        <v>247.4</v>
      </c>
      <c r="F223" t="s">
        <v>19</v>
      </c>
      <c r="G223" t="s">
        <v>12</v>
      </c>
      <c r="I223" t="s">
        <v>13</v>
      </c>
      <c r="J223" t="str">
        <f>IF(ISBLANK(Table2[[#This Row],[ReceivedDate]]),"Unpaid",IF(Table2[[#This Row],[ReceivedDate]]&gt;Table2[[#This Row],[DueDate]],"Late",IF(Table2[[#This Row],[ReceivedDate]]&lt;Table2[[#This Row],[DueDate]],"Early","On Time")))</f>
        <v>Unpaid</v>
      </c>
    </row>
    <row r="224" spans="1:10" x14ac:dyDescent="0.3">
      <c r="A224" t="s">
        <v>245</v>
      </c>
      <c r="B224" t="s">
        <v>25</v>
      </c>
      <c r="C224" s="1">
        <v>45196</v>
      </c>
      <c r="D224" s="1">
        <v>45241</v>
      </c>
      <c r="E224" s="2">
        <v>1967.78</v>
      </c>
      <c r="F224" t="s">
        <v>16</v>
      </c>
      <c r="G224" t="s">
        <v>17</v>
      </c>
      <c r="I224" t="s">
        <v>13</v>
      </c>
      <c r="J224" t="str">
        <f>IF(ISBLANK(Table2[[#This Row],[ReceivedDate]]),"Unpaid",IF(Table2[[#This Row],[ReceivedDate]]&gt;Table2[[#This Row],[DueDate]],"Late",IF(Table2[[#This Row],[ReceivedDate]]&lt;Table2[[#This Row],[DueDate]],"Early","On Time")))</f>
        <v>Unpaid</v>
      </c>
    </row>
    <row r="225" spans="1:10" x14ac:dyDescent="0.3">
      <c r="A225" t="s">
        <v>246</v>
      </c>
      <c r="B225" t="s">
        <v>10</v>
      </c>
      <c r="C225" s="1">
        <v>45178</v>
      </c>
      <c r="D225" s="1">
        <v>45223</v>
      </c>
      <c r="E225" s="2">
        <v>7603.86</v>
      </c>
      <c r="F225" t="s">
        <v>11</v>
      </c>
      <c r="G225" t="s">
        <v>12</v>
      </c>
      <c r="I225" t="s">
        <v>13</v>
      </c>
      <c r="J225" t="str">
        <f>IF(ISBLANK(Table2[[#This Row],[ReceivedDate]]),"Unpaid",IF(Table2[[#This Row],[ReceivedDate]]&gt;Table2[[#This Row],[DueDate]],"Late",IF(Table2[[#This Row],[ReceivedDate]]&lt;Table2[[#This Row],[DueDate]],"Early","On Time")))</f>
        <v>Unpaid</v>
      </c>
    </row>
    <row r="226" spans="1:10" x14ac:dyDescent="0.3">
      <c r="A226" t="s">
        <v>247</v>
      </c>
      <c r="B226" t="s">
        <v>30</v>
      </c>
      <c r="C226" s="1">
        <v>45149</v>
      </c>
      <c r="D226" s="1">
        <v>45194</v>
      </c>
      <c r="E226" s="2">
        <v>7290.34</v>
      </c>
      <c r="F226" t="s">
        <v>28</v>
      </c>
      <c r="G226" t="s">
        <v>17</v>
      </c>
      <c r="I226" t="s">
        <v>13</v>
      </c>
      <c r="J226" t="str">
        <f>IF(ISBLANK(Table2[[#This Row],[ReceivedDate]]),"Unpaid",IF(Table2[[#This Row],[ReceivedDate]]&gt;Table2[[#This Row],[DueDate]],"Late",IF(Table2[[#This Row],[ReceivedDate]]&lt;Table2[[#This Row],[DueDate]],"Early","On Time")))</f>
        <v>Unpaid</v>
      </c>
    </row>
    <row r="227" spans="1:10" x14ac:dyDescent="0.3">
      <c r="A227" t="s">
        <v>248</v>
      </c>
      <c r="B227" t="s">
        <v>25</v>
      </c>
      <c r="C227" s="1">
        <v>45477</v>
      </c>
      <c r="D227" s="1">
        <v>45522</v>
      </c>
      <c r="E227" s="2">
        <v>2291.87</v>
      </c>
      <c r="F227" t="s">
        <v>19</v>
      </c>
      <c r="G227" t="s">
        <v>17</v>
      </c>
      <c r="I227" t="s">
        <v>13</v>
      </c>
      <c r="J227" t="str">
        <f>IF(ISBLANK(Table2[[#This Row],[ReceivedDate]]),"Unpaid",IF(Table2[[#This Row],[ReceivedDate]]&gt;Table2[[#This Row],[DueDate]],"Late",IF(Table2[[#This Row],[ReceivedDate]]&lt;Table2[[#This Row],[DueDate]],"Early","On Time")))</f>
        <v>Unpaid</v>
      </c>
    </row>
    <row r="228" spans="1:10" x14ac:dyDescent="0.3">
      <c r="A228" t="s">
        <v>249</v>
      </c>
      <c r="B228" t="s">
        <v>30</v>
      </c>
      <c r="C228" s="1">
        <v>45012</v>
      </c>
      <c r="D228" s="1">
        <v>45057</v>
      </c>
      <c r="E228" s="2">
        <v>2360.7199999999998</v>
      </c>
      <c r="F228" t="s">
        <v>16</v>
      </c>
      <c r="G228" t="s">
        <v>12</v>
      </c>
      <c r="I228" t="s">
        <v>13</v>
      </c>
      <c r="J228" t="str">
        <f>IF(ISBLANK(Table2[[#This Row],[ReceivedDate]]),"Unpaid",IF(Table2[[#This Row],[ReceivedDate]]&gt;Table2[[#This Row],[DueDate]],"Late",IF(Table2[[#This Row],[ReceivedDate]]&lt;Table2[[#This Row],[DueDate]],"Early","On Time")))</f>
        <v>Unpaid</v>
      </c>
    </row>
    <row r="229" spans="1:10" x14ac:dyDescent="0.3">
      <c r="A229" t="s">
        <v>250</v>
      </c>
      <c r="B229" t="s">
        <v>25</v>
      </c>
      <c r="C229" s="1">
        <v>45438</v>
      </c>
      <c r="D229" s="1">
        <v>45483</v>
      </c>
      <c r="E229" s="2">
        <v>673.24</v>
      </c>
      <c r="F229" t="s">
        <v>16</v>
      </c>
      <c r="G229" t="s">
        <v>17</v>
      </c>
      <c r="I229" t="s">
        <v>13</v>
      </c>
      <c r="J229" t="str">
        <f>IF(ISBLANK(Table2[[#This Row],[ReceivedDate]]),"Unpaid",IF(Table2[[#This Row],[ReceivedDate]]&gt;Table2[[#This Row],[DueDate]],"Late",IF(Table2[[#This Row],[ReceivedDate]]&lt;Table2[[#This Row],[DueDate]],"Early","On Time")))</f>
        <v>Unpaid</v>
      </c>
    </row>
    <row r="230" spans="1:10" x14ac:dyDescent="0.3">
      <c r="A230" t="s">
        <v>251</v>
      </c>
      <c r="B230" t="s">
        <v>30</v>
      </c>
      <c r="C230" s="1">
        <v>45110</v>
      </c>
      <c r="D230" s="1">
        <v>45155</v>
      </c>
      <c r="E230" s="2">
        <v>4022.7</v>
      </c>
      <c r="F230" t="s">
        <v>16</v>
      </c>
      <c r="G230" t="s">
        <v>21</v>
      </c>
      <c r="H230" s="1">
        <v>45155</v>
      </c>
      <c r="I230" t="s">
        <v>13</v>
      </c>
      <c r="J230" t="str">
        <f>IF(ISBLANK(Table2[[#This Row],[ReceivedDate]]),"Unpaid",IF(Table2[[#This Row],[ReceivedDate]]&gt;Table2[[#This Row],[DueDate]],"Late",IF(Table2[[#This Row],[ReceivedDate]]&lt;Table2[[#This Row],[DueDate]],"Early","On Time")))</f>
        <v>On Time</v>
      </c>
    </row>
    <row r="231" spans="1:10" x14ac:dyDescent="0.3">
      <c r="A231" t="s">
        <v>252</v>
      </c>
      <c r="B231" t="s">
        <v>30</v>
      </c>
      <c r="C231" s="1">
        <v>45160</v>
      </c>
      <c r="D231" s="1">
        <v>45205</v>
      </c>
      <c r="E231" s="2">
        <v>1973.41</v>
      </c>
      <c r="F231" t="s">
        <v>26</v>
      </c>
      <c r="G231" t="s">
        <v>21</v>
      </c>
      <c r="H231" s="1">
        <v>45205</v>
      </c>
      <c r="I231" t="s">
        <v>13</v>
      </c>
      <c r="J231" t="str">
        <f>IF(ISBLANK(Table2[[#This Row],[ReceivedDate]]),"Unpaid",IF(Table2[[#This Row],[ReceivedDate]]&gt;Table2[[#This Row],[DueDate]],"Late",IF(Table2[[#This Row],[ReceivedDate]]&lt;Table2[[#This Row],[DueDate]],"Early","On Time")))</f>
        <v>On Time</v>
      </c>
    </row>
    <row r="232" spans="1:10" x14ac:dyDescent="0.3">
      <c r="A232" t="s">
        <v>253</v>
      </c>
      <c r="B232" t="s">
        <v>15</v>
      </c>
      <c r="C232" s="1">
        <v>44982</v>
      </c>
      <c r="D232" s="1">
        <v>45027</v>
      </c>
      <c r="E232" s="2">
        <v>3221.68</v>
      </c>
      <c r="F232" t="s">
        <v>26</v>
      </c>
      <c r="G232" t="s">
        <v>17</v>
      </c>
      <c r="I232" t="s">
        <v>13</v>
      </c>
      <c r="J232" t="str">
        <f>IF(ISBLANK(Table2[[#This Row],[ReceivedDate]]),"Unpaid",IF(Table2[[#This Row],[ReceivedDate]]&gt;Table2[[#This Row],[DueDate]],"Late",IF(Table2[[#This Row],[ReceivedDate]]&lt;Table2[[#This Row],[DueDate]],"Early","On Time")))</f>
        <v>Unpaid</v>
      </c>
    </row>
    <row r="233" spans="1:10" x14ac:dyDescent="0.3">
      <c r="A233" t="s">
        <v>254</v>
      </c>
      <c r="B233" t="s">
        <v>23</v>
      </c>
      <c r="C233" s="1">
        <v>45246</v>
      </c>
      <c r="D233" s="1">
        <v>45291</v>
      </c>
      <c r="E233" s="2">
        <v>725.83</v>
      </c>
      <c r="F233" t="s">
        <v>16</v>
      </c>
      <c r="G233" t="s">
        <v>21</v>
      </c>
      <c r="H233" s="1">
        <v>45291</v>
      </c>
      <c r="I233" t="s">
        <v>13</v>
      </c>
      <c r="J233" t="str">
        <f>IF(ISBLANK(Table2[[#This Row],[ReceivedDate]]),"Unpaid",IF(Table2[[#This Row],[ReceivedDate]]&gt;Table2[[#This Row],[DueDate]],"Late",IF(Table2[[#This Row],[ReceivedDate]]&lt;Table2[[#This Row],[DueDate]],"Early","On Time")))</f>
        <v>On Time</v>
      </c>
    </row>
    <row r="234" spans="1:10" x14ac:dyDescent="0.3">
      <c r="A234" t="s">
        <v>255</v>
      </c>
      <c r="B234" t="s">
        <v>15</v>
      </c>
      <c r="C234" s="1">
        <v>45516</v>
      </c>
      <c r="D234" s="1">
        <v>45561</v>
      </c>
      <c r="E234" s="2">
        <v>3034.61</v>
      </c>
      <c r="F234" t="s">
        <v>26</v>
      </c>
      <c r="G234" t="s">
        <v>21</v>
      </c>
      <c r="H234" s="1">
        <v>45561</v>
      </c>
      <c r="I234" t="s">
        <v>13</v>
      </c>
      <c r="J234" t="str">
        <f>IF(ISBLANK(Table2[[#This Row],[ReceivedDate]]),"Unpaid",IF(Table2[[#This Row],[ReceivedDate]]&gt;Table2[[#This Row],[DueDate]],"Late",IF(Table2[[#This Row],[ReceivedDate]]&lt;Table2[[#This Row],[DueDate]],"Early","On Time")))</f>
        <v>On Time</v>
      </c>
    </row>
    <row r="235" spans="1:10" x14ac:dyDescent="0.3">
      <c r="A235" t="s">
        <v>256</v>
      </c>
      <c r="B235" t="s">
        <v>10</v>
      </c>
      <c r="C235" s="1">
        <v>45274</v>
      </c>
      <c r="D235" s="1">
        <v>45319</v>
      </c>
      <c r="E235" s="2">
        <v>7652.36</v>
      </c>
      <c r="F235" t="s">
        <v>26</v>
      </c>
      <c r="G235" t="s">
        <v>21</v>
      </c>
      <c r="H235" s="1">
        <v>45319</v>
      </c>
      <c r="I235" t="s">
        <v>13</v>
      </c>
      <c r="J235" t="str">
        <f>IF(ISBLANK(Table2[[#This Row],[ReceivedDate]]),"Unpaid",IF(Table2[[#This Row],[ReceivedDate]]&gt;Table2[[#This Row],[DueDate]],"Late",IF(Table2[[#This Row],[ReceivedDate]]&lt;Table2[[#This Row],[DueDate]],"Early","On Time")))</f>
        <v>On Time</v>
      </c>
    </row>
    <row r="236" spans="1:10" x14ac:dyDescent="0.3">
      <c r="A236" t="s">
        <v>257</v>
      </c>
      <c r="B236" t="s">
        <v>25</v>
      </c>
      <c r="C236" s="1">
        <v>45797</v>
      </c>
      <c r="D236" s="1">
        <v>45842</v>
      </c>
      <c r="E236" s="2">
        <v>3317.09</v>
      </c>
      <c r="F236" t="s">
        <v>11</v>
      </c>
      <c r="G236" t="s">
        <v>17</v>
      </c>
      <c r="I236" t="s">
        <v>13</v>
      </c>
      <c r="J236" t="str">
        <f>IF(ISBLANK(Table2[[#This Row],[ReceivedDate]]),"Unpaid",IF(Table2[[#This Row],[ReceivedDate]]&gt;Table2[[#This Row],[DueDate]],"Late",IF(Table2[[#This Row],[ReceivedDate]]&lt;Table2[[#This Row],[DueDate]],"Early","On Time")))</f>
        <v>Unpaid</v>
      </c>
    </row>
    <row r="237" spans="1:10" x14ac:dyDescent="0.3">
      <c r="A237" t="s">
        <v>258</v>
      </c>
      <c r="B237" t="s">
        <v>15</v>
      </c>
      <c r="C237" s="1">
        <v>45013</v>
      </c>
      <c r="D237" s="1">
        <v>45058</v>
      </c>
      <c r="E237" s="2">
        <v>3325.12</v>
      </c>
      <c r="F237" t="s">
        <v>16</v>
      </c>
      <c r="G237" t="s">
        <v>17</v>
      </c>
      <c r="I237" t="s">
        <v>13</v>
      </c>
      <c r="J237" t="str">
        <f>IF(ISBLANK(Table2[[#This Row],[ReceivedDate]]),"Unpaid",IF(Table2[[#This Row],[ReceivedDate]]&gt;Table2[[#This Row],[DueDate]],"Late",IF(Table2[[#This Row],[ReceivedDate]]&lt;Table2[[#This Row],[DueDate]],"Early","On Time")))</f>
        <v>Unpaid</v>
      </c>
    </row>
    <row r="238" spans="1:10" x14ac:dyDescent="0.3">
      <c r="A238" t="s">
        <v>259</v>
      </c>
      <c r="B238" t="s">
        <v>25</v>
      </c>
      <c r="C238" s="1">
        <v>45707</v>
      </c>
      <c r="D238" s="1">
        <v>45752</v>
      </c>
      <c r="E238" s="2">
        <v>4585.18</v>
      </c>
      <c r="F238" t="s">
        <v>11</v>
      </c>
      <c r="G238" t="s">
        <v>12</v>
      </c>
      <c r="I238" t="s">
        <v>13</v>
      </c>
      <c r="J238" t="str">
        <f>IF(ISBLANK(Table2[[#This Row],[ReceivedDate]]),"Unpaid",IF(Table2[[#This Row],[ReceivedDate]]&gt;Table2[[#This Row],[DueDate]],"Late",IF(Table2[[#This Row],[ReceivedDate]]&lt;Table2[[#This Row],[DueDate]],"Early","On Time")))</f>
        <v>Unpaid</v>
      </c>
    </row>
    <row r="239" spans="1:10" x14ac:dyDescent="0.3">
      <c r="A239" t="s">
        <v>260</v>
      </c>
      <c r="B239" t="s">
        <v>10</v>
      </c>
      <c r="C239" s="1">
        <v>45227</v>
      </c>
      <c r="D239" s="1">
        <v>45272</v>
      </c>
      <c r="E239" s="2">
        <v>6323.5</v>
      </c>
      <c r="F239" t="s">
        <v>16</v>
      </c>
      <c r="G239" t="s">
        <v>21</v>
      </c>
      <c r="H239" s="1">
        <v>45272</v>
      </c>
      <c r="I239" t="s">
        <v>13</v>
      </c>
      <c r="J239" t="str">
        <f>IF(ISBLANK(Table2[[#This Row],[ReceivedDate]]),"Unpaid",IF(Table2[[#This Row],[ReceivedDate]]&gt;Table2[[#This Row],[DueDate]],"Late",IF(Table2[[#This Row],[ReceivedDate]]&lt;Table2[[#This Row],[DueDate]],"Early","On Time")))</f>
        <v>On Time</v>
      </c>
    </row>
    <row r="240" spans="1:10" x14ac:dyDescent="0.3">
      <c r="A240" t="s">
        <v>261</v>
      </c>
      <c r="B240" t="s">
        <v>23</v>
      </c>
      <c r="C240" s="1">
        <v>45089</v>
      </c>
      <c r="D240" s="1">
        <v>45134</v>
      </c>
      <c r="E240" s="2">
        <v>1165.07</v>
      </c>
      <c r="F240" t="s">
        <v>19</v>
      </c>
      <c r="G240" t="s">
        <v>12</v>
      </c>
      <c r="I240" t="s">
        <v>13</v>
      </c>
      <c r="J240" t="str">
        <f>IF(ISBLANK(Table2[[#This Row],[ReceivedDate]]),"Unpaid",IF(Table2[[#This Row],[ReceivedDate]]&gt;Table2[[#This Row],[DueDate]],"Late",IF(Table2[[#This Row],[ReceivedDate]]&lt;Table2[[#This Row],[DueDate]],"Early","On Time")))</f>
        <v>Unpaid</v>
      </c>
    </row>
    <row r="241" spans="1:10" x14ac:dyDescent="0.3">
      <c r="A241" t="s">
        <v>262</v>
      </c>
      <c r="B241" t="s">
        <v>23</v>
      </c>
      <c r="C241" s="1">
        <v>45215</v>
      </c>
      <c r="D241" s="1">
        <v>45260</v>
      </c>
      <c r="E241" s="2">
        <v>3713.67</v>
      </c>
      <c r="F241" t="s">
        <v>26</v>
      </c>
      <c r="G241" t="s">
        <v>21</v>
      </c>
      <c r="H241" s="1">
        <v>45260</v>
      </c>
      <c r="I241" t="s">
        <v>13</v>
      </c>
      <c r="J241" t="str">
        <f>IF(ISBLANK(Table2[[#This Row],[ReceivedDate]]),"Unpaid",IF(Table2[[#This Row],[ReceivedDate]]&gt;Table2[[#This Row],[DueDate]],"Late",IF(Table2[[#This Row],[ReceivedDate]]&lt;Table2[[#This Row],[DueDate]],"Early","On Time")))</f>
        <v>On Time</v>
      </c>
    </row>
    <row r="242" spans="1:10" x14ac:dyDescent="0.3">
      <c r="A242" t="s">
        <v>263</v>
      </c>
      <c r="B242" t="s">
        <v>23</v>
      </c>
      <c r="C242" s="1">
        <v>45038</v>
      </c>
      <c r="D242" s="1">
        <v>45083</v>
      </c>
      <c r="E242" s="2">
        <v>1188.28</v>
      </c>
      <c r="F242" t="s">
        <v>16</v>
      </c>
      <c r="G242" t="s">
        <v>12</v>
      </c>
      <c r="I242" t="s">
        <v>13</v>
      </c>
      <c r="J242" t="str">
        <f>IF(ISBLANK(Table2[[#This Row],[ReceivedDate]]),"Unpaid",IF(Table2[[#This Row],[ReceivedDate]]&gt;Table2[[#This Row],[DueDate]],"Late",IF(Table2[[#This Row],[ReceivedDate]]&lt;Table2[[#This Row],[DueDate]],"Early","On Time")))</f>
        <v>Unpaid</v>
      </c>
    </row>
    <row r="243" spans="1:10" x14ac:dyDescent="0.3">
      <c r="A243" t="s">
        <v>264</v>
      </c>
      <c r="B243" t="s">
        <v>25</v>
      </c>
      <c r="C243" s="1">
        <v>45294</v>
      </c>
      <c r="D243" s="1">
        <v>45339</v>
      </c>
      <c r="E243" s="2">
        <v>4578.38</v>
      </c>
      <c r="F243" t="s">
        <v>28</v>
      </c>
      <c r="G243" t="s">
        <v>21</v>
      </c>
      <c r="H243" s="1">
        <v>45339</v>
      </c>
      <c r="I243" t="s">
        <v>13</v>
      </c>
      <c r="J243" t="str">
        <f>IF(ISBLANK(Table2[[#This Row],[ReceivedDate]]),"Unpaid",IF(Table2[[#This Row],[ReceivedDate]]&gt;Table2[[#This Row],[DueDate]],"Late",IF(Table2[[#This Row],[ReceivedDate]]&lt;Table2[[#This Row],[DueDate]],"Early","On Time")))</f>
        <v>On Time</v>
      </c>
    </row>
    <row r="244" spans="1:10" x14ac:dyDescent="0.3">
      <c r="A244" t="s">
        <v>265</v>
      </c>
      <c r="B244" t="s">
        <v>10</v>
      </c>
      <c r="C244" s="1">
        <v>45482</v>
      </c>
      <c r="D244" s="1">
        <v>45527</v>
      </c>
      <c r="E244" s="2">
        <v>7392.38</v>
      </c>
      <c r="F244" t="s">
        <v>11</v>
      </c>
      <c r="G244" t="s">
        <v>21</v>
      </c>
      <c r="H244" s="1">
        <v>45527</v>
      </c>
      <c r="I244" t="s">
        <v>13</v>
      </c>
      <c r="J244" t="str">
        <f>IF(ISBLANK(Table2[[#This Row],[ReceivedDate]]),"Unpaid",IF(Table2[[#This Row],[ReceivedDate]]&gt;Table2[[#This Row],[DueDate]],"Late",IF(Table2[[#This Row],[ReceivedDate]]&lt;Table2[[#This Row],[DueDate]],"Early","On Time")))</f>
        <v>On Time</v>
      </c>
    </row>
    <row r="245" spans="1:10" x14ac:dyDescent="0.3">
      <c r="A245" t="s">
        <v>266</v>
      </c>
      <c r="B245" t="s">
        <v>25</v>
      </c>
      <c r="C245" s="1">
        <v>45083</v>
      </c>
      <c r="D245" s="1">
        <v>45128</v>
      </c>
      <c r="E245" s="2">
        <v>7767.69</v>
      </c>
      <c r="F245" t="s">
        <v>11</v>
      </c>
      <c r="G245" t="s">
        <v>21</v>
      </c>
      <c r="H245" s="1">
        <v>45128</v>
      </c>
      <c r="I245" t="s">
        <v>13</v>
      </c>
      <c r="J245" t="str">
        <f>IF(ISBLANK(Table2[[#This Row],[ReceivedDate]]),"Unpaid",IF(Table2[[#This Row],[ReceivedDate]]&gt;Table2[[#This Row],[DueDate]],"Late",IF(Table2[[#This Row],[ReceivedDate]]&lt;Table2[[#This Row],[DueDate]],"Early","On Time")))</f>
        <v>On Time</v>
      </c>
    </row>
    <row r="246" spans="1:10" x14ac:dyDescent="0.3">
      <c r="A246" t="s">
        <v>267</v>
      </c>
      <c r="B246" t="s">
        <v>30</v>
      </c>
      <c r="C246" s="1">
        <v>45701</v>
      </c>
      <c r="D246" s="1">
        <v>45746</v>
      </c>
      <c r="E246" s="2">
        <v>534.33000000000004</v>
      </c>
      <c r="F246" t="s">
        <v>19</v>
      </c>
      <c r="G246" t="s">
        <v>12</v>
      </c>
      <c r="I246" t="s">
        <v>13</v>
      </c>
      <c r="J246" t="str">
        <f>IF(ISBLANK(Table2[[#This Row],[ReceivedDate]]),"Unpaid",IF(Table2[[#This Row],[ReceivedDate]]&gt;Table2[[#This Row],[DueDate]],"Late",IF(Table2[[#This Row],[ReceivedDate]]&lt;Table2[[#This Row],[DueDate]],"Early","On Time")))</f>
        <v>Unpaid</v>
      </c>
    </row>
    <row r="247" spans="1:10" x14ac:dyDescent="0.3">
      <c r="A247" t="s">
        <v>268</v>
      </c>
      <c r="B247" t="s">
        <v>10</v>
      </c>
      <c r="C247" s="1">
        <v>45477</v>
      </c>
      <c r="D247" s="1">
        <v>45522</v>
      </c>
      <c r="E247" s="2">
        <v>575.11</v>
      </c>
      <c r="F247" t="s">
        <v>11</v>
      </c>
      <c r="G247" t="s">
        <v>17</v>
      </c>
      <c r="I247" t="s">
        <v>13</v>
      </c>
      <c r="J247" t="str">
        <f>IF(ISBLANK(Table2[[#This Row],[ReceivedDate]]),"Unpaid",IF(Table2[[#This Row],[ReceivedDate]]&gt;Table2[[#This Row],[DueDate]],"Late",IF(Table2[[#This Row],[ReceivedDate]]&lt;Table2[[#This Row],[DueDate]],"Early","On Time")))</f>
        <v>Unpaid</v>
      </c>
    </row>
    <row r="248" spans="1:10" x14ac:dyDescent="0.3">
      <c r="A248" t="s">
        <v>269</v>
      </c>
      <c r="B248" t="s">
        <v>30</v>
      </c>
      <c r="C248" s="1">
        <v>45047</v>
      </c>
      <c r="D248" s="1">
        <v>45092</v>
      </c>
      <c r="E248" s="2">
        <v>7672.85</v>
      </c>
      <c r="F248" t="s">
        <v>19</v>
      </c>
      <c r="G248" t="s">
        <v>12</v>
      </c>
      <c r="I248" t="s">
        <v>13</v>
      </c>
      <c r="J248" t="str">
        <f>IF(ISBLANK(Table2[[#This Row],[ReceivedDate]]),"Unpaid",IF(Table2[[#This Row],[ReceivedDate]]&gt;Table2[[#This Row],[DueDate]],"Late",IF(Table2[[#This Row],[ReceivedDate]]&lt;Table2[[#This Row],[DueDate]],"Early","On Time")))</f>
        <v>Unpaid</v>
      </c>
    </row>
    <row r="249" spans="1:10" x14ac:dyDescent="0.3">
      <c r="A249" t="s">
        <v>270</v>
      </c>
      <c r="B249" t="s">
        <v>23</v>
      </c>
      <c r="C249" s="1">
        <v>45346</v>
      </c>
      <c r="D249" s="1">
        <v>45391</v>
      </c>
      <c r="E249" s="2">
        <v>4254.22</v>
      </c>
      <c r="F249" t="s">
        <v>28</v>
      </c>
      <c r="G249" t="s">
        <v>12</v>
      </c>
      <c r="I249" t="s">
        <v>13</v>
      </c>
      <c r="J249" t="str">
        <f>IF(ISBLANK(Table2[[#This Row],[ReceivedDate]]),"Unpaid",IF(Table2[[#This Row],[ReceivedDate]]&gt;Table2[[#This Row],[DueDate]],"Late",IF(Table2[[#This Row],[ReceivedDate]]&lt;Table2[[#This Row],[DueDate]],"Early","On Time")))</f>
        <v>Unpaid</v>
      </c>
    </row>
    <row r="250" spans="1:10" x14ac:dyDescent="0.3">
      <c r="A250" t="s">
        <v>271</v>
      </c>
      <c r="B250" t="s">
        <v>30</v>
      </c>
      <c r="C250" s="1">
        <v>45605</v>
      </c>
      <c r="D250" s="1">
        <v>45650</v>
      </c>
      <c r="E250" s="2">
        <v>2760</v>
      </c>
      <c r="F250" t="s">
        <v>11</v>
      </c>
      <c r="G250" t="s">
        <v>21</v>
      </c>
      <c r="H250" s="1">
        <v>45650</v>
      </c>
      <c r="I250" t="s">
        <v>13</v>
      </c>
      <c r="J250" t="str">
        <f>IF(ISBLANK(Table2[[#This Row],[ReceivedDate]]),"Unpaid",IF(Table2[[#This Row],[ReceivedDate]]&gt;Table2[[#This Row],[DueDate]],"Late",IF(Table2[[#This Row],[ReceivedDate]]&lt;Table2[[#This Row],[DueDate]],"Early","On Time")))</f>
        <v>On Time</v>
      </c>
    </row>
    <row r="251" spans="1:10" x14ac:dyDescent="0.3">
      <c r="A251" t="s">
        <v>272</v>
      </c>
      <c r="B251" t="s">
        <v>25</v>
      </c>
      <c r="C251" s="1">
        <v>45341</v>
      </c>
      <c r="D251" s="1">
        <v>45386</v>
      </c>
      <c r="E251" s="2">
        <v>2757.32</v>
      </c>
      <c r="F251" t="s">
        <v>28</v>
      </c>
      <c r="G251" t="s">
        <v>17</v>
      </c>
      <c r="I251" t="s">
        <v>13</v>
      </c>
      <c r="J251" t="str">
        <f>IF(ISBLANK(Table2[[#This Row],[ReceivedDate]]),"Unpaid",IF(Table2[[#This Row],[ReceivedDate]]&gt;Table2[[#This Row],[DueDate]],"Late",IF(Table2[[#This Row],[ReceivedDate]]&lt;Table2[[#This Row],[DueDate]],"Early","On Time")))</f>
        <v>Unpaid</v>
      </c>
    </row>
    <row r="252" spans="1:10" x14ac:dyDescent="0.3">
      <c r="A252" t="s">
        <v>273</v>
      </c>
      <c r="B252" t="s">
        <v>15</v>
      </c>
      <c r="C252" s="1">
        <v>45419</v>
      </c>
      <c r="D252" s="1">
        <v>45464</v>
      </c>
      <c r="E252" s="2">
        <v>5389.32</v>
      </c>
      <c r="F252" t="s">
        <v>11</v>
      </c>
      <c r="G252" t="s">
        <v>17</v>
      </c>
      <c r="I252" t="s">
        <v>13</v>
      </c>
      <c r="J252" t="str">
        <f>IF(ISBLANK(Table2[[#This Row],[ReceivedDate]]),"Unpaid",IF(Table2[[#This Row],[ReceivedDate]]&gt;Table2[[#This Row],[DueDate]],"Late",IF(Table2[[#This Row],[ReceivedDate]]&lt;Table2[[#This Row],[DueDate]],"Early","On Time")))</f>
        <v>Unpaid</v>
      </c>
    </row>
    <row r="253" spans="1:10" x14ac:dyDescent="0.3">
      <c r="A253" t="s">
        <v>274</v>
      </c>
      <c r="B253" t="s">
        <v>25</v>
      </c>
      <c r="C253" s="1">
        <v>45310</v>
      </c>
      <c r="D253" s="1">
        <v>45355</v>
      </c>
      <c r="E253" s="2">
        <v>7153.34</v>
      </c>
      <c r="F253" t="s">
        <v>16</v>
      </c>
      <c r="G253" t="s">
        <v>17</v>
      </c>
      <c r="I253" t="s">
        <v>13</v>
      </c>
      <c r="J253" t="str">
        <f>IF(ISBLANK(Table2[[#This Row],[ReceivedDate]]),"Unpaid",IF(Table2[[#This Row],[ReceivedDate]]&gt;Table2[[#This Row],[DueDate]],"Late",IF(Table2[[#This Row],[ReceivedDate]]&lt;Table2[[#This Row],[DueDate]],"Early","On Time")))</f>
        <v>Unpaid</v>
      </c>
    </row>
    <row r="254" spans="1:10" x14ac:dyDescent="0.3">
      <c r="A254" t="s">
        <v>275</v>
      </c>
      <c r="B254" t="s">
        <v>23</v>
      </c>
      <c r="C254" s="1">
        <v>45342</v>
      </c>
      <c r="D254" s="1">
        <v>45387</v>
      </c>
      <c r="E254" s="2">
        <v>2565.52</v>
      </c>
      <c r="F254" t="s">
        <v>11</v>
      </c>
      <c r="G254" t="s">
        <v>21</v>
      </c>
      <c r="H254" s="1">
        <v>45387</v>
      </c>
      <c r="I254" t="s">
        <v>13</v>
      </c>
      <c r="J254" t="str">
        <f>IF(ISBLANK(Table2[[#This Row],[ReceivedDate]]),"Unpaid",IF(Table2[[#This Row],[ReceivedDate]]&gt;Table2[[#This Row],[DueDate]],"Late",IF(Table2[[#This Row],[ReceivedDate]]&lt;Table2[[#This Row],[DueDate]],"Early","On Time")))</f>
        <v>On Time</v>
      </c>
    </row>
    <row r="255" spans="1:10" x14ac:dyDescent="0.3">
      <c r="A255" t="s">
        <v>276</v>
      </c>
      <c r="B255" t="s">
        <v>23</v>
      </c>
      <c r="C255" s="1">
        <v>45324</v>
      </c>
      <c r="D255" s="1">
        <v>45369</v>
      </c>
      <c r="E255" s="2">
        <v>4484.3999999999996</v>
      </c>
      <c r="F255" t="s">
        <v>16</v>
      </c>
      <c r="G255" t="s">
        <v>17</v>
      </c>
      <c r="I255" t="s">
        <v>13</v>
      </c>
      <c r="J255" t="str">
        <f>IF(ISBLANK(Table2[[#This Row],[ReceivedDate]]),"Unpaid",IF(Table2[[#This Row],[ReceivedDate]]&gt;Table2[[#This Row],[DueDate]],"Late",IF(Table2[[#This Row],[ReceivedDate]]&lt;Table2[[#This Row],[DueDate]],"Early","On Time")))</f>
        <v>Unpaid</v>
      </c>
    </row>
    <row r="256" spans="1:10" x14ac:dyDescent="0.3">
      <c r="A256" t="s">
        <v>277</v>
      </c>
      <c r="B256" t="s">
        <v>15</v>
      </c>
      <c r="C256" s="1">
        <v>45721</v>
      </c>
      <c r="D256" s="1">
        <v>45766</v>
      </c>
      <c r="E256" s="2">
        <v>2276.46</v>
      </c>
      <c r="F256" t="s">
        <v>11</v>
      </c>
      <c r="G256" t="s">
        <v>17</v>
      </c>
      <c r="I256" t="s">
        <v>13</v>
      </c>
      <c r="J256" t="str">
        <f>IF(ISBLANK(Table2[[#This Row],[ReceivedDate]]),"Unpaid",IF(Table2[[#This Row],[ReceivedDate]]&gt;Table2[[#This Row],[DueDate]],"Late",IF(Table2[[#This Row],[ReceivedDate]]&lt;Table2[[#This Row],[DueDate]],"Early","On Time")))</f>
        <v>Unpaid</v>
      </c>
    </row>
    <row r="257" spans="1:10" x14ac:dyDescent="0.3">
      <c r="A257" t="s">
        <v>278</v>
      </c>
      <c r="B257" t="s">
        <v>15</v>
      </c>
      <c r="C257" s="1">
        <v>45192</v>
      </c>
      <c r="D257" s="1">
        <v>45237</v>
      </c>
      <c r="E257" s="2">
        <v>3306.6</v>
      </c>
      <c r="F257" t="s">
        <v>11</v>
      </c>
      <c r="G257" t="s">
        <v>12</v>
      </c>
      <c r="I257" t="s">
        <v>13</v>
      </c>
      <c r="J257" t="str">
        <f>IF(ISBLANK(Table2[[#This Row],[ReceivedDate]]),"Unpaid",IF(Table2[[#This Row],[ReceivedDate]]&gt;Table2[[#This Row],[DueDate]],"Late",IF(Table2[[#This Row],[ReceivedDate]]&lt;Table2[[#This Row],[DueDate]],"Early","On Time")))</f>
        <v>Unpaid</v>
      </c>
    </row>
    <row r="258" spans="1:10" x14ac:dyDescent="0.3">
      <c r="A258" t="s">
        <v>279</v>
      </c>
      <c r="B258" t="s">
        <v>25</v>
      </c>
      <c r="C258" s="1">
        <v>45251</v>
      </c>
      <c r="D258" s="1">
        <v>45296</v>
      </c>
      <c r="E258" s="2">
        <v>4927.67</v>
      </c>
      <c r="F258" t="s">
        <v>26</v>
      </c>
      <c r="G258" t="s">
        <v>17</v>
      </c>
      <c r="I258" t="s">
        <v>13</v>
      </c>
      <c r="J258" t="str">
        <f>IF(ISBLANK(Table2[[#This Row],[ReceivedDate]]),"Unpaid",IF(Table2[[#This Row],[ReceivedDate]]&gt;Table2[[#This Row],[DueDate]],"Late",IF(Table2[[#This Row],[ReceivedDate]]&lt;Table2[[#This Row],[DueDate]],"Early","On Time")))</f>
        <v>Unpaid</v>
      </c>
    </row>
    <row r="259" spans="1:10" x14ac:dyDescent="0.3">
      <c r="A259" t="s">
        <v>280</v>
      </c>
      <c r="B259" t="s">
        <v>25</v>
      </c>
      <c r="C259" s="1">
        <v>45445</v>
      </c>
      <c r="D259" s="1">
        <v>45490</v>
      </c>
      <c r="E259" s="2">
        <v>3912.57</v>
      </c>
      <c r="F259" t="s">
        <v>28</v>
      </c>
      <c r="G259" t="s">
        <v>12</v>
      </c>
      <c r="I259" t="s">
        <v>13</v>
      </c>
      <c r="J259" t="str">
        <f>IF(ISBLANK(Table2[[#This Row],[ReceivedDate]]),"Unpaid",IF(Table2[[#This Row],[ReceivedDate]]&gt;Table2[[#This Row],[DueDate]],"Late",IF(Table2[[#This Row],[ReceivedDate]]&lt;Table2[[#This Row],[DueDate]],"Early","On Time")))</f>
        <v>Unpaid</v>
      </c>
    </row>
    <row r="260" spans="1:10" x14ac:dyDescent="0.3">
      <c r="A260" t="s">
        <v>281</v>
      </c>
      <c r="B260" t="s">
        <v>25</v>
      </c>
      <c r="C260" s="1">
        <v>45815</v>
      </c>
      <c r="D260" s="1">
        <v>45860</v>
      </c>
      <c r="E260" s="2">
        <v>886.79</v>
      </c>
      <c r="F260" t="s">
        <v>11</v>
      </c>
      <c r="G260" t="s">
        <v>21</v>
      </c>
      <c r="H260" s="1">
        <v>45860</v>
      </c>
      <c r="I260" t="s">
        <v>13</v>
      </c>
      <c r="J260" t="str">
        <f>IF(ISBLANK(Table2[[#This Row],[ReceivedDate]]),"Unpaid",IF(Table2[[#This Row],[ReceivedDate]]&gt;Table2[[#This Row],[DueDate]],"Late",IF(Table2[[#This Row],[ReceivedDate]]&lt;Table2[[#This Row],[DueDate]],"Early","On Time")))</f>
        <v>On Time</v>
      </c>
    </row>
    <row r="261" spans="1:10" x14ac:dyDescent="0.3">
      <c r="A261" t="s">
        <v>282</v>
      </c>
      <c r="B261" t="s">
        <v>10</v>
      </c>
      <c r="C261" s="1">
        <v>45072</v>
      </c>
      <c r="D261" s="1">
        <v>45117</v>
      </c>
      <c r="E261" s="2">
        <v>4441.37</v>
      </c>
      <c r="F261" t="s">
        <v>11</v>
      </c>
      <c r="G261" t="s">
        <v>12</v>
      </c>
      <c r="I261" t="s">
        <v>13</v>
      </c>
      <c r="J261" t="str">
        <f>IF(ISBLANK(Table2[[#This Row],[ReceivedDate]]),"Unpaid",IF(Table2[[#This Row],[ReceivedDate]]&gt;Table2[[#This Row],[DueDate]],"Late",IF(Table2[[#This Row],[ReceivedDate]]&lt;Table2[[#This Row],[DueDate]],"Early","On Time")))</f>
        <v>Unpaid</v>
      </c>
    </row>
    <row r="262" spans="1:10" x14ac:dyDescent="0.3">
      <c r="A262" t="s">
        <v>283</v>
      </c>
      <c r="B262" t="s">
        <v>25</v>
      </c>
      <c r="C262" s="1">
        <v>45710</v>
      </c>
      <c r="D262" s="1">
        <v>45755</v>
      </c>
      <c r="E262" s="2">
        <v>4160.63</v>
      </c>
      <c r="F262" t="s">
        <v>16</v>
      </c>
      <c r="G262" t="s">
        <v>21</v>
      </c>
      <c r="H262" s="1">
        <v>45755</v>
      </c>
      <c r="I262" t="s">
        <v>13</v>
      </c>
      <c r="J262" t="str">
        <f>IF(ISBLANK(Table2[[#This Row],[ReceivedDate]]),"Unpaid",IF(Table2[[#This Row],[ReceivedDate]]&gt;Table2[[#This Row],[DueDate]],"Late",IF(Table2[[#This Row],[ReceivedDate]]&lt;Table2[[#This Row],[DueDate]],"Early","On Time")))</f>
        <v>On Time</v>
      </c>
    </row>
    <row r="263" spans="1:10" x14ac:dyDescent="0.3">
      <c r="A263" t="s">
        <v>284</v>
      </c>
      <c r="B263" t="s">
        <v>30</v>
      </c>
      <c r="C263" s="1">
        <v>45431</v>
      </c>
      <c r="D263" s="1">
        <v>45476</v>
      </c>
      <c r="E263" s="2">
        <v>2195.88</v>
      </c>
      <c r="F263" t="s">
        <v>28</v>
      </c>
      <c r="G263" t="s">
        <v>21</v>
      </c>
      <c r="H263" s="1">
        <v>45476</v>
      </c>
      <c r="I263" t="s">
        <v>13</v>
      </c>
      <c r="J263" t="str">
        <f>IF(ISBLANK(Table2[[#This Row],[ReceivedDate]]),"Unpaid",IF(Table2[[#This Row],[ReceivedDate]]&gt;Table2[[#This Row],[DueDate]],"Late",IF(Table2[[#This Row],[ReceivedDate]]&lt;Table2[[#This Row],[DueDate]],"Early","On Time")))</f>
        <v>On Time</v>
      </c>
    </row>
    <row r="264" spans="1:10" x14ac:dyDescent="0.3">
      <c r="A264" t="s">
        <v>285</v>
      </c>
      <c r="B264" t="s">
        <v>10</v>
      </c>
      <c r="C264" s="1">
        <v>45811</v>
      </c>
      <c r="D264" s="1">
        <v>45856</v>
      </c>
      <c r="E264" s="2">
        <v>7296</v>
      </c>
      <c r="F264" t="s">
        <v>28</v>
      </c>
      <c r="G264" t="s">
        <v>17</v>
      </c>
      <c r="I264" t="s">
        <v>13</v>
      </c>
      <c r="J264" t="str">
        <f>IF(ISBLANK(Table2[[#This Row],[ReceivedDate]]),"Unpaid",IF(Table2[[#This Row],[ReceivedDate]]&gt;Table2[[#This Row],[DueDate]],"Late",IF(Table2[[#This Row],[ReceivedDate]]&lt;Table2[[#This Row],[DueDate]],"Early","On Time")))</f>
        <v>Unpaid</v>
      </c>
    </row>
    <row r="265" spans="1:10" x14ac:dyDescent="0.3">
      <c r="A265" t="s">
        <v>286</v>
      </c>
      <c r="B265" t="s">
        <v>15</v>
      </c>
      <c r="C265" s="1">
        <v>45575</v>
      </c>
      <c r="D265" s="1">
        <v>45620</v>
      </c>
      <c r="E265" s="2">
        <v>2844.85</v>
      </c>
      <c r="F265" t="s">
        <v>28</v>
      </c>
      <c r="G265" t="s">
        <v>17</v>
      </c>
      <c r="I265" t="s">
        <v>13</v>
      </c>
      <c r="J265" t="str">
        <f>IF(ISBLANK(Table2[[#This Row],[ReceivedDate]]),"Unpaid",IF(Table2[[#This Row],[ReceivedDate]]&gt;Table2[[#This Row],[DueDate]],"Late",IF(Table2[[#This Row],[ReceivedDate]]&lt;Table2[[#This Row],[DueDate]],"Early","On Time")))</f>
        <v>Unpaid</v>
      </c>
    </row>
    <row r="266" spans="1:10" x14ac:dyDescent="0.3">
      <c r="A266" t="s">
        <v>287</v>
      </c>
      <c r="B266" t="s">
        <v>10</v>
      </c>
      <c r="C266" s="1">
        <v>44975</v>
      </c>
      <c r="D266" s="1">
        <v>45020</v>
      </c>
      <c r="E266" s="2">
        <v>3336.12</v>
      </c>
      <c r="F266" t="s">
        <v>28</v>
      </c>
      <c r="G266" t="s">
        <v>17</v>
      </c>
      <c r="I266" t="s">
        <v>13</v>
      </c>
      <c r="J266" t="str">
        <f>IF(ISBLANK(Table2[[#This Row],[ReceivedDate]]),"Unpaid",IF(Table2[[#This Row],[ReceivedDate]]&gt;Table2[[#This Row],[DueDate]],"Late",IF(Table2[[#This Row],[ReceivedDate]]&lt;Table2[[#This Row],[DueDate]],"Early","On Time")))</f>
        <v>Unpaid</v>
      </c>
    </row>
    <row r="267" spans="1:10" x14ac:dyDescent="0.3">
      <c r="A267" t="s">
        <v>288</v>
      </c>
      <c r="B267" t="s">
        <v>10</v>
      </c>
      <c r="C267" s="1">
        <v>45181</v>
      </c>
      <c r="D267" s="1">
        <v>45226</v>
      </c>
      <c r="E267" s="2">
        <v>5108.9399999999996</v>
      </c>
      <c r="F267" t="s">
        <v>28</v>
      </c>
      <c r="G267" t="s">
        <v>17</v>
      </c>
      <c r="I267" t="s">
        <v>13</v>
      </c>
      <c r="J267" t="str">
        <f>IF(ISBLANK(Table2[[#This Row],[ReceivedDate]]),"Unpaid",IF(Table2[[#This Row],[ReceivedDate]]&gt;Table2[[#This Row],[DueDate]],"Late",IF(Table2[[#This Row],[ReceivedDate]]&lt;Table2[[#This Row],[DueDate]],"Early","On Time")))</f>
        <v>Unpaid</v>
      </c>
    </row>
    <row r="268" spans="1:10" x14ac:dyDescent="0.3">
      <c r="A268" t="s">
        <v>289</v>
      </c>
      <c r="B268" t="s">
        <v>10</v>
      </c>
      <c r="C268" s="1">
        <v>44965</v>
      </c>
      <c r="D268" s="1">
        <v>45010</v>
      </c>
      <c r="E268" s="2">
        <v>3254.83</v>
      </c>
      <c r="F268" t="s">
        <v>11</v>
      </c>
      <c r="G268" t="s">
        <v>12</v>
      </c>
      <c r="I268" t="s">
        <v>13</v>
      </c>
      <c r="J268" t="str">
        <f>IF(ISBLANK(Table2[[#This Row],[ReceivedDate]]),"Unpaid",IF(Table2[[#This Row],[ReceivedDate]]&gt;Table2[[#This Row],[DueDate]],"Late",IF(Table2[[#This Row],[ReceivedDate]]&lt;Table2[[#This Row],[DueDate]],"Early","On Time")))</f>
        <v>Unpaid</v>
      </c>
    </row>
    <row r="269" spans="1:10" x14ac:dyDescent="0.3">
      <c r="A269" t="s">
        <v>290</v>
      </c>
      <c r="B269" t="s">
        <v>23</v>
      </c>
      <c r="C269" s="1">
        <v>45469</v>
      </c>
      <c r="D269" s="1">
        <v>45514</v>
      </c>
      <c r="E269" s="2">
        <v>7762.92</v>
      </c>
      <c r="F269" t="s">
        <v>19</v>
      </c>
      <c r="G269" t="s">
        <v>21</v>
      </c>
      <c r="H269" s="1">
        <v>45514</v>
      </c>
      <c r="I269" t="s">
        <v>13</v>
      </c>
      <c r="J269" t="str">
        <f>IF(ISBLANK(Table2[[#This Row],[ReceivedDate]]),"Unpaid",IF(Table2[[#This Row],[ReceivedDate]]&gt;Table2[[#This Row],[DueDate]],"Late",IF(Table2[[#This Row],[ReceivedDate]]&lt;Table2[[#This Row],[DueDate]],"Early","On Time")))</f>
        <v>On Time</v>
      </c>
    </row>
    <row r="270" spans="1:10" x14ac:dyDescent="0.3">
      <c r="A270" t="s">
        <v>291</v>
      </c>
      <c r="B270" t="s">
        <v>10</v>
      </c>
      <c r="C270" s="1">
        <v>45680</v>
      </c>
      <c r="D270" s="1">
        <v>45725</v>
      </c>
      <c r="E270" s="2">
        <v>1049.32</v>
      </c>
      <c r="F270" t="s">
        <v>16</v>
      </c>
      <c r="G270" t="s">
        <v>17</v>
      </c>
      <c r="I270" t="s">
        <v>13</v>
      </c>
      <c r="J270" t="str">
        <f>IF(ISBLANK(Table2[[#This Row],[ReceivedDate]]),"Unpaid",IF(Table2[[#This Row],[ReceivedDate]]&gt;Table2[[#This Row],[DueDate]],"Late",IF(Table2[[#This Row],[ReceivedDate]]&lt;Table2[[#This Row],[DueDate]],"Early","On Time")))</f>
        <v>Unpaid</v>
      </c>
    </row>
    <row r="271" spans="1:10" x14ac:dyDescent="0.3">
      <c r="A271" t="s">
        <v>292</v>
      </c>
      <c r="B271" t="s">
        <v>10</v>
      </c>
      <c r="C271" s="1">
        <v>45632</v>
      </c>
      <c r="D271" s="1">
        <v>45677</v>
      </c>
      <c r="E271" s="2">
        <v>2254.94</v>
      </c>
      <c r="F271" t="s">
        <v>19</v>
      </c>
      <c r="G271" t="s">
        <v>21</v>
      </c>
      <c r="H271" s="1">
        <v>45677</v>
      </c>
      <c r="I271" t="s">
        <v>13</v>
      </c>
      <c r="J271" t="str">
        <f>IF(ISBLANK(Table2[[#This Row],[ReceivedDate]]),"Unpaid",IF(Table2[[#This Row],[ReceivedDate]]&gt;Table2[[#This Row],[DueDate]],"Late",IF(Table2[[#This Row],[ReceivedDate]]&lt;Table2[[#This Row],[DueDate]],"Early","On Time")))</f>
        <v>On Time</v>
      </c>
    </row>
    <row r="272" spans="1:10" x14ac:dyDescent="0.3">
      <c r="A272" t="s">
        <v>293</v>
      </c>
      <c r="B272" t="s">
        <v>30</v>
      </c>
      <c r="C272" s="1">
        <v>45283</v>
      </c>
      <c r="D272" s="1">
        <v>45328</v>
      </c>
      <c r="E272" s="2">
        <v>7185.54</v>
      </c>
      <c r="F272" t="s">
        <v>19</v>
      </c>
      <c r="G272" t="s">
        <v>12</v>
      </c>
      <c r="I272" t="s">
        <v>13</v>
      </c>
      <c r="J272" t="str">
        <f>IF(ISBLANK(Table2[[#This Row],[ReceivedDate]]),"Unpaid",IF(Table2[[#This Row],[ReceivedDate]]&gt;Table2[[#This Row],[DueDate]],"Late",IF(Table2[[#This Row],[ReceivedDate]]&lt;Table2[[#This Row],[DueDate]],"Early","On Time")))</f>
        <v>Unpaid</v>
      </c>
    </row>
    <row r="273" spans="1:10" x14ac:dyDescent="0.3">
      <c r="A273" t="s">
        <v>294</v>
      </c>
      <c r="B273" t="s">
        <v>30</v>
      </c>
      <c r="C273" s="1">
        <v>45338</v>
      </c>
      <c r="D273" s="1">
        <v>45383</v>
      </c>
      <c r="E273" s="2">
        <v>1472.13</v>
      </c>
      <c r="F273" t="s">
        <v>26</v>
      </c>
      <c r="G273" t="s">
        <v>17</v>
      </c>
      <c r="I273" t="s">
        <v>13</v>
      </c>
      <c r="J273" t="str">
        <f>IF(ISBLANK(Table2[[#This Row],[ReceivedDate]]),"Unpaid",IF(Table2[[#This Row],[ReceivedDate]]&gt;Table2[[#This Row],[DueDate]],"Late",IF(Table2[[#This Row],[ReceivedDate]]&lt;Table2[[#This Row],[DueDate]],"Early","On Time")))</f>
        <v>Unpaid</v>
      </c>
    </row>
    <row r="274" spans="1:10" x14ac:dyDescent="0.3">
      <c r="A274" t="s">
        <v>295</v>
      </c>
      <c r="B274" t="s">
        <v>25</v>
      </c>
      <c r="C274" s="1">
        <v>45044</v>
      </c>
      <c r="D274" s="1">
        <v>45089</v>
      </c>
      <c r="E274" s="2">
        <v>5363.52</v>
      </c>
      <c r="F274" t="s">
        <v>19</v>
      </c>
      <c r="G274" t="s">
        <v>12</v>
      </c>
      <c r="I274" t="s">
        <v>13</v>
      </c>
      <c r="J274" t="str">
        <f>IF(ISBLANK(Table2[[#This Row],[ReceivedDate]]),"Unpaid",IF(Table2[[#This Row],[ReceivedDate]]&gt;Table2[[#This Row],[DueDate]],"Late",IF(Table2[[#This Row],[ReceivedDate]]&lt;Table2[[#This Row],[DueDate]],"Early","On Time")))</f>
        <v>Unpaid</v>
      </c>
    </row>
    <row r="275" spans="1:10" x14ac:dyDescent="0.3">
      <c r="A275" t="s">
        <v>296</v>
      </c>
      <c r="B275" t="s">
        <v>15</v>
      </c>
      <c r="C275" s="1">
        <v>45265</v>
      </c>
      <c r="D275" s="1">
        <v>45310</v>
      </c>
      <c r="E275" s="2">
        <v>3298.99</v>
      </c>
      <c r="F275" t="s">
        <v>28</v>
      </c>
      <c r="G275" t="s">
        <v>12</v>
      </c>
      <c r="I275" t="s">
        <v>13</v>
      </c>
      <c r="J275" t="str">
        <f>IF(ISBLANK(Table2[[#This Row],[ReceivedDate]]),"Unpaid",IF(Table2[[#This Row],[ReceivedDate]]&gt;Table2[[#This Row],[DueDate]],"Late",IF(Table2[[#This Row],[ReceivedDate]]&lt;Table2[[#This Row],[DueDate]],"Early","On Time")))</f>
        <v>Unpaid</v>
      </c>
    </row>
    <row r="276" spans="1:10" x14ac:dyDescent="0.3">
      <c r="A276" t="s">
        <v>297</v>
      </c>
      <c r="B276" t="s">
        <v>10</v>
      </c>
      <c r="C276" s="1">
        <v>45831</v>
      </c>
      <c r="D276" s="1">
        <v>45876</v>
      </c>
      <c r="E276" s="2">
        <v>7176.07</v>
      </c>
      <c r="F276" t="s">
        <v>16</v>
      </c>
      <c r="G276" t="s">
        <v>17</v>
      </c>
      <c r="I276" t="s">
        <v>13</v>
      </c>
      <c r="J276" t="str">
        <f>IF(ISBLANK(Table2[[#This Row],[ReceivedDate]]),"Unpaid",IF(Table2[[#This Row],[ReceivedDate]]&gt;Table2[[#This Row],[DueDate]],"Late",IF(Table2[[#This Row],[ReceivedDate]]&lt;Table2[[#This Row],[DueDate]],"Early","On Time")))</f>
        <v>Unpaid</v>
      </c>
    </row>
    <row r="277" spans="1:10" x14ac:dyDescent="0.3">
      <c r="A277" t="s">
        <v>298</v>
      </c>
      <c r="B277" t="s">
        <v>25</v>
      </c>
      <c r="C277" s="1">
        <v>45727</v>
      </c>
      <c r="D277" s="1">
        <v>45772</v>
      </c>
      <c r="E277" s="2">
        <v>5173.26</v>
      </c>
      <c r="F277" t="s">
        <v>11</v>
      </c>
      <c r="G277" t="s">
        <v>21</v>
      </c>
      <c r="H277" s="1">
        <v>45772</v>
      </c>
      <c r="I277" t="s">
        <v>13</v>
      </c>
      <c r="J277" t="str">
        <f>IF(ISBLANK(Table2[[#This Row],[ReceivedDate]]),"Unpaid",IF(Table2[[#This Row],[ReceivedDate]]&gt;Table2[[#This Row],[DueDate]],"Late",IF(Table2[[#This Row],[ReceivedDate]]&lt;Table2[[#This Row],[DueDate]],"Early","On Time")))</f>
        <v>On Time</v>
      </c>
    </row>
    <row r="278" spans="1:10" x14ac:dyDescent="0.3">
      <c r="A278" t="s">
        <v>299</v>
      </c>
      <c r="B278" t="s">
        <v>10</v>
      </c>
      <c r="C278" s="1">
        <v>45093</v>
      </c>
      <c r="D278" s="1">
        <v>45138</v>
      </c>
      <c r="E278" s="2">
        <v>6767.83</v>
      </c>
      <c r="F278" t="s">
        <v>26</v>
      </c>
      <c r="G278" t="s">
        <v>21</v>
      </c>
      <c r="H278" s="1">
        <v>45138</v>
      </c>
      <c r="I278" t="s">
        <v>13</v>
      </c>
      <c r="J278" t="str">
        <f>IF(ISBLANK(Table2[[#This Row],[ReceivedDate]]),"Unpaid",IF(Table2[[#This Row],[ReceivedDate]]&gt;Table2[[#This Row],[DueDate]],"Late",IF(Table2[[#This Row],[ReceivedDate]]&lt;Table2[[#This Row],[DueDate]],"Early","On Time")))</f>
        <v>On Time</v>
      </c>
    </row>
    <row r="279" spans="1:10" x14ac:dyDescent="0.3">
      <c r="A279" t="s">
        <v>300</v>
      </c>
      <c r="B279" t="s">
        <v>15</v>
      </c>
      <c r="C279" s="1">
        <v>45637</v>
      </c>
      <c r="D279" s="1">
        <v>45682</v>
      </c>
      <c r="E279" s="2">
        <v>618.77</v>
      </c>
      <c r="F279" t="s">
        <v>16</v>
      </c>
      <c r="G279" t="s">
        <v>17</v>
      </c>
      <c r="I279" t="s">
        <v>13</v>
      </c>
      <c r="J279" t="str">
        <f>IF(ISBLANK(Table2[[#This Row],[ReceivedDate]]),"Unpaid",IF(Table2[[#This Row],[ReceivedDate]]&gt;Table2[[#This Row],[DueDate]],"Late",IF(Table2[[#This Row],[ReceivedDate]]&lt;Table2[[#This Row],[DueDate]],"Early","On Time")))</f>
        <v>Unpaid</v>
      </c>
    </row>
    <row r="280" spans="1:10" x14ac:dyDescent="0.3">
      <c r="A280" t="s">
        <v>301</v>
      </c>
      <c r="B280" t="s">
        <v>30</v>
      </c>
      <c r="C280" s="1">
        <v>45588</v>
      </c>
      <c r="D280" s="1">
        <v>45633</v>
      </c>
      <c r="E280" s="2">
        <v>3945.49</v>
      </c>
      <c r="F280" t="s">
        <v>28</v>
      </c>
      <c r="G280" t="s">
        <v>12</v>
      </c>
      <c r="I280" t="s">
        <v>13</v>
      </c>
      <c r="J280" t="str">
        <f>IF(ISBLANK(Table2[[#This Row],[ReceivedDate]]),"Unpaid",IF(Table2[[#This Row],[ReceivedDate]]&gt;Table2[[#This Row],[DueDate]],"Late",IF(Table2[[#This Row],[ReceivedDate]]&lt;Table2[[#This Row],[DueDate]],"Early","On Time")))</f>
        <v>Unpaid</v>
      </c>
    </row>
    <row r="281" spans="1:10" x14ac:dyDescent="0.3">
      <c r="A281" t="s">
        <v>302</v>
      </c>
      <c r="B281" t="s">
        <v>23</v>
      </c>
      <c r="C281" s="1">
        <v>44928</v>
      </c>
      <c r="D281" s="1">
        <v>44973</v>
      </c>
      <c r="E281" s="2">
        <v>4532.6499999999996</v>
      </c>
      <c r="F281" t="s">
        <v>28</v>
      </c>
      <c r="G281" t="s">
        <v>21</v>
      </c>
      <c r="H281" s="1">
        <v>44973</v>
      </c>
      <c r="I281" t="s">
        <v>13</v>
      </c>
      <c r="J281" t="str">
        <f>IF(ISBLANK(Table2[[#This Row],[ReceivedDate]]),"Unpaid",IF(Table2[[#This Row],[ReceivedDate]]&gt;Table2[[#This Row],[DueDate]],"Late",IF(Table2[[#This Row],[ReceivedDate]]&lt;Table2[[#This Row],[DueDate]],"Early","On Time")))</f>
        <v>On Time</v>
      </c>
    </row>
    <row r="282" spans="1:10" x14ac:dyDescent="0.3">
      <c r="A282" t="s">
        <v>303</v>
      </c>
      <c r="B282" t="s">
        <v>23</v>
      </c>
      <c r="C282" s="1">
        <v>45407</v>
      </c>
      <c r="D282" s="1">
        <v>45452</v>
      </c>
      <c r="E282" s="2">
        <v>5769.67</v>
      </c>
      <c r="F282" t="s">
        <v>11</v>
      </c>
      <c r="G282" t="s">
        <v>21</v>
      </c>
      <c r="H282" s="1">
        <v>45452</v>
      </c>
      <c r="I282" t="s">
        <v>13</v>
      </c>
      <c r="J282" t="str">
        <f>IF(ISBLANK(Table2[[#This Row],[ReceivedDate]]),"Unpaid",IF(Table2[[#This Row],[ReceivedDate]]&gt;Table2[[#This Row],[DueDate]],"Late",IF(Table2[[#This Row],[ReceivedDate]]&lt;Table2[[#This Row],[DueDate]],"Early","On Time")))</f>
        <v>On Time</v>
      </c>
    </row>
    <row r="283" spans="1:10" x14ac:dyDescent="0.3">
      <c r="A283" t="s">
        <v>304</v>
      </c>
      <c r="B283" t="s">
        <v>15</v>
      </c>
      <c r="C283" s="1">
        <v>44947</v>
      </c>
      <c r="D283" s="1">
        <v>44992</v>
      </c>
      <c r="E283" s="2">
        <v>1912.05</v>
      </c>
      <c r="F283" t="s">
        <v>26</v>
      </c>
      <c r="G283" t="s">
        <v>17</v>
      </c>
      <c r="I283" t="s">
        <v>13</v>
      </c>
      <c r="J283" t="str">
        <f>IF(ISBLANK(Table2[[#This Row],[ReceivedDate]]),"Unpaid",IF(Table2[[#This Row],[ReceivedDate]]&gt;Table2[[#This Row],[DueDate]],"Late",IF(Table2[[#This Row],[ReceivedDate]]&lt;Table2[[#This Row],[DueDate]],"Early","On Time")))</f>
        <v>Unpaid</v>
      </c>
    </row>
    <row r="284" spans="1:10" x14ac:dyDescent="0.3">
      <c r="A284" t="s">
        <v>305</v>
      </c>
      <c r="B284" t="s">
        <v>10</v>
      </c>
      <c r="C284" s="1">
        <v>45615</v>
      </c>
      <c r="D284" s="1">
        <v>45660</v>
      </c>
      <c r="E284" s="2">
        <v>5329.48</v>
      </c>
      <c r="F284" t="s">
        <v>16</v>
      </c>
      <c r="G284" t="s">
        <v>12</v>
      </c>
      <c r="I284" t="s">
        <v>13</v>
      </c>
      <c r="J284" t="str">
        <f>IF(ISBLANK(Table2[[#This Row],[ReceivedDate]]),"Unpaid",IF(Table2[[#This Row],[ReceivedDate]]&gt;Table2[[#This Row],[DueDate]],"Late",IF(Table2[[#This Row],[ReceivedDate]]&lt;Table2[[#This Row],[DueDate]],"Early","On Time")))</f>
        <v>Unpaid</v>
      </c>
    </row>
    <row r="285" spans="1:10" x14ac:dyDescent="0.3">
      <c r="A285" t="s">
        <v>306</v>
      </c>
      <c r="B285" t="s">
        <v>10</v>
      </c>
      <c r="C285" s="1">
        <v>45463</v>
      </c>
      <c r="D285" s="1">
        <v>45508</v>
      </c>
      <c r="E285" s="2">
        <v>5287.6</v>
      </c>
      <c r="F285" t="s">
        <v>19</v>
      </c>
      <c r="G285" t="s">
        <v>17</v>
      </c>
      <c r="I285" t="s">
        <v>13</v>
      </c>
      <c r="J285" t="str">
        <f>IF(ISBLANK(Table2[[#This Row],[ReceivedDate]]),"Unpaid",IF(Table2[[#This Row],[ReceivedDate]]&gt;Table2[[#This Row],[DueDate]],"Late",IF(Table2[[#This Row],[ReceivedDate]]&lt;Table2[[#This Row],[DueDate]],"Early","On Time")))</f>
        <v>Unpaid</v>
      </c>
    </row>
    <row r="286" spans="1:10" x14ac:dyDescent="0.3">
      <c r="A286" t="s">
        <v>307</v>
      </c>
      <c r="B286" t="s">
        <v>23</v>
      </c>
      <c r="C286" s="1">
        <v>45536</v>
      </c>
      <c r="D286" s="1">
        <v>45581</v>
      </c>
      <c r="E286" s="2">
        <v>4912.0600000000004</v>
      </c>
      <c r="F286" t="s">
        <v>26</v>
      </c>
      <c r="G286" t="s">
        <v>17</v>
      </c>
      <c r="I286" t="s">
        <v>13</v>
      </c>
      <c r="J286" t="str">
        <f>IF(ISBLANK(Table2[[#This Row],[ReceivedDate]]),"Unpaid",IF(Table2[[#This Row],[ReceivedDate]]&gt;Table2[[#This Row],[DueDate]],"Late",IF(Table2[[#This Row],[ReceivedDate]]&lt;Table2[[#This Row],[DueDate]],"Early","On Time")))</f>
        <v>Unpaid</v>
      </c>
    </row>
    <row r="287" spans="1:10" x14ac:dyDescent="0.3">
      <c r="A287" t="s">
        <v>308</v>
      </c>
      <c r="B287" t="s">
        <v>15</v>
      </c>
      <c r="C287" s="1">
        <v>45696</v>
      </c>
      <c r="D287" s="1">
        <v>45741</v>
      </c>
      <c r="E287" s="2">
        <v>6804.92</v>
      </c>
      <c r="F287" t="s">
        <v>16</v>
      </c>
      <c r="G287" t="s">
        <v>12</v>
      </c>
      <c r="I287" t="s">
        <v>13</v>
      </c>
      <c r="J287" t="str">
        <f>IF(ISBLANK(Table2[[#This Row],[ReceivedDate]]),"Unpaid",IF(Table2[[#This Row],[ReceivedDate]]&gt;Table2[[#This Row],[DueDate]],"Late",IF(Table2[[#This Row],[ReceivedDate]]&lt;Table2[[#This Row],[DueDate]],"Early","On Time")))</f>
        <v>Unpaid</v>
      </c>
    </row>
    <row r="288" spans="1:10" x14ac:dyDescent="0.3">
      <c r="A288" t="s">
        <v>309</v>
      </c>
      <c r="B288" t="s">
        <v>25</v>
      </c>
      <c r="C288" s="1">
        <v>45385</v>
      </c>
      <c r="D288" s="1">
        <v>45430</v>
      </c>
      <c r="E288" s="2">
        <v>2819.2</v>
      </c>
      <c r="F288" t="s">
        <v>26</v>
      </c>
      <c r="G288" t="s">
        <v>12</v>
      </c>
      <c r="I288" t="s">
        <v>13</v>
      </c>
      <c r="J288" t="str">
        <f>IF(ISBLANK(Table2[[#This Row],[ReceivedDate]]),"Unpaid",IF(Table2[[#This Row],[ReceivedDate]]&gt;Table2[[#This Row],[DueDate]],"Late",IF(Table2[[#This Row],[ReceivedDate]]&lt;Table2[[#This Row],[DueDate]],"Early","On Time")))</f>
        <v>Unpaid</v>
      </c>
    </row>
    <row r="289" spans="1:10" x14ac:dyDescent="0.3">
      <c r="A289" t="s">
        <v>310</v>
      </c>
      <c r="B289" t="s">
        <v>10</v>
      </c>
      <c r="C289" s="1">
        <v>45298</v>
      </c>
      <c r="D289" s="1">
        <v>45343</v>
      </c>
      <c r="E289" s="2">
        <v>4818.12</v>
      </c>
      <c r="F289" t="s">
        <v>16</v>
      </c>
      <c r="G289" t="s">
        <v>17</v>
      </c>
      <c r="I289" t="s">
        <v>13</v>
      </c>
      <c r="J289" t="str">
        <f>IF(ISBLANK(Table2[[#This Row],[ReceivedDate]]),"Unpaid",IF(Table2[[#This Row],[ReceivedDate]]&gt;Table2[[#This Row],[DueDate]],"Late",IF(Table2[[#This Row],[ReceivedDate]]&lt;Table2[[#This Row],[DueDate]],"Early","On Time")))</f>
        <v>Unpaid</v>
      </c>
    </row>
    <row r="290" spans="1:10" x14ac:dyDescent="0.3">
      <c r="A290" t="s">
        <v>311</v>
      </c>
      <c r="B290" t="s">
        <v>23</v>
      </c>
      <c r="C290" s="1">
        <v>45624</v>
      </c>
      <c r="D290" s="1">
        <v>45669</v>
      </c>
      <c r="E290" s="2">
        <v>1716.94</v>
      </c>
      <c r="F290" t="s">
        <v>19</v>
      </c>
      <c r="G290" t="s">
        <v>21</v>
      </c>
      <c r="H290" s="1">
        <v>45669</v>
      </c>
      <c r="I290" t="s">
        <v>13</v>
      </c>
      <c r="J290" t="str">
        <f>IF(ISBLANK(Table2[[#This Row],[ReceivedDate]]),"Unpaid",IF(Table2[[#This Row],[ReceivedDate]]&gt;Table2[[#This Row],[DueDate]],"Late",IF(Table2[[#This Row],[ReceivedDate]]&lt;Table2[[#This Row],[DueDate]],"Early","On Time")))</f>
        <v>On Time</v>
      </c>
    </row>
    <row r="291" spans="1:10" x14ac:dyDescent="0.3">
      <c r="A291" t="s">
        <v>312</v>
      </c>
      <c r="B291" t="s">
        <v>10</v>
      </c>
      <c r="C291" s="1">
        <v>45585</v>
      </c>
      <c r="D291" s="1">
        <v>45630</v>
      </c>
      <c r="E291" s="2">
        <v>6215.27</v>
      </c>
      <c r="F291" t="s">
        <v>26</v>
      </c>
      <c r="G291" t="s">
        <v>12</v>
      </c>
      <c r="I291" t="s">
        <v>13</v>
      </c>
      <c r="J291" t="str">
        <f>IF(ISBLANK(Table2[[#This Row],[ReceivedDate]]),"Unpaid",IF(Table2[[#This Row],[ReceivedDate]]&gt;Table2[[#This Row],[DueDate]],"Late",IF(Table2[[#This Row],[ReceivedDate]]&lt;Table2[[#This Row],[DueDate]],"Early","On Time")))</f>
        <v>Unpaid</v>
      </c>
    </row>
    <row r="292" spans="1:10" x14ac:dyDescent="0.3">
      <c r="A292" t="s">
        <v>313</v>
      </c>
      <c r="B292" t="s">
        <v>15</v>
      </c>
      <c r="C292" s="1">
        <v>45687</v>
      </c>
      <c r="D292" s="1">
        <v>45732</v>
      </c>
      <c r="E292" s="2">
        <v>772.4</v>
      </c>
      <c r="F292" t="s">
        <v>19</v>
      </c>
      <c r="G292" t="s">
        <v>12</v>
      </c>
      <c r="I292" t="s">
        <v>13</v>
      </c>
      <c r="J292" t="str">
        <f>IF(ISBLANK(Table2[[#This Row],[ReceivedDate]]),"Unpaid",IF(Table2[[#This Row],[ReceivedDate]]&gt;Table2[[#This Row],[DueDate]],"Late",IF(Table2[[#This Row],[ReceivedDate]]&lt;Table2[[#This Row],[DueDate]],"Early","On Time")))</f>
        <v>Unpaid</v>
      </c>
    </row>
    <row r="293" spans="1:10" x14ac:dyDescent="0.3">
      <c r="A293" t="s">
        <v>314</v>
      </c>
      <c r="B293" t="s">
        <v>15</v>
      </c>
      <c r="C293" s="1">
        <v>45328</v>
      </c>
      <c r="D293" s="1">
        <v>45373</v>
      </c>
      <c r="E293" s="2">
        <v>5922.14</v>
      </c>
      <c r="F293" t="s">
        <v>28</v>
      </c>
      <c r="G293" t="s">
        <v>21</v>
      </c>
      <c r="H293" s="1">
        <v>45373</v>
      </c>
      <c r="I293" t="s">
        <v>13</v>
      </c>
      <c r="J293" t="str">
        <f>IF(ISBLANK(Table2[[#This Row],[ReceivedDate]]),"Unpaid",IF(Table2[[#This Row],[ReceivedDate]]&gt;Table2[[#This Row],[DueDate]],"Late",IF(Table2[[#This Row],[ReceivedDate]]&lt;Table2[[#This Row],[DueDate]],"Early","On Time")))</f>
        <v>On Time</v>
      </c>
    </row>
    <row r="294" spans="1:10" x14ac:dyDescent="0.3">
      <c r="A294" t="s">
        <v>315</v>
      </c>
      <c r="B294" t="s">
        <v>15</v>
      </c>
      <c r="C294" s="1">
        <v>45798</v>
      </c>
      <c r="D294" s="1">
        <v>45843</v>
      </c>
      <c r="E294" s="2">
        <v>844.47</v>
      </c>
      <c r="F294" t="s">
        <v>11</v>
      </c>
      <c r="G294" t="s">
        <v>17</v>
      </c>
      <c r="I294" t="s">
        <v>13</v>
      </c>
      <c r="J294" t="str">
        <f>IF(ISBLANK(Table2[[#This Row],[ReceivedDate]]),"Unpaid",IF(Table2[[#This Row],[ReceivedDate]]&gt;Table2[[#This Row],[DueDate]],"Late",IF(Table2[[#This Row],[ReceivedDate]]&lt;Table2[[#This Row],[DueDate]],"Early","On Time")))</f>
        <v>Unpaid</v>
      </c>
    </row>
    <row r="295" spans="1:10" x14ac:dyDescent="0.3">
      <c r="A295" t="s">
        <v>316</v>
      </c>
      <c r="B295" t="s">
        <v>23</v>
      </c>
      <c r="C295" s="1">
        <v>45258</v>
      </c>
      <c r="D295" s="1">
        <v>45303</v>
      </c>
      <c r="E295" s="2">
        <v>1392.54</v>
      </c>
      <c r="F295" t="s">
        <v>28</v>
      </c>
      <c r="G295" t="s">
        <v>17</v>
      </c>
      <c r="I295" t="s">
        <v>13</v>
      </c>
      <c r="J295" t="str">
        <f>IF(ISBLANK(Table2[[#This Row],[ReceivedDate]]),"Unpaid",IF(Table2[[#This Row],[ReceivedDate]]&gt;Table2[[#This Row],[DueDate]],"Late",IF(Table2[[#This Row],[ReceivedDate]]&lt;Table2[[#This Row],[DueDate]],"Early","On Time")))</f>
        <v>Unpaid</v>
      </c>
    </row>
    <row r="296" spans="1:10" x14ac:dyDescent="0.3">
      <c r="A296" t="s">
        <v>317</v>
      </c>
      <c r="B296" t="s">
        <v>30</v>
      </c>
      <c r="C296" s="1">
        <v>45736</v>
      </c>
      <c r="D296" s="1">
        <v>45781</v>
      </c>
      <c r="E296" s="2">
        <v>237.27</v>
      </c>
      <c r="F296" t="s">
        <v>16</v>
      </c>
      <c r="G296" t="s">
        <v>21</v>
      </c>
      <c r="H296" s="1">
        <v>45781</v>
      </c>
      <c r="I296" t="s">
        <v>13</v>
      </c>
      <c r="J296" t="str">
        <f>IF(ISBLANK(Table2[[#This Row],[ReceivedDate]]),"Unpaid",IF(Table2[[#This Row],[ReceivedDate]]&gt;Table2[[#This Row],[DueDate]],"Late",IF(Table2[[#This Row],[ReceivedDate]]&lt;Table2[[#This Row],[DueDate]],"Early","On Time")))</f>
        <v>On Time</v>
      </c>
    </row>
    <row r="297" spans="1:10" x14ac:dyDescent="0.3">
      <c r="A297" t="s">
        <v>318</v>
      </c>
      <c r="B297" t="s">
        <v>23</v>
      </c>
      <c r="C297" s="1">
        <v>45335</v>
      </c>
      <c r="D297" s="1">
        <v>45380</v>
      </c>
      <c r="E297" s="2">
        <v>2944.07</v>
      </c>
      <c r="F297" t="s">
        <v>26</v>
      </c>
      <c r="G297" t="s">
        <v>12</v>
      </c>
      <c r="I297" t="s">
        <v>13</v>
      </c>
      <c r="J297" t="str">
        <f>IF(ISBLANK(Table2[[#This Row],[ReceivedDate]]),"Unpaid",IF(Table2[[#This Row],[ReceivedDate]]&gt;Table2[[#This Row],[DueDate]],"Late",IF(Table2[[#This Row],[ReceivedDate]]&lt;Table2[[#This Row],[DueDate]],"Early","On Time")))</f>
        <v>Unpaid</v>
      </c>
    </row>
    <row r="298" spans="1:10" x14ac:dyDescent="0.3">
      <c r="A298" t="s">
        <v>319</v>
      </c>
      <c r="B298" t="s">
        <v>10</v>
      </c>
      <c r="C298" s="1">
        <v>45171</v>
      </c>
      <c r="D298" s="1">
        <v>45216</v>
      </c>
      <c r="E298" s="2">
        <v>6013.51</v>
      </c>
      <c r="F298" t="s">
        <v>26</v>
      </c>
      <c r="G298" t="s">
        <v>17</v>
      </c>
      <c r="I298" t="s">
        <v>13</v>
      </c>
      <c r="J298" t="str">
        <f>IF(ISBLANK(Table2[[#This Row],[ReceivedDate]]),"Unpaid",IF(Table2[[#This Row],[ReceivedDate]]&gt;Table2[[#This Row],[DueDate]],"Late",IF(Table2[[#This Row],[ReceivedDate]]&lt;Table2[[#This Row],[DueDate]],"Early","On Time")))</f>
        <v>Unpaid</v>
      </c>
    </row>
    <row r="299" spans="1:10" x14ac:dyDescent="0.3">
      <c r="A299" t="s">
        <v>320</v>
      </c>
      <c r="B299" t="s">
        <v>30</v>
      </c>
      <c r="C299" s="1">
        <v>44962</v>
      </c>
      <c r="D299" s="1">
        <v>45007</v>
      </c>
      <c r="E299" s="2">
        <v>1766.81</v>
      </c>
      <c r="F299" t="s">
        <v>11</v>
      </c>
      <c r="G299" t="s">
        <v>12</v>
      </c>
      <c r="I299" t="s">
        <v>13</v>
      </c>
      <c r="J299" t="str">
        <f>IF(ISBLANK(Table2[[#This Row],[ReceivedDate]]),"Unpaid",IF(Table2[[#This Row],[ReceivedDate]]&gt;Table2[[#This Row],[DueDate]],"Late",IF(Table2[[#This Row],[ReceivedDate]]&lt;Table2[[#This Row],[DueDate]],"Early","On Time")))</f>
        <v>Unpaid</v>
      </c>
    </row>
    <row r="300" spans="1:10" x14ac:dyDescent="0.3">
      <c r="A300" t="s">
        <v>321</v>
      </c>
      <c r="B300" t="s">
        <v>15</v>
      </c>
      <c r="C300" s="1">
        <v>45278</v>
      </c>
      <c r="D300" s="1">
        <v>45323</v>
      </c>
      <c r="E300" s="2">
        <v>5288.72</v>
      </c>
      <c r="F300" t="s">
        <v>11</v>
      </c>
      <c r="G300" t="s">
        <v>12</v>
      </c>
      <c r="I300" t="s">
        <v>13</v>
      </c>
      <c r="J300" t="str">
        <f>IF(ISBLANK(Table2[[#This Row],[ReceivedDate]]),"Unpaid",IF(Table2[[#This Row],[ReceivedDate]]&gt;Table2[[#This Row],[DueDate]],"Late",IF(Table2[[#This Row],[ReceivedDate]]&lt;Table2[[#This Row],[DueDate]],"Early","On Time")))</f>
        <v>Unpaid</v>
      </c>
    </row>
    <row r="301" spans="1:10" x14ac:dyDescent="0.3">
      <c r="A301" t="s">
        <v>322</v>
      </c>
      <c r="B301" t="s">
        <v>10</v>
      </c>
      <c r="C301" s="1">
        <v>45542</v>
      </c>
      <c r="D301" s="1">
        <v>45587</v>
      </c>
      <c r="E301" s="2">
        <v>487.55</v>
      </c>
      <c r="F301" t="s">
        <v>26</v>
      </c>
      <c r="G301" t="s">
        <v>17</v>
      </c>
      <c r="I301" t="s">
        <v>13</v>
      </c>
      <c r="J301" t="str">
        <f>IF(ISBLANK(Table2[[#This Row],[ReceivedDate]]),"Unpaid",IF(Table2[[#This Row],[ReceivedDate]]&gt;Table2[[#This Row],[DueDate]],"Late",IF(Table2[[#This Row],[ReceivedDate]]&lt;Table2[[#This Row],[DueDate]],"Early","On Time")))</f>
        <v>Unpaid</v>
      </c>
    </row>
    <row r="302" spans="1:10" x14ac:dyDescent="0.3">
      <c r="A302" t="s">
        <v>323</v>
      </c>
      <c r="B302" t="s">
        <v>10</v>
      </c>
      <c r="C302" s="1">
        <v>45244</v>
      </c>
      <c r="D302" s="1">
        <v>45289</v>
      </c>
      <c r="E302" s="2">
        <v>1910.38</v>
      </c>
      <c r="F302" t="s">
        <v>28</v>
      </c>
      <c r="G302" t="s">
        <v>12</v>
      </c>
      <c r="I302" t="s">
        <v>13</v>
      </c>
      <c r="J302" t="str">
        <f>IF(ISBLANK(Table2[[#This Row],[ReceivedDate]]),"Unpaid",IF(Table2[[#This Row],[ReceivedDate]]&gt;Table2[[#This Row],[DueDate]],"Late",IF(Table2[[#This Row],[ReceivedDate]]&lt;Table2[[#This Row],[DueDate]],"Early","On Time")))</f>
        <v>Unpaid</v>
      </c>
    </row>
    <row r="303" spans="1:10" x14ac:dyDescent="0.3">
      <c r="A303" t="s">
        <v>324</v>
      </c>
      <c r="B303" t="s">
        <v>10</v>
      </c>
      <c r="C303" s="1">
        <v>45266</v>
      </c>
      <c r="D303" s="1">
        <v>45311</v>
      </c>
      <c r="E303" s="2">
        <v>4958.76</v>
      </c>
      <c r="F303" t="s">
        <v>16</v>
      </c>
      <c r="G303" t="s">
        <v>21</v>
      </c>
      <c r="H303" s="1">
        <v>45311</v>
      </c>
      <c r="I303" t="s">
        <v>13</v>
      </c>
      <c r="J303" t="str">
        <f>IF(ISBLANK(Table2[[#This Row],[ReceivedDate]]),"Unpaid",IF(Table2[[#This Row],[ReceivedDate]]&gt;Table2[[#This Row],[DueDate]],"Late",IF(Table2[[#This Row],[ReceivedDate]]&lt;Table2[[#This Row],[DueDate]],"Early","On Time")))</f>
        <v>On Time</v>
      </c>
    </row>
    <row r="304" spans="1:10" x14ac:dyDescent="0.3">
      <c r="A304" t="s">
        <v>325</v>
      </c>
      <c r="B304" t="s">
        <v>30</v>
      </c>
      <c r="C304" s="1">
        <v>45516</v>
      </c>
      <c r="D304" s="1">
        <v>45561</v>
      </c>
      <c r="E304" s="2">
        <v>6586.64</v>
      </c>
      <c r="F304" t="s">
        <v>11</v>
      </c>
      <c r="G304" t="s">
        <v>17</v>
      </c>
      <c r="I304" t="s">
        <v>13</v>
      </c>
      <c r="J304" t="str">
        <f>IF(ISBLANK(Table2[[#This Row],[ReceivedDate]]),"Unpaid",IF(Table2[[#This Row],[ReceivedDate]]&gt;Table2[[#This Row],[DueDate]],"Late",IF(Table2[[#This Row],[ReceivedDate]]&lt;Table2[[#This Row],[DueDate]],"Early","On Time")))</f>
        <v>Unpaid</v>
      </c>
    </row>
    <row r="305" spans="1:10" x14ac:dyDescent="0.3">
      <c r="A305" t="s">
        <v>326</v>
      </c>
      <c r="B305" t="s">
        <v>15</v>
      </c>
      <c r="C305" s="1">
        <v>45604</v>
      </c>
      <c r="D305" s="1">
        <v>45649</v>
      </c>
      <c r="E305" s="2">
        <v>7977.51</v>
      </c>
      <c r="F305" t="s">
        <v>11</v>
      </c>
      <c r="G305" t="s">
        <v>21</v>
      </c>
      <c r="H305" s="1">
        <v>45649</v>
      </c>
      <c r="I305" t="s">
        <v>13</v>
      </c>
      <c r="J305" t="str">
        <f>IF(ISBLANK(Table2[[#This Row],[ReceivedDate]]),"Unpaid",IF(Table2[[#This Row],[ReceivedDate]]&gt;Table2[[#This Row],[DueDate]],"Late",IF(Table2[[#This Row],[ReceivedDate]]&lt;Table2[[#This Row],[DueDate]],"Early","On Time")))</f>
        <v>On Time</v>
      </c>
    </row>
    <row r="306" spans="1:10" x14ac:dyDescent="0.3">
      <c r="A306" t="s">
        <v>327</v>
      </c>
      <c r="B306" t="s">
        <v>25</v>
      </c>
      <c r="C306" s="1">
        <v>44973</v>
      </c>
      <c r="D306" s="1">
        <v>45018</v>
      </c>
      <c r="E306" s="2">
        <v>1308.93</v>
      </c>
      <c r="F306" t="s">
        <v>26</v>
      </c>
      <c r="G306" t="s">
        <v>12</v>
      </c>
      <c r="I306" t="s">
        <v>13</v>
      </c>
      <c r="J306" t="str">
        <f>IF(ISBLANK(Table2[[#This Row],[ReceivedDate]]),"Unpaid",IF(Table2[[#This Row],[ReceivedDate]]&gt;Table2[[#This Row],[DueDate]],"Late",IF(Table2[[#This Row],[ReceivedDate]]&lt;Table2[[#This Row],[DueDate]],"Early","On Time")))</f>
        <v>Unpaid</v>
      </c>
    </row>
    <row r="307" spans="1:10" x14ac:dyDescent="0.3">
      <c r="A307" t="s">
        <v>328</v>
      </c>
      <c r="B307" t="s">
        <v>23</v>
      </c>
      <c r="C307" s="1">
        <v>45781</v>
      </c>
      <c r="D307" s="1">
        <v>45826</v>
      </c>
      <c r="E307" s="2">
        <v>3082.75</v>
      </c>
      <c r="F307" t="s">
        <v>19</v>
      </c>
      <c r="G307" t="s">
        <v>17</v>
      </c>
      <c r="I307" t="s">
        <v>13</v>
      </c>
      <c r="J307" t="str">
        <f>IF(ISBLANK(Table2[[#This Row],[ReceivedDate]]),"Unpaid",IF(Table2[[#This Row],[ReceivedDate]]&gt;Table2[[#This Row],[DueDate]],"Late",IF(Table2[[#This Row],[ReceivedDate]]&lt;Table2[[#This Row],[DueDate]],"Early","On Time")))</f>
        <v>Unpaid</v>
      </c>
    </row>
    <row r="308" spans="1:10" x14ac:dyDescent="0.3">
      <c r="A308" t="s">
        <v>329</v>
      </c>
      <c r="B308" t="s">
        <v>30</v>
      </c>
      <c r="C308" s="1">
        <v>45448</v>
      </c>
      <c r="D308" s="1">
        <v>45493</v>
      </c>
      <c r="E308" s="2">
        <v>4200.74</v>
      </c>
      <c r="F308" t="s">
        <v>11</v>
      </c>
      <c r="G308" t="s">
        <v>21</v>
      </c>
      <c r="H308" s="1">
        <v>45493</v>
      </c>
      <c r="I308" t="s">
        <v>13</v>
      </c>
      <c r="J308" t="str">
        <f>IF(ISBLANK(Table2[[#This Row],[ReceivedDate]]),"Unpaid",IF(Table2[[#This Row],[ReceivedDate]]&gt;Table2[[#This Row],[DueDate]],"Late",IF(Table2[[#This Row],[ReceivedDate]]&lt;Table2[[#This Row],[DueDate]],"Early","On Time")))</f>
        <v>On Time</v>
      </c>
    </row>
    <row r="309" spans="1:10" x14ac:dyDescent="0.3">
      <c r="A309" t="s">
        <v>330</v>
      </c>
      <c r="B309" t="s">
        <v>10</v>
      </c>
      <c r="C309" s="1">
        <v>45821</v>
      </c>
      <c r="D309" s="1">
        <v>45866</v>
      </c>
      <c r="E309" s="2">
        <v>612.58000000000004</v>
      </c>
      <c r="F309" t="s">
        <v>26</v>
      </c>
      <c r="G309" t="s">
        <v>12</v>
      </c>
      <c r="I309" t="s">
        <v>13</v>
      </c>
      <c r="J309" t="str">
        <f>IF(ISBLANK(Table2[[#This Row],[ReceivedDate]]),"Unpaid",IF(Table2[[#This Row],[ReceivedDate]]&gt;Table2[[#This Row],[DueDate]],"Late",IF(Table2[[#This Row],[ReceivedDate]]&lt;Table2[[#This Row],[DueDate]],"Early","On Time")))</f>
        <v>Unpaid</v>
      </c>
    </row>
    <row r="310" spans="1:10" x14ac:dyDescent="0.3">
      <c r="A310" t="s">
        <v>331</v>
      </c>
      <c r="B310" t="s">
        <v>25</v>
      </c>
      <c r="C310" s="1">
        <v>45646</v>
      </c>
      <c r="D310" s="1">
        <v>45691</v>
      </c>
      <c r="E310" s="2">
        <v>6586.08</v>
      </c>
      <c r="F310" t="s">
        <v>28</v>
      </c>
      <c r="G310" t="s">
        <v>17</v>
      </c>
      <c r="I310" t="s">
        <v>13</v>
      </c>
      <c r="J310" t="str">
        <f>IF(ISBLANK(Table2[[#This Row],[ReceivedDate]]),"Unpaid",IF(Table2[[#This Row],[ReceivedDate]]&gt;Table2[[#This Row],[DueDate]],"Late",IF(Table2[[#This Row],[ReceivedDate]]&lt;Table2[[#This Row],[DueDate]],"Early","On Time")))</f>
        <v>Unpaid</v>
      </c>
    </row>
    <row r="311" spans="1:10" x14ac:dyDescent="0.3">
      <c r="A311" t="s">
        <v>332</v>
      </c>
      <c r="B311" t="s">
        <v>15</v>
      </c>
      <c r="C311" s="1">
        <v>45212</v>
      </c>
      <c r="D311" s="1">
        <v>45257</v>
      </c>
      <c r="E311" s="2">
        <v>7135.58</v>
      </c>
      <c r="F311" t="s">
        <v>19</v>
      </c>
      <c r="G311" t="s">
        <v>17</v>
      </c>
      <c r="I311" t="s">
        <v>13</v>
      </c>
      <c r="J311" t="str">
        <f>IF(ISBLANK(Table2[[#This Row],[ReceivedDate]]),"Unpaid",IF(Table2[[#This Row],[ReceivedDate]]&gt;Table2[[#This Row],[DueDate]],"Late",IF(Table2[[#This Row],[ReceivedDate]]&lt;Table2[[#This Row],[DueDate]],"Early","On Time")))</f>
        <v>Unpaid</v>
      </c>
    </row>
    <row r="312" spans="1:10" x14ac:dyDescent="0.3">
      <c r="A312" t="s">
        <v>333</v>
      </c>
      <c r="B312" t="s">
        <v>25</v>
      </c>
      <c r="C312" s="1">
        <v>45611</v>
      </c>
      <c r="D312" s="1">
        <v>45656</v>
      </c>
      <c r="E312" s="2">
        <v>3310.59</v>
      </c>
      <c r="F312" t="s">
        <v>28</v>
      </c>
      <c r="G312" t="s">
        <v>17</v>
      </c>
      <c r="I312" t="s">
        <v>13</v>
      </c>
      <c r="J312" t="str">
        <f>IF(ISBLANK(Table2[[#This Row],[ReceivedDate]]),"Unpaid",IF(Table2[[#This Row],[ReceivedDate]]&gt;Table2[[#This Row],[DueDate]],"Late",IF(Table2[[#This Row],[ReceivedDate]]&lt;Table2[[#This Row],[DueDate]],"Early","On Time")))</f>
        <v>Unpaid</v>
      </c>
    </row>
    <row r="313" spans="1:10" x14ac:dyDescent="0.3">
      <c r="A313" t="s">
        <v>334</v>
      </c>
      <c r="B313" t="s">
        <v>30</v>
      </c>
      <c r="C313" s="1">
        <v>45813</v>
      </c>
      <c r="D313" s="1">
        <v>45858</v>
      </c>
      <c r="E313" s="2">
        <v>6859.56</v>
      </c>
      <c r="F313" t="s">
        <v>11</v>
      </c>
      <c r="G313" t="s">
        <v>12</v>
      </c>
      <c r="I313" t="s">
        <v>13</v>
      </c>
      <c r="J313" t="str">
        <f>IF(ISBLANK(Table2[[#This Row],[ReceivedDate]]),"Unpaid",IF(Table2[[#This Row],[ReceivedDate]]&gt;Table2[[#This Row],[DueDate]],"Late",IF(Table2[[#This Row],[ReceivedDate]]&lt;Table2[[#This Row],[DueDate]],"Early","On Time")))</f>
        <v>Unpaid</v>
      </c>
    </row>
    <row r="314" spans="1:10" x14ac:dyDescent="0.3">
      <c r="A314" t="s">
        <v>335</v>
      </c>
      <c r="B314" t="s">
        <v>23</v>
      </c>
      <c r="C314" s="1">
        <v>45278</v>
      </c>
      <c r="D314" s="1">
        <v>45323</v>
      </c>
      <c r="E314" s="2">
        <v>1915.49</v>
      </c>
      <c r="F314" t="s">
        <v>26</v>
      </c>
      <c r="G314" t="s">
        <v>21</v>
      </c>
      <c r="H314" s="1">
        <v>45323</v>
      </c>
      <c r="I314" t="s">
        <v>13</v>
      </c>
      <c r="J314" t="str">
        <f>IF(ISBLANK(Table2[[#This Row],[ReceivedDate]]),"Unpaid",IF(Table2[[#This Row],[ReceivedDate]]&gt;Table2[[#This Row],[DueDate]],"Late",IF(Table2[[#This Row],[ReceivedDate]]&lt;Table2[[#This Row],[DueDate]],"Early","On Time")))</f>
        <v>On Time</v>
      </c>
    </row>
    <row r="315" spans="1:10" x14ac:dyDescent="0.3">
      <c r="A315" t="s">
        <v>336</v>
      </c>
      <c r="B315" t="s">
        <v>30</v>
      </c>
      <c r="C315" s="1">
        <v>44956</v>
      </c>
      <c r="D315" s="1">
        <v>45001</v>
      </c>
      <c r="E315" s="2">
        <v>3592.64</v>
      </c>
      <c r="F315" t="s">
        <v>19</v>
      </c>
      <c r="G315" t="s">
        <v>21</v>
      </c>
      <c r="H315" s="1">
        <v>45001</v>
      </c>
      <c r="I315" t="s">
        <v>13</v>
      </c>
      <c r="J315" t="str">
        <f>IF(ISBLANK(Table2[[#This Row],[ReceivedDate]]),"Unpaid",IF(Table2[[#This Row],[ReceivedDate]]&gt;Table2[[#This Row],[DueDate]],"Late",IF(Table2[[#This Row],[ReceivedDate]]&lt;Table2[[#This Row],[DueDate]],"Early","On Time")))</f>
        <v>On Time</v>
      </c>
    </row>
    <row r="316" spans="1:10" x14ac:dyDescent="0.3">
      <c r="A316" t="s">
        <v>337</v>
      </c>
      <c r="B316" t="s">
        <v>25</v>
      </c>
      <c r="C316" s="1">
        <v>45721</v>
      </c>
      <c r="D316" s="1">
        <v>45766</v>
      </c>
      <c r="E316" s="2">
        <v>3464.1</v>
      </c>
      <c r="F316" t="s">
        <v>26</v>
      </c>
      <c r="G316" t="s">
        <v>12</v>
      </c>
      <c r="I316" t="s">
        <v>13</v>
      </c>
      <c r="J316" t="str">
        <f>IF(ISBLANK(Table2[[#This Row],[ReceivedDate]]),"Unpaid",IF(Table2[[#This Row],[ReceivedDate]]&gt;Table2[[#This Row],[DueDate]],"Late",IF(Table2[[#This Row],[ReceivedDate]]&lt;Table2[[#This Row],[DueDate]],"Early","On Time")))</f>
        <v>Unpaid</v>
      </c>
    </row>
    <row r="317" spans="1:10" x14ac:dyDescent="0.3">
      <c r="A317" t="s">
        <v>338</v>
      </c>
      <c r="B317" t="s">
        <v>30</v>
      </c>
      <c r="C317" s="1">
        <v>45755</v>
      </c>
      <c r="D317" s="1">
        <v>45800</v>
      </c>
      <c r="E317" s="2">
        <v>3713.6</v>
      </c>
      <c r="F317" t="s">
        <v>28</v>
      </c>
      <c r="G317" t="s">
        <v>21</v>
      </c>
      <c r="H317" s="1">
        <v>45800</v>
      </c>
      <c r="I317" t="s">
        <v>13</v>
      </c>
      <c r="J317" t="str">
        <f>IF(ISBLANK(Table2[[#This Row],[ReceivedDate]]),"Unpaid",IF(Table2[[#This Row],[ReceivedDate]]&gt;Table2[[#This Row],[DueDate]],"Late",IF(Table2[[#This Row],[ReceivedDate]]&lt;Table2[[#This Row],[DueDate]],"Early","On Time")))</f>
        <v>On Time</v>
      </c>
    </row>
    <row r="318" spans="1:10" x14ac:dyDescent="0.3">
      <c r="A318" t="s">
        <v>339</v>
      </c>
      <c r="B318" t="s">
        <v>15</v>
      </c>
      <c r="C318" s="1">
        <v>45230</v>
      </c>
      <c r="D318" s="1">
        <v>45275</v>
      </c>
      <c r="E318" s="2">
        <v>375.36</v>
      </c>
      <c r="F318" t="s">
        <v>11</v>
      </c>
      <c r="G318" t="s">
        <v>12</v>
      </c>
      <c r="I318" t="s">
        <v>13</v>
      </c>
      <c r="J318" t="str">
        <f>IF(ISBLANK(Table2[[#This Row],[ReceivedDate]]),"Unpaid",IF(Table2[[#This Row],[ReceivedDate]]&gt;Table2[[#This Row],[DueDate]],"Late",IF(Table2[[#This Row],[ReceivedDate]]&lt;Table2[[#This Row],[DueDate]],"Early","On Time")))</f>
        <v>Unpaid</v>
      </c>
    </row>
    <row r="319" spans="1:10" x14ac:dyDescent="0.3">
      <c r="A319" t="s">
        <v>340</v>
      </c>
      <c r="B319" t="s">
        <v>10</v>
      </c>
      <c r="C319" s="1">
        <v>45617</v>
      </c>
      <c r="D319" s="1">
        <v>45662</v>
      </c>
      <c r="E319" s="2">
        <v>4606.43</v>
      </c>
      <c r="F319" t="s">
        <v>19</v>
      </c>
      <c r="G319" t="s">
        <v>17</v>
      </c>
      <c r="I319" t="s">
        <v>13</v>
      </c>
      <c r="J319" t="str">
        <f>IF(ISBLANK(Table2[[#This Row],[ReceivedDate]]),"Unpaid",IF(Table2[[#This Row],[ReceivedDate]]&gt;Table2[[#This Row],[DueDate]],"Late",IF(Table2[[#This Row],[ReceivedDate]]&lt;Table2[[#This Row],[DueDate]],"Early","On Time")))</f>
        <v>Unpaid</v>
      </c>
    </row>
    <row r="320" spans="1:10" x14ac:dyDescent="0.3">
      <c r="A320" t="s">
        <v>341</v>
      </c>
      <c r="B320" t="s">
        <v>10</v>
      </c>
      <c r="C320" s="1">
        <v>44978</v>
      </c>
      <c r="D320" s="1">
        <v>45023</v>
      </c>
      <c r="E320" s="2">
        <v>3956.63</v>
      </c>
      <c r="F320" t="s">
        <v>16</v>
      </c>
      <c r="G320" t="s">
        <v>17</v>
      </c>
      <c r="I320" t="s">
        <v>13</v>
      </c>
      <c r="J320" t="str">
        <f>IF(ISBLANK(Table2[[#This Row],[ReceivedDate]]),"Unpaid",IF(Table2[[#This Row],[ReceivedDate]]&gt;Table2[[#This Row],[DueDate]],"Late",IF(Table2[[#This Row],[ReceivedDate]]&lt;Table2[[#This Row],[DueDate]],"Early","On Time")))</f>
        <v>Unpaid</v>
      </c>
    </row>
    <row r="321" spans="1:10" x14ac:dyDescent="0.3">
      <c r="A321" t="s">
        <v>342</v>
      </c>
      <c r="B321" t="s">
        <v>15</v>
      </c>
      <c r="C321" s="1">
        <v>45060</v>
      </c>
      <c r="D321" s="1">
        <v>45105</v>
      </c>
      <c r="E321" s="2">
        <v>6463.15</v>
      </c>
      <c r="F321" t="s">
        <v>28</v>
      </c>
      <c r="G321" t="s">
        <v>21</v>
      </c>
      <c r="H321" s="1">
        <v>45105</v>
      </c>
      <c r="I321" t="s">
        <v>13</v>
      </c>
      <c r="J321" t="str">
        <f>IF(ISBLANK(Table2[[#This Row],[ReceivedDate]]),"Unpaid",IF(Table2[[#This Row],[ReceivedDate]]&gt;Table2[[#This Row],[DueDate]],"Late",IF(Table2[[#This Row],[ReceivedDate]]&lt;Table2[[#This Row],[DueDate]],"Early","On Time")))</f>
        <v>On Time</v>
      </c>
    </row>
    <row r="322" spans="1:10" x14ac:dyDescent="0.3">
      <c r="A322" t="s">
        <v>343</v>
      </c>
      <c r="B322" t="s">
        <v>23</v>
      </c>
      <c r="C322" s="1">
        <v>45232</v>
      </c>
      <c r="D322" s="1">
        <v>45277</v>
      </c>
      <c r="E322" s="2">
        <v>3131.18</v>
      </c>
      <c r="F322" t="s">
        <v>11</v>
      </c>
      <c r="G322" t="s">
        <v>17</v>
      </c>
      <c r="I322" t="s">
        <v>13</v>
      </c>
      <c r="J322" t="str">
        <f>IF(ISBLANK(Table2[[#This Row],[ReceivedDate]]),"Unpaid",IF(Table2[[#This Row],[ReceivedDate]]&gt;Table2[[#This Row],[DueDate]],"Late",IF(Table2[[#This Row],[ReceivedDate]]&lt;Table2[[#This Row],[DueDate]],"Early","On Time")))</f>
        <v>Unpaid</v>
      </c>
    </row>
    <row r="323" spans="1:10" x14ac:dyDescent="0.3">
      <c r="A323" t="s">
        <v>344</v>
      </c>
      <c r="B323" t="s">
        <v>23</v>
      </c>
      <c r="C323" s="1">
        <v>44979</v>
      </c>
      <c r="D323" s="1">
        <v>45024</v>
      </c>
      <c r="E323" s="2">
        <v>7443.46</v>
      </c>
      <c r="F323" t="s">
        <v>19</v>
      </c>
      <c r="G323" t="s">
        <v>17</v>
      </c>
      <c r="I323" t="s">
        <v>13</v>
      </c>
      <c r="J323" t="str">
        <f>IF(ISBLANK(Table2[[#This Row],[ReceivedDate]]),"Unpaid",IF(Table2[[#This Row],[ReceivedDate]]&gt;Table2[[#This Row],[DueDate]],"Late",IF(Table2[[#This Row],[ReceivedDate]]&lt;Table2[[#This Row],[DueDate]],"Early","On Time")))</f>
        <v>Unpaid</v>
      </c>
    </row>
    <row r="324" spans="1:10" x14ac:dyDescent="0.3">
      <c r="A324" t="s">
        <v>345</v>
      </c>
      <c r="B324" t="s">
        <v>25</v>
      </c>
      <c r="C324" s="1">
        <v>45322</v>
      </c>
      <c r="D324" s="1">
        <v>45367</v>
      </c>
      <c r="E324" s="2">
        <v>3523.63</v>
      </c>
      <c r="F324" t="s">
        <v>28</v>
      </c>
      <c r="G324" t="s">
        <v>12</v>
      </c>
      <c r="I324" t="s">
        <v>13</v>
      </c>
      <c r="J324" t="str">
        <f>IF(ISBLANK(Table2[[#This Row],[ReceivedDate]]),"Unpaid",IF(Table2[[#This Row],[ReceivedDate]]&gt;Table2[[#This Row],[DueDate]],"Late",IF(Table2[[#This Row],[ReceivedDate]]&lt;Table2[[#This Row],[DueDate]],"Early","On Time")))</f>
        <v>Unpaid</v>
      </c>
    </row>
    <row r="325" spans="1:10" x14ac:dyDescent="0.3">
      <c r="A325" t="s">
        <v>346</v>
      </c>
      <c r="B325" t="s">
        <v>15</v>
      </c>
      <c r="C325" s="1">
        <v>45315</v>
      </c>
      <c r="D325" s="1">
        <v>45360</v>
      </c>
      <c r="E325" s="2">
        <v>255.41</v>
      </c>
      <c r="F325" t="s">
        <v>16</v>
      </c>
      <c r="G325" t="s">
        <v>12</v>
      </c>
      <c r="I325" t="s">
        <v>13</v>
      </c>
      <c r="J325" t="str">
        <f>IF(ISBLANK(Table2[[#This Row],[ReceivedDate]]),"Unpaid",IF(Table2[[#This Row],[ReceivedDate]]&gt;Table2[[#This Row],[DueDate]],"Late",IF(Table2[[#This Row],[ReceivedDate]]&lt;Table2[[#This Row],[DueDate]],"Early","On Time")))</f>
        <v>Unpaid</v>
      </c>
    </row>
    <row r="326" spans="1:10" x14ac:dyDescent="0.3">
      <c r="A326" t="s">
        <v>347</v>
      </c>
      <c r="B326" t="s">
        <v>15</v>
      </c>
      <c r="C326" s="1">
        <v>45500</v>
      </c>
      <c r="D326" s="1">
        <v>45545</v>
      </c>
      <c r="E326" s="2">
        <v>7207.55</v>
      </c>
      <c r="F326" t="s">
        <v>26</v>
      </c>
      <c r="G326" t="s">
        <v>21</v>
      </c>
      <c r="H326" s="1">
        <v>45545</v>
      </c>
      <c r="I326" t="s">
        <v>13</v>
      </c>
      <c r="J326" t="str">
        <f>IF(ISBLANK(Table2[[#This Row],[ReceivedDate]]),"Unpaid",IF(Table2[[#This Row],[ReceivedDate]]&gt;Table2[[#This Row],[DueDate]],"Late",IF(Table2[[#This Row],[ReceivedDate]]&lt;Table2[[#This Row],[DueDate]],"Early","On Time")))</f>
        <v>On Time</v>
      </c>
    </row>
    <row r="327" spans="1:10" x14ac:dyDescent="0.3">
      <c r="A327" t="s">
        <v>348</v>
      </c>
      <c r="B327" t="s">
        <v>10</v>
      </c>
      <c r="C327" s="1">
        <v>45732</v>
      </c>
      <c r="D327" s="1">
        <v>45777</v>
      </c>
      <c r="E327" s="2">
        <v>7774.67</v>
      </c>
      <c r="F327" t="s">
        <v>28</v>
      </c>
      <c r="G327" t="s">
        <v>21</v>
      </c>
      <c r="H327" s="1">
        <v>45777</v>
      </c>
      <c r="I327" t="s">
        <v>13</v>
      </c>
      <c r="J327" t="str">
        <f>IF(ISBLANK(Table2[[#This Row],[ReceivedDate]]),"Unpaid",IF(Table2[[#This Row],[ReceivedDate]]&gt;Table2[[#This Row],[DueDate]],"Late",IF(Table2[[#This Row],[ReceivedDate]]&lt;Table2[[#This Row],[DueDate]],"Early","On Time")))</f>
        <v>On Time</v>
      </c>
    </row>
    <row r="328" spans="1:10" x14ac:dyDescent="0.3">
      <c r="A328" t="s">
        <v>349</v>
      </c>
      <c r="B328" t="s">
        <v>23</v>
      </c>
      <c r="C328" s="1">
        <v>45291</v>
      </c>
      <c r="D328" s="1">
        <v>45336</v>
      </c>
      <c r="E328" s="2">
        <v>1759.2</v>
      </c>
      <c r="F328" t="s">
        <v>28</v>
      </c>
      <c r="G328" t="s">
        <v>17</v>
      </c>
      <c r="I328" t="s">
        <v>13</v>
      </c>
      <c r="J328" t="str">
        <f>IF(ISBLANK(Table2[[#This Row],[ReceivedDate]]),"Unpaid",IF(Table2[[#This Row],[ReceivedDate]]&gt;Table2[[#This Row],[DueDate]],"Late",IF(Table2[[#This Row],[ReceivedDate]]&lt;Table2[[#This Row],[DueDate]],"Early","On Time")))</f>
        <v>Unpaid</v>
      </c>
    </row>
    <row r="329" spans="1:10" x14ac:dyDescent="0.3">
      <c r="A329" t="s">
        <v>350</v>
      </c>
      <c r="B329" t="s">
        <v>30</v>
      </c>
      <c r="C329" s="1">
        <v>45277</v>
      </c>
      <c r="D329" s="1">
        <v>45322</v>
      </c>
      <c r="E329" s="2">
        <v>7446.1</v>
      </c>
      <c r="F329" t="s">
        <v>28</v>
      </c>
      <c r="G329" t="s">
        <v>17</v>
      </c>
      <c r="I329" t="s">
        <v>13</v>
      </c>
      <c r="J329" t="str">
        <f>IF(ISBLANK(Table2[[#This Row],[ReceivedDate]]),"Unpaid",IF(Table2[[#This Row],[ReceivedDate]]&gt;Table2[[#This Row],[DueDate]],"Late",IF(Table2[[#This Row],[ReceivedDate]]&lt;Table2[[#This Row],[DueDate]],"Early","On Time")))</f>
        <v>Unpaid</v>
      </c>
    </row>
    <row r="330" spans="1:10" x14ac:dyDescent="0.3">
      <c r="A330" t="s">
        <v>351</v>
      </c>
      <c r="B330" t="s">
        <v>10</v>
      </c>
      <c r="C330" s="1">
        <v>45645</v>
      </c>
      <c r="D330" s="1">
        <v>45690</v>
      </c>
      <c r="E330" s="2">
        <v>5244.86</v>
      </c>
      <c r="F330" t="s">
        <v>16</v>
      </c>
      <c r="G330" t="s">
        <v>17</v>
      </c>
      <c r="I330" t="s">
        <v>13</v>
      </c>
      <c r="J330" t="str">
        <f>IF(ISBLANK(Table2[[#This Row],[ReceivedDate]]),"Unpaid",IF(Table2[[#This Row],[ReceivedDate]]&gt;Table2[[#This Row],[DueDate]],"Late",IF(Table2[[#This Row],[ReceivedDate]]&lt;Table2[[#This Row],[DueDate]],"Early","On Time")))</f>
        <v>Unpaid</v>
      </c>
    </row>
    <row r="331" spans="1:10" x14ac:dyDescent="0.3">
      <c r="A331" t="s">
        <v>352</v>
      </c>
      <c r="B331" t="s">
        <v>10</v>
      </c>
      <c r="C331" s="1">
        <v>45346</v>
      </c>
      <c r="D331" s="1">
        <v>45391</v>
      </c>
      <c r="E331" s="2">
        <v>7281.91</v>
      </c>
      <c r="F331" t="s">
        <v>16</v>
      </c>
      <c r="G331" t="s">
        <v>12</v>
      </c>
      <c r="I331" t="s">
        <v>13</v>
      </c>
      <c r="J331" t="str">
        <f>IF(ISBLANK(Table2[[#This Row],[ReceivedDate]]),"Unpaid",IF(Table2[[#This Row],[ReceivedDate]]&gt;Table2[[#This Row],[DueDate]],"Late",IF(Table2[[#This Row],[ReceivedDate]]&lt;Table2[[#This Row],[DueDate]],"Early","On Time")))</f>
        <v>Unpaid</v>
      </c>
    </row>
    <row r="332" spans="1:10" x14ac:dyDescent="0.3">
      <c r="A332" t="s">
        <v>353</v>
      </c>
      <c r="B332" t="s">
        <v>23</v>
      </c>
      <c r="C332" s="1">
        <v>45052</v>
      </c>
      <c r="D332" s="1">
        <v>45097</v>
      </c>
      <c r="E332" s="2">
        <v>1209.49</v>
      </c>
      <c r="F332" t="s">
        <v>26</v>
      </c>
      <c r="G332" t="s">
        <v>17</v>
      </c>
      <c r="I332" t="s">
        <v>13</v>
      </c>
      <c r="J332" t="str">
        <f>IF(ISBLANK(Table2[[#This Row],[ReceivedDate]]),"Unpaid",IF(Table2[[#This Row],[ReceivedDate]]&gt;Table2[[#This Row],[DueDate]],"Late",IF(Table2[[#This Row],[ReceivedDate]]&lt;Table2[[#This Row],[DueDate]],"Early","On Time")))</f>
        <v>Unpaid</v>
      </c>
    </row>
    <row r="333" spans="1:10" x14ac:dyDescent="0.3">
      <c r="A333" t="s">
        <v>354</v>
      </c>
      <c r="B333" t="s">
        <v>10</v>
      </c>
      <c r="C333" s="1">
        <v>45222</v>
      </c>
      <c r="D333" s="1">
        <v>45267</v>
      </c>
      <c r="E333" s="2">
        <v>6584.61</v>
      </c>
      <c r="F333" t="s">
        <v>16</v>
      </c>
      <c r="G333" t="s">
        <v>12</v>
      </c>
      <c r="I333" t="s">
        <v>13</v>
      </c>
      <c r="J333" t="str">
        <f>IF(ISBLANK(Table2[[#This Row],[ReceivedDate]]),"Unpaid",IF(Table2[[#This Row],[ReceivedDate]]&gt;Table2[[#This Row],[DueDate]],"Late",IF(Table2[[#This Row],[ReceivedDate]]&lt;Table2[[#This Row],[DueDate]],"Early","On Time")))</f>
        <v>Unpaid</v>
      </c>
    </row>
    <row r="334" spans="1:10" x14ac:dyDescent="0.3">
      <c r="A334" t="s">
        <v>355</v>
      </c>
      <c r="B334" t="s">
        <v>15</v>
      </c>
      <c r="C334" s="1">
        <v>45321</v>
      </c>
      <c r="D334" s="1">
        <v>45366</v>
      </c>
      <c r="E334" s="2">
        <v>4282.2299999999996</v>
      </c>
      <c r="F334" t="s">
        <v>11</v>
      </c>
      <c r="G334" t="s">
        <v>17</v>
      </c>
      <c r="I334" t="s">
        <v>13</v>
      </c>
      <c r="J334" t="str">
        <f>IF(ISBLANK(Table2[[#This Row],[ReceivedDate]]),"Unpaid",IF(Table2[[#This Row],[ReceivedDate]]&gt;Table2[[#This Row],[DueDate]],"Late",IF(Table2[[#This Row],[ReceivedDate]]&lt;Table2[[#This Row],[DueDate]],"Early","On Time")))</f>
        <v>Unpaid</v>
      </c>
    </row>
    <row r="335" spans="1:10" x14ac:dyDescent="0.3">
      <c r="A335" t="s">
        <v>356</v>
      </c>
      <c r="B335" t="s">
        <v>10</v>
      </c>
      <c r="C335" s="1">
        <v>45823</v>
      </c>
      <c r="D335" s="1">
        <v>45868</v>
      </c>
      <c r="E335" s="2">
        <v>443.26</v>
      </c>
      <c r="F335" t="s">
        <v>16</v>
      </c>
      <c r="G335" t="s">
        <v>12</v>
      </c>
      <c r="I335" t="s">
        <v>13</v>
      </c>
      <c r="J335" t="str">
        <f>IF(ISBLANK(Table2[[#This Row],[ReceivedDate]]),"Unpaid",IF(Table2[[#This Row],[ReceivedDate]]&gt;Table2[[#This Row],[DueDate]],"Late",IF(Table2[[#This Row],[ReceivedDate]]&lt;Table2[[#This Row],[DueDate]],"Early","On Time")))</f>
        <v>Unpaid</v>
      </c>
    </row>
    <row r="336" spans="1:10" x14ac:dyDescent="0.3">
      <c r="A336" t="s">
        <v>357</v>
      </c>
      <c r="B336" t="s">
        <v>10</v>
      </c>
      <c r="C336" s="1">
        <v>45086</v>
      </c>
      <c r="D336" s="1">
        <v>45131</v>
      </c>
      <c r="E336" s="2">
        <v>6477.19</v>
      </c>
      <c r="F336" t="s">
        <v>28</v>
      </c>
      <c r="G336" t="s">
        <v>12</v>
      </c>
      <c r="I336" t="s">
        <v>13</v>
      </c>
      <c r="J336" t="str">
        <f>IF(ISBLANK(Table2[[#This Row],[ReceivedDate]]),"Unpaid",IF(Table2[[#This Row],[ReceivedDate]]&gt;Table2[[#This Row],[DueDate]],"Late",IF(Table2[[#This Row],[ReceivedDate]]&lt;Table2[[#This Row],[DueDate]],"Early","On Time")))</f>
        <v>Unpaid</v>
      </c>
    </row>
    <row r="337" spans="1:10" x14ac:dyDescent="0.3">
      <c r="A337" t="s">
        <v>358</v>
      </c>
      <c r="B337" t="s">
        <v>10</v>
      </c>
      <c r="C337" s="1">
        <v>45267</v>
      </c>
      <c r="D337" s="1">
        <v>45312</v>
      </c>
      <c r="E337" s="2">
        <v>6248.64</v>
      </c>
      <c r="F337" t="s">
        <v>26</v>
      </c>
      <c r="G337" t="s">
        <v>21</v>
      </c>
      <c r="H337" s="1">
        <v>45312</v>
      </c>
      <c r="I337" t="s">
        <v>13</v>
      </c>
      <c r="J337" t="str">
        <f>IF(ISBLANK(Table2[[#This Row],[ReceivedDate]]),"Unpaid",IF(Table2[[#This Row],[ReceivedDate]]&gt;Table2[[#This Row],[DueDate]],"Late",IF(Table2[[#This Row],[ReceivedDate]]&lt;Table2[[#This Row],[DueDate]],"Early","On Time")))</f>
        <v>On Time</v>
      </c>
    </row>
    <row r="338" spans="1:10" x14ac:dyDescent="0.3">
      <c r="A338" t="s">
        <v>359</v>
      </c>
      <c r="B338" t="s">
        <v>30</v>
      </c>
      <c r="C338" s="1">
        <v>45190</v>
      </c>
      <c r="D338" s="1">
        <v>45235</v>
      </c>
      <c r="E338" s="2">
        <v>5750.64</v>
      </c>
      <c r="F338" t="s">
        <v>28</v>
      </c>
      <c r="G338" t="s">
        <v>21</v>
      </c>
      <c r="H338" s="1">
        <v>45235</v>
      </c>
      <c r="I338" t="s">
        <v>13</v>
      </c>
      <c r="J338" t="str">
        <f>IF(ISBLANK(Table2[[#This Row],[ReceivedDate]]),"Unpaid",IF(Table2[[#This Row],[ReceivedDate]]&gt;Table2[[#This Row],[DueDate]],"Late",IF(Table2[[#This Row],[ReceivedDate]]&lt;Table2[[#This Row],[DueDate]],"Early","On Time")))</f>
        <v>On Time</v>
      </c>
    </row>
    <row r="339" spans="1:10" x14ac:dyDescent="0.3">
      <c r="A339" t="s">
        <v>360</v>
      </c>
      <c r="B339" t="s">
        <v>30</v>
      </c>
      <c r="C339" s="1">
        <v>45373</v>
      </c>
      <c r="D339" s="1">
        <v>45418</v>
      </c>
      <c r="E339" s="2">
        <v>2160.27</v>
      </c>
      <c r="F339" t="s">
        <v>11</v>
      </c>
      <c r="G339" t="s">
        <v>12</v>
      </c>
      <c r="I339" t="s">
        <v>13</v>
      </c>
      <c r="J339" t="str">
        <f>IF(ISBLANK(Table2[[#This Row],[ReceivedDate]]),"Unpaid",IF(Table2[[#This Row],[ReceivedDate]]&gt;Table2[[#This Row],[DueDate]],"Late",IF(Table2[[#This Row],[ReceivedDate]]&lt;Table2[[#This Row],[DueDate]],"Early","On Time")))</f>
        <v>Unpaid</v>
      </c>
    </row>
    <row r="340" spans="1:10" x14ac:dyDescent="0.3">
      <c r="A340" t="s">
        <v>361</v>
      </c>
      <c r="B340" t="s">
        <v>25</v>
      </c>
      <c r="C340" s="1">
        <v>45223</v>
      </c>
      <c r="D340" s="1">
        <v>45268</v>
      </c>
      <c r="E340" s="2">
        <v>7752.81</v>
      </c>
      <c r="F340" t="s">
        <v>11</v>
      </c>
      <c r="G340" t="s">
        <v>21</v>
      </c>
      <c r="H340" s="1">
        <v>45268</v>
      </c>
      <c r="I340" t="s">
        <v>13</v>
      </c>
      <c r="J340" t="str">
        <f>IF(ISBLANK(Table2[[#This Row],[ReceivedDate]]),"Unpaid",IF(Table2[[#This Row],[ReceivedDate]]&gt;Table2[[#This Row],[DueDate]],"Late",IF(Table2[[#This Row],[ReceivedDate]]&lt;Table2[[#This Row],[DueDate]],"Early","On Time")))</f>
        <v>On Time</v>
      </c>
    </row>
    <row r="341" spans="1:10" x14ac:dyDescent="0.3">
      <c r="A341" t="s">
        <v>362</v>
      </c>
      <c r="B341" t="s">
        <v>23</v>
      </c>
      <c r="C341" s="1">
        <v>45166</v>
      </c>
      <c r="D341" s="1">
        <v>45211</v>
      </c>
      <c r="E341" s="2">
        <v>2252.3000000000002</v>
      </c>
      <c r="F341" t="s">
        <v>11</v>
      </c>
      <c r="G341" t="s">
        <v>17</v>
      </c>
      <c r="I341" t="s">
        <v>13</v>
      </c>
      <c r="J341" t="str">
        <f>IF(ISBLANK(Table2[[#This Row],[ReceivedDate]]),"Unpaid",IF(Table2[[#This Row],[ReceivedDate]]&gt;Table2[[#This Row],[DueDate]],"Late",IF(Table2[[#This Row],[ReceivedDate]]&lt;Table2[[#This Row],[DueDate]],"Early","On Time")))</f>
        <v>Unpaid</v>
      </c>
    </row>
    <row r="342" spans="1:10" x14ac:dyDescent="0.3">
      <c r="A342" t="s">
        <v>363</v>
      </c>
      <c r="B342" t="s">
        <v>23</v>
      </c>
      <c r="C342" s="1">
        <v>45195</v>
      </c>
      <c r="D342" s="1">
        <v>45240</v>
      </c>
      <c r="E342" s="2">
        <v>235.01</v>
      </c>
      <c r="F342" t="s">
        <v>19</v>
      </c>
      <c r="G342" t="s">
        <v>17</v>
      </c>
      <c r="I342" t="s">
        <v>13</v>
      </c>
      <c r="J342" t="str">
        <f>IF(ISBLANK(Table2[[#This Row],[ReceivedDate]]),"Unpaid",IF(Table2[[#This Row],[ReceivedDate]]&gt;Table2[[#This Row],[DueDate]],"Late",IF(Table2[[#This Row],[ReceivedDate]]&lt;Table2[[#This Row],[DueDate]],"Early","On Time")))</f>
        <v>Unpaid</v>
      </c>
    </row>
    <row r="343" spans="1:10" x14ac:dyDescent="0.3">
      <c r="A343" t="s">
        <v>364</v>
      </c>
      <c r="B343" t="s">
        <v>23</v>
      </c>
      <c r="C343" s="1">
        <v>45332</v>
      </c>
      <c r="D343" s="1">
        <v>45377</v>
      </c>
      <c r="E343" s="2">
        <v>6828.57</v>
      </c>
      <c r="F343" t="s">
        <v>19</v>
      </c>
      <c r="G343" t="s">
        <v>21</v>
      </c>
      <c r="H343" s="1">
        <v>45377</v>
      </c>
      <c r="I343" t="s">
        <v>13</v>
      </c>
      <c r="J343" t="str">
        <f>IF(ISBLANK(Table2[[#This Row],[ReceivedDate]]),"Unpaid",IF(Table2[[#This Row],[ReceivedDate]]&gt;Table2[[#This Row],[DueDate]],"Late",IF(Table2[[#This Row],[ReceivedDate]]&lt;Table2[[#This Row],[DueDate]],"Early","On Time")))</f>
        <v>On Time</v>
      </c>
    </row>
    <row r="344" spans="1:10" x14ac:dyDescent="0.3">
      <c r="A344" t="s">
        <v>365</v>
      </c>
      <c r="B344" t="s">
        <v>23</v>
      </c>
      <c r="C344" s="1">
        <v>45633</v>
      </c>
      <c r="D344" s="1">
        <v>45678</v>
      </c>
      <c r="E344" s="2">
        <v>3769.6</v>
      </c>
      <c r="F344" t="s">
        <v>11</v>
      </c>
      <c r="G344" t="s">
        <v>21</v>
      </c>
      <c r="H344" s="1">
        <v>45678</v>
      </c>
      <c r="I344" t="s">
        <v>13</v>
      </c>
      <c r="J344" t="str">
        <f>IF(ISBLANK(Table2[[#This Row],[ReceivedDate]]),"Unpaid",IF(Table2[[#This Row],[ReceivedDate]]&gt;Table2[[#This Row],[DueDate]],"Late",IF(Table2[[#This Row],[ReceivedDate]]&lt;Table2[[#This Row],[DueDate]],"Early","On Time")))</f>
        <v>On Time</v>
      </c>
    </row>
    <row r="345" spans="1:10" x14ac:dyDescent="0.3">
      <c r="A345" t="s">
        <v>366</v>
      </c>
      <c r="B345" t="s">
        <v>25</v>
      </c>
      <c r="C345" s="1">
        <v>45355</v>
      </c>
      <c r="D345" s="1">
        <v>45400</v>
      </c>
      <c r="E345" s="2">
        <v>3315.73</v>
      </c>
      <c r="F345" t="s">
        <v>19</v>
      </c>
      <c r="G345" t="s">
        <v>12</v>
      </c>
      <c r="I345" t="s">
        <v>13</v>
      </c>
      <c r="J345" t="str">
        <f>IF(ISBLANK(Table2[[#This Row],[ReceivedDate]]),"Unpaid",IF(Table2[[#This Row],[ReceivedDate]]&gt;Table2[[#This Row],[DueDate]],"Late",IF(Table2[[#This Row],[ReceivedDate]]&lt;Table2[[#This Row],[DueDate]],"Early","On Time")))</f>
        <v>Unpaid</v>
      </c>
    </row>
    <row r="346" spans="1:10" x14ac:dyDescent="0.3">
      <c r="A346" t="s">
        <v>367</v>
      </c>
      <c r="B346" t="s">
        <v>23</v>
      </c>
      <c r="C346" s="1">
        <v>45605</v>
      </c>
      <c r="D346" s="1">
        <v>45650</v>
      </c>
      <c r="E346" s="2">
        <v>6472.22</v>
      </c>
      <c r="F346" t="s">
        <v>28</v>
      </c>
      <c r="G346" t="s">
        <v>12</v>
      </c>
      <c r="I346" t="s">
        <v>13</v>
      </c>
      <c r="J346" t="str">
        <f>IF(ISBLANK(Table2[[#This Row],[ReceivedDate]]),"Unpaid",IF(Table2[[#This Row],[ReceivedDate]]&gt;Table2[[#This Row],[DueDate]],"Late",IF(Table2[[#This Row],[ReceivedDate]]&lt;Table2[[#This Row],[DueDate]],"Early","On Time")))</f>
        <v>Unpaid</v>
      </c>
    </row>
    <row r="347" spans="1:10" x14ac:dyDescent="0.3">
      <c r="A347" t="s">
        <v>368</v>
      </c>
      <c r="B347" t="s">
        <v>25</v>
      </c>
      <c r="C347" s="1">
        <v>45727</v>
      </c>
      <c r="D347" s="1">
        <v>45772</v>
      </c>
      <c r="E347" s="2">
        <v>3493.6</v>
      </c>
      <c r="F347" t="s">
        <v>28</v>
      </c>
      <c r="G347" t="s">
        <v>12</v>
      </c>
      <c r="I347" t="s">
        <v>13</v>
      </c>
      <c r="J347" t="str">
        <f>IF(ISBLANK(Table2[[#This Row],[ReceivedDate]]),"Unpaid",IF(Table2[[#This Row],[ReceivedDate]]&gt;Table2[[#This Row],[DueDate]],"Late",IF(Table2[[#This Row],[ReceivedDate]]&lt;Table2[[#This Row],[DueDate]],"Early","On Time")))</f>
        <v>Unpaid</v>
      </c>
    </row>
    <row r="348" spans="1:10" x14ac:dyDescent="0.3">
      <c r="A348" t="s">
        <v>369</v>
      </c>
      <c r="B348" t="s">
        <v>30</v>
      </c>
      <c r="C348" s="1">
        <v>45680</v>
      </c>
      <c r="D348" s="1">
        <v>45725</v>
      </c>
      <c r="E348" s="2">
        <v>547.94000000000005</v>
      </c>
      <c r="F348" t="s">
        <v>28</v>
      </c>
      <c r="G348" t="s">
        <v>17</v>
      </c>
      <c r="I348" t="s">
        <v>13</v>
      </c>
      <c r="J348" t="str">
        <f>IF(ISBLANK(Table2[[#This Row],[ReceivedDate]]),"Unpaid",IF(Table2[[#This Row],[ReceivedDate]]&gt;Table2[[#This Row],[DueDate]],"Late",IF(Table2[[#This Row],[ReceivedDate]]&lt;Table2[[#This Row],[DueDate]],"Early","On Time")))</f>
        <v>Unpaid</v>
      </c>
    </row>
    <row r="349" spans="1:10" x14ac:dyDescent="0.3">
      <c r="A349" t="s">
        <v>370</v>
      </c>
      <c r="B349" t="s">
        <v>10</v>
      </c>
      <c r="C349" s="1">
        <v>45638</v>
      </c>
      <c r="D349" s="1">
        <v>45683</v>
      </c>
      <c r="E349" s="2">
        <v>5276.49</v>
      </c>
      <c r="F349" t="s">
        <v>28</v>
      </c>
      <c r="G349" t="s">
        <v>17</v>
      </c>
      <c r="I349" t="s">
        <v>13</v>
      </c>
      <c r="J349" t="str">
        <f>IF(ISBLANK(Table2[[#This Row],[ReceivedDate]]),"Unpaid",IF(Table2[[#This Row],[ReceivedDate]]&gt;Table2[[#This Row],[DueDate]],"Late",IF(Table2[[#This Row],[ReceivedDate]]&lt;Table2[[#This Row],[DueDate]],"Early","On Time")))</f>
        <v>Unpaid</v>
      </c>
    </row>
    <row r="350" spans="1:10" x14ac:dyDescent="0.3">
      <c r="A350" t="s">
        <v>371</v>
      </c>
      <c r="B350" t="s">
        <v>30</v>
      </c>
      <c r="C350" s="1">
        <v>45402</v>
      </c>
      <c r="D350" s="1">
        <v>45447</v>
      </c>
      <c r="E350" s="2">
        <v>1752.5</v>
      </c>
      <c r="F350" t="s">
        <v>11</v>
      </c>
      <c r="G350" t="s">
        <v>12</v>
      </c>
      <c r="I350" t="s">
        <v>13</v>
      </c>
      <c r="J350" t="str">
        <f>IF(ISBLANK(Table2[[#This Row],[ReceivedDate]]),"Unpaid",IF(Table2[[#This Row],[ReceivedDate]]&gt;Table2[[#This Row],[DueDate]],"Late",IF(Table2[[#This Row],[ReceivedDate]]&lt;Table2[[#This Row],[DueDate]],"Early","On Time")))</f>
        <v>Unpaid</v>
      </c>
    </row>
    <row r="351" spans="1:10" x14ac:dyDescent="0.3">
      <c r="A351" t="s">
        <v>372</v>
      </c>
      <c r="B351" t="s">
        <v>30</v>
      </c>
      <c r="C351" s="1">
        <v>45827</v>
      </c>
      <c r="D351" s="1">
        <v>45872</v>
      </c>
      <c r="E351" s="2">
        <v>3580.72</v>
      </c>
      <c r="F351" t="s">
        <v>28</v>
      </c>
      <c r="G351" t="s">
        <v>17</v>
      </c>
      <c r="I351" t="s">
        <v>13</v>
      </c>
      <c r="J351" t="str">
        <f>IF(ISBLANK(Table2[[#This Row],[ReceivedDate]]),"Unpaid",IF(Table2[[#This Row],[ReceivedDate]]&gt;Table2[[#This Row],[DueDate]],"Late",IF(Table2[[#This Row],[ReceivedDate]]&lt;Table2[[#This Row],[DueDate]],"Early","On Time")))</f>
        <v>Unpaid</v>
      </c>
    </row>
    <row r="352" spans="1:10" x14ac:dyDescent="0.3">
      <c r="A352" t="s">
        <v>373</v>
      </c>
      <c r="B352" t="s">
        <v>15</v>
      </c>
      <c r="C352" s="1">
        <v>45162</v>
      </c>
      <c r="D352" s="1">
        <v>45207</v>
      </c>
      <c r="E352" s="2">
        <v>6738.75</v>
      </c>
      <c r="F352" t="s">
        <v>11</v>
      </c>
      <c r="G352" t="s">
        <v>17</v>
      </c>
      <c r="I352" t="s">
        <v>13</v>
      </c>
      <c r="J352" t="str">
        <f>IF(ISBLANK(Table2[[#This Row],[ReceivedDate]]),"Unpaid",IF(Table2[[#This Row],[ReceivedDate]]&gt;Table2[[#This Row],[DueDate]],"Late",IF(Table2[[#This Row],[ReceivedDate]]&lt;Table2[[#This Row],[DueDate]],"Early","On Time")))</f>
        <v>Unpaid</v>
      </c>
    </row>
    <row r="353" spans="1:10" x14ac:dyDescent="0.3">
      <c r="A353" t="s">
        <v>374</v>
      </c>
      <c r="B353" t="s">
        <v>15</v>
      </c>
      <c r="C353" s="1">
        <v>45371</v>
      </c>
      <c r="D353" s="1">
        <v>45416</v>
      </c>
      <c r="E353" s="2">
        <v>4258.67</v>
      </c>
      <c r="F353" t="s">
        <v>26</v>
      </c>
      <c r="G353" t="s">
        <v>21</v>
      </c>
      <c r="H353" s="1">
        <v>45416</v>
      </c>
      <c r="I353" t="s">
        <v>13</v>
      </c>
      <c r="J353" t="str">
        <f>IF(ISBLANK(Table2[[#This Row],[ReceivedDate]]),"Unpaid",IF(Table2[[#This Row],[ReceivedDate]]&gt;Table2[[#This Row],[DueDate]],"Late",IF(Table2[[#This Row],[ReceivedDate]]&lt;Table2[[#This Row],[DueDate]],"Early","On Time")))</f>
        <v>On Time</v>
      </c>
    </row>
    <row r="354" spans="1:10" x14ac:dyDescent="0.3">
      <c r="A354" t="s">
        <v>375</v>
      </c>
      <c r="B354" t="s">
        <v>15</v>
      </c>
      <c r="C354" s="1">
        <v>45609</v>
      </c>
      <c r="D354" s="1">
        <v>45654</v>
      </c>
      <c r="E354" s="2">
        <v>6586.55</v>
      </c>
      <c r="F354" t="s">
        <v>28</v>
      </c>
      <c r="G354" t="s">
        <v>21</v>
      </c>
      <c r="H354" s="1">
        <v>45654</v>
      </c>
      <c r="I354" t="s">
        <v>13</v>
      </c>
      <c r="J354" t="str">
        <f>IF(ISBLANK(Table2[[#This Row],[ReceivedDate]]),"Unpaid",IF(Table2[[#This Row],[ReceivedDate]]&gt;Table2[[#This Row],[DueDate]],"Late",IF(Table2[[#This Row],[ReceivedDate]]&lt;Table2[[#This Row],[DueDate]],"Early","On Time")))</f>
        <v>On Time</v>
      </c>
    </row>
    <row r="355" spans="1:10" x14ac:dyDescent="0.3">
      <c r="A355" t="s">
        <v>376</v>
      </c>
      <c r="B355" t="s">
        <v>25</v>
      </c>
      <c r="C355" s="1">
        <v>45427</v>
      </c>
      <c r="D355" s="1">
        <v>45472</v>
      </c>
      <c r="E355" s="2">
        <v>6004.91</v>
      </c>
      <c r="F355" t="s">
        <v>16</v>
      </c>
      <c r="G355" t="s">
        <v>17</v>
      </c>
      <c r="I355" t="s">
        <v>13</v>
      </c>
      <c r="J355" t="str">
        <f>IF(ISBLANK(Table2[[#This Row],[ReceivedDate]]),"Unpaid",IF(Table2[[#This Row],[ReceivedDate]]&gt;Table2[[#This Row],[DueDate]],"Late",IF(Table2[[#This Row],[ReceivedDate]]&lt;Table2[[#This Row],[DueDate]],"Early","On Time")))</f>
        <v>Unpaid</v>
      </c>
    </row>
    <row r="356" spans="1:10" x14ac:dyDescent="0.3">
      <c r="A356" t="s">
        <v>377</v>
      </c>
      <c r="B356" t="s">
        <v>15</v>
      </c>
      <c r="C356" s="1">
        <v>44974</v>
      </c>
      <c r="D356" s="1">
        <v>45019</v>
      </c>
      <c r="E356" s="2">
        <v>7397.93</v>
      </c>
      <c r="F356" t="s">
        <v>11</v>
      </c>
      <c r="G356" t="s">
        <v>12</v>
      </c>
      <c r="I356" t="s">
        <v>13</v>
      </c>
      <c r="J356" t="str">
        <f>IF(ISBLANK(Table2[[#This Row],[ReceivedDate]]),"Unpaid",IF(Table2[[#This Row],[ReceivedDate]]&gt;Table2[[#This Row],[DueDate]],"Late",IF(Table2[[#This Row],[ReceivedDate]]&lt;Table2[[#This Row],[DueDate]],"Early","On Time")))</f>
        <v>Unpaid</v>
      </c>
    </row>
    <row r="357" spans="1:10" x14ac:dyDescent="0.3">
      <c r="A357" t="s">
        <v>378</v>
      </c>
      <c r="B357" t="s">
        <v>25</v>
      </c>
      <c r="C357" s="1">
        <v>45160</v>
      </c>
      <c r="D357" s="1">
        <v>45205</v>
      </c>
      <c r="E357" s="2">
        <v>3933.54</v>
      </c>
      <c r="F357" t="s">
        <v>26</v>
      </c>
      <c r="G357" t="s">
        <v>21</v>
      </c>
      <c r="H357" s="1">
        <v>45205</v>
      </c>
      <c r="I357" t="s">
        <v>13</v>
      </c>
      <c r="J357" t="str">
        <f>IF(ISBLANK(Table2[[#This Row],[ReceivedDate]]),"Unpaid",IF(Table2[[#This Row],[ReceivedDate]]&gt;Table2[[#This Row],[DueDate]],"Late",IF(Table2[[#This Row],[ReceivedDate]]&lt;Table2[[#This Row],[DueDate]],"Early","On Time")))</f>
        <v>On Time</v>
      </c>
    </row>
    <row r="358" spans="1:10" x14ac:dyDescent="0.3">
      <c r="A358" t="s">
        <v>379</v>
      </c>
      <c r="B358" t="s">
        <v>30</v>
      </c>
      <c r="C358" s="1">
        <v>45115</v>
      </c>
      <c r="D358" s="1">
        <v>45160</v>
      </c>
      <c r="E358" s="2">
        <v>2855.08</v>
      </c>
      <c r="F358" t="s">
        <v>19</v>
      </c>
      <c r="G358" t="s">
        <v>21</v>
      </c>
      <c r="H358" s="1">
        <v>45160</v>
      </c>
      <c r="I358" t="s">
        <v>13</v>
      </c>
      <c r="J358" t="str">
        <f>IF(ISBLANK(Table2[[#This Row],[ReceivedDate]]),"Unpaid",IF(Table2[[#This Row],[ReceivedDate]]&gt;Table2[[#This Row],[DueDate]],"Late",IF(Table2[[#This Row],[ReceivedDate]]&lt;Table2[[#This Row],[DueDate]],"Early","On Time")))</f>
        <v>On Time</v>
      </c>
    </row>
    <row r="359" spans="1:10" x14ac:dyDescent="0.3">
      <c r="A359" t="s">
        <v>380</v>
      </c>
      <c r="B359" t="s">
        <v>25</v>
      </c>
      <c r="C359" s="1">
        <v>45094</v>
      </c>
      <c r="D359" s="1">
        <v>45139</v>
      </c>
      <c r="E359" s="2">
        <v>1949.39</v>
      </c>
      <c r="F359" t="s">
        <v>16</v>
      </c>
      <c r="G359" t="s">
        <v>21</v>
      </c>
      <c r="H359" s="1">
        <v>45139</v>
      </c>
      <c r="I359" t="s">
        <v>13</v>
      </c>
      <c r="J359" t="str">
        <f>IF(ISBLANK(Table2[[#This Row],[ReceivedDate]]),"Unpaid",IF(Table2[[#This Row],[ReceivedDate]]&gt;Table2[[#This Row],[DueDate]],"Late",IF(Table2[[#This Row],[ReceivedDate]]&lt;Table2[[#This Row],[DueDate]],"Early","On Time")))</f>
        <v>On Time</v>
      </c>
    </row>
    <row r="360" spans="1:10" x14ac:dyDescent="0.3">
      <c r="A360" t="s">
        <v>381</v>
      </c>
      <c r="B360" t="s">
        <v>15</v>
      </c>
      <c r="C360" s="1">
        <v>45205</v>
      </c>
      <c r="D360" s="1">
        <v>45250</v>
      </c>
      <c r="E360" s="2">
        <v>6683.45</v>
      </c>
      <c r="F360" t="s">
        <v>26</v>
      </c>
      <c r="G360" t="s">
        <v>17</v>
      </c>
      <c r="I360" t="s">
        <v>13</v>
      </c>
      <c r="J360" t="str">
        <f>IF(ISBLANK(Table2[[#This Row],[ReceivedDate]]),"Unpaid",IF(Table2[[#This Row],[ReceivedDate]]&gt;Table2[[#This Row],[DueDate]],"Late",IF(Table2[[#This Row],[ReceivedDate]]&lt;Table2[[#This Row],[DueDate]],"Early","On Time")))</f>
        <v>Unpaid</v>
      </c>
    </row>
    <row r="361" spans="1:10" x14ac:dyDescent="0.3">
      <c r="A361" t="s">
        <v>382</v>
      </c>
      <c r="B361" t="s">
        <v>15</v>
      </c>
      <c r="C361" s="1">
        <v>45298</v>
      </c>
      <c r="D361" s="1">
        <v>45343</v>
      </c>
      <c r="E361" s="2">
        <v>4920.13</v>
      </c>
      <c r="F361" t="s">
        <v>16</v>
      </c>
      <c r="G361" t="s">
        <v>21</v>
      </c>
      <c r="H361" s="1">
        <v>45343</v>
      </c>
      <c r="I361" t="s">
        <v>13</v>
      </c>
      <c r="J361" t="str">
        <f>IF(ISBLANK(Table2[[#This Row],[ReceivedDate]]),"Unpaid",IF(Table2[[#This Row],[ReceivedDate]]&gt;Table2[[#This Row],[DueDate]],"Late",IF(Table2[[#This Row],[ReceivedDate]]&lt;Table2[[#This Row],[DueDate]],"Early","On Time")))</f>
        <v>On Time</v>
      </c>
    </row>
    <row r="362" spans="1:10" x14ac:dyDescent="0.3">
      <c r="A362" t="s">
        <v>383</v>
      </c>
      <c r="B362" t="s">
        <v>30</v>
      </c>
      <c r="C362" s="1">
        <v>45210</v>
      </c>
      <c r="D362" s="1">
        <v>45255</v>
      </c>
      <c r="E362" s="2">
        <v>6345.32</v>
      </c>
      <c r="F362" t="s">
        <v>11</v>
      </c>
      <c r="G362" t="s">
        <v>17</v>
      </c>
      <c r="I362" t="s">
        <v>13</v>
      </c>
      <c r="J362" t="str">
        <f>IF(ISBLANK(Table2[[#This Row],[ReceivedDate]]),"Unpaid",IF(Table2[[#This Row],[ReceivedDate]]&gt;Table2[[#This Row],[DueDate]],"Late",IF(Table2[[#This Row],[ReceivedDate]]&lt;Table2[[#This Row],[DueDate]],"Early","On Time")))</f>
        <v>Unpaid</v>
      </c>
    </row>
    <row r="363" spans="1:10" x14ac:dyDescent="0.3">
      <c r="A363" t="s">
        <v>384</v>
      </c>
      <c r="B363" t="s">
        <v>30</v>
      </c>
      <c r="C363" s="1">
        <v>45774</v>
      </c>
      <c r="D363" s="1">
        <v>45819</v>
      </c>
      <c r="E363" s="2">
        <v>5576.91</v>
      </c>
      <c r="F363" t="s">
        <v>28</v>
      </c>
      <c r="G363" t="s">
        <v>21</v>
      </c>
      <c r="H363" s="1">
        <v>45819</v>
      </c>
      <c r="I363" t="s">
        <v>13</v>
      </c>
      <c r="J363" t="str">
        <f>IF(ISBLANK(Table2[[#This Row],[ReceivedDate]]),"Unpaid",IF(Table2[[#This Row],[ReceivedDate]]&gt;Table2[[#This Row],[DueDate]],"Late",IF(Table2[[#This Row],[ReceivedDate]]&lt;Table2[[#This Row],[DueDate]],"Early","On Time")))</f>
        <v>On Time</v>
      </c>
    </row>
    <row r="364" spans="1:10" x14ac:dyDescent="0.3">
      <c r="A364" t="s">
        <v>385</v>
      </c>
      <c r="B364" t="s">
        <v>10</v>
      </c>
      <c r="C364" s="1">
        <v>45776</v>
      </c>
      <c r="D364" s="1">
        <v>45821</v>
      </c>
      <c r="E364" s="2">
        <v>6384.66</v>
      </c>
      <c r="F364" t="s">
        <v>28</v>
      </c>
      <c r="G364" t="s">
        <v>12</v>
      </c>
      <c r="I364" t="s">
        <v>13</v>
      </c>
      <c r="J364" t="str">
        <f>IF(ISBLANK(Table2[[#This Row],[ReceivedDate]]),"Unpaid",IF(Table2[[#This Row],[ReceivedDate]]&gt;Table2[[#This Row],[DueDate]],"Late",IF(Table2[[#This Row],[ReceivedDate]]&lt;Table2[[#This Row],[DueDate]],"Early","On Time")))</f>
        <v>Unpaid</v>
      </c>
    </row>
    <row r="365" spans="1:10" x14ac:dyDescent="0.3">
      <c r="A365" t="s">
        <v>386</v>
      </c>
      <c r="B365" t="s">
        <v>23</v>
      </c>
      <c r="C365" s="1">
        <v>45326</v>
      </c>
      <c r="D365" s="1">
        <v>45371</v>
      </c>
      <c r="E365" s="2">
        <v>7693.54</v>
      </c>
      <c r="F365" t="s">
        <v>28</v>
      </c>
      <c r="G365" t="s">
        <v>12</v>
      </c>
      <c r="I365" t="s">
        <v>13</v>
      </c>
      <c r="J365" t="str">
        <f>IF(ISBLANK(Table2[[#This Row],[ReceivedDate]]),"Unpaid",IF(Table2[[#This Row],[ReceivedDate]]&gt;Table2[[#This Row],[DueDate]],"Late",IF(Table2[[#This Row],[ReceivedDate]]&lt;Table2[[#This Row],[DueDate]],"Early","On Time")))</f>
        <v>Unpaid</v>
      </c>
    </row>
    <row r="366" spans="1:10" x14ac:dyDescent="0.3">
      <c r="A366" t="s">
        <v>387</v>
      </c>
      <c r="B366" t="s">
        <v>23</v>
      </c>
      <c r="C366" s="1">
        <v>45173</v>
      </c>
      <c r="D366" s="1">
        <v>45218</v>
      </c>
      <c r="E366" s="2">
        <v>6624.35</v>
      </c>
      <c r="F366" t="s">
        <v>28</v>
      </c>
      <c r="G366" t="s">
        <v>12</v>
      </c>
      <c r="I366" t="s">
        <v>13</v>
      </c>
      <c r="J366" t="str">
        <f>IF(ISBLANK(Table2[[#This Row],[ReceivedDate]]),"Unpaid",IF(Table2[[#This Row],[ReceivedDate]]&gt;Table2[[#This Row],[DueDate]],"Late",IF(Table2[[#This Row],[ReceivedDate]]&lt;Table2[[#This Row],[DueDate]],"Early","On Time")))</f>
        <v>Unpaid</v>
      </c>
    </row>
    <row r="367" spans="1:10" x14ac:dyDescent="0.3">
      <c r="A367" t="s">
        <v>388</v>
      </c>
      <c r="B367" t="s">
        <v>25</v>
      </c>
      <c r="C367" s="1">
        <v>45780</v>
      </c>
      <c r="D367" s="1">
        <v>45825</v>
      </c>
      <c r="E367" s="2">
        <v>5486.28</v>
      </c>
      <c r="F367" t="s">
        <v>16</v>
      </c>
      <c r="G367" t="s">
        <v>21</v>
      </c>
      <c r="H367" s="1">
        <v>45825</v>
      </c>
      <c r="I367" t="s">
        <v>13</v>
      </c>
      <c r="J367" t="str">
        <f>IF(ISBLANK(Table2[[#This Row],[ReceivedDate]]),"Unpaid",IF(Table2[[#This Row],[ReceivedDate]]&gt;Table2[[#This Row],[DueDate]],"Late",IF(Table2[[#This Row],[ReceivedDate]]&lt;Table2[[#This Row],[DueDate]],"Early","On Time")))</f>
        <v>On Time</v>
      </c>
    </row>
    <row r="368" spans="1:10" x14ac:dyDescent="0.3">
      <c r="A368" t="s">
        <v>389</v>
      </c>
      <c r="B368" t="s">
        <v>25</v>
      </c>
      <c r="C368" s="1">
        <v>45360</v>
      </c>
      <c r="D368" s="1">
        <v>45405</v>
      </c>
      <c r="E368" s="2">
        <v>5222.63</v>
      </c>
      <c r="F368" t="s">
        <v>19</v>
      </c>
      <c r="G368" t="s">
        <v>21</v>
      </c>
      <c r="H368" s="1">
        <v>45405</v>
      </c>
      <c r="I368" t="s">
        <v>13</v>
      </c>
      <c r="J368" t="str">
        <f>IF(ISBLANK(Table2[[#This Row],[ReceivedDate]]),"Unpaid",IF(Table2[[#This Row],[ReceivedDate]]&gt;Table2[[#This Row],[DueDate]],"Late",IF(Table2[[#This Row],[ReceivedDate]]&lt;Table2[[#This Row],[DueDate]],"Early","On Time")))</f>
        <v>On Time</v>
      </c>
    </row>
    <row r="369" spans="1:10" x14ac:dyDescent="0.3">
      <c r="A369" t="s">
        <v>390</v>
      </c>
      <c r="B369" t="s">
        <v>23</v>
      </c>
      <c r="C369" s="1">
        <v>45334</v>
      </c>
      <c r="D369" s="1">
        <v>45379</v>
      </c>
      <c r="E369" s="2">
        <v>7734.3</v>
      </c>
      <c r="F369" t="s">
        <v>16</v>
      </c>
      <c r="G369" t="s">
        <v>21</v>
      </c>
      <c r="H369" s="1">
        <v>45379</v>
      </c>
      <c r="I369" t="s">
        <v>13</v>
      </c>
      <c r="J369" t="str">
        <f>IF(ISBLANK(Table2[[#This Row],[ReceivedDate]]),"Unpaid",IF(Table2[[#This Row],[ReceivedDate]]&gt;Table2[[#This Row],[DueDate]],"Late",IF(Table2[[#This Row],[ReceivedDate]]&lt;Table2[[#This Row],[DueDate]],"Early","On Time")))</f>
        <v>On Time</v>
      </c>
    </row>
    <row r="370" spans="1:10" x14ac:dyDescent="0.3">
      <c r="A370" t="s">
        <v>391</v>
      </c>
      <c r="B370" t="s">
        <v>30</v>
      </c>
      <c r="C370" s="1">
        <v>44945</v>
      </c>
      <c r="D370" s="1">
        <v>44990</v>
      </c>
      <c r="E370" s="2">
        <v>6594.56</v>
      </c>
      <c r="F370" t="s">
        <v>26</v>
      </c>
      <c r="G370" t="s">
        <v>12</v>
      </c>
      <c r="I370" t="s">
        <v>13</v>
      </c>
      <c r="J370" t="str">
        <f>IF(ISBLANK(Table2[[#This Row],[ReceivedDate]]),"Unpaid",IF(Table2[[#This Row],[ReceivedDate]]&gt;Table2[[#This Row],[DueDate]],"Late",IF(Table2[[#This Row],[ReceivedDate]]&lt;Table2[[#This Row],[DueDate]],"Early","On Time")))</f>
        <v>Unpaid</v>
      </c>
    </row>
    <row r="371" spans="1:10" x14ac:dyDescent="0.3">
      <c r="A371" t="s">
        <v>392</v>
      </c>
      <c r="B371" t="s">
        <v>10</v>
      </c>
      <c r="C371" s="1">
        <v>45263</v>
      </c>
      <c r="D371" s="1">
        <v>45308</v>
      </c>
      <c r="E371" s="2">
        <v>1143.42</v>
      </c>
      <c r="F371" t="s">
        <v>16</v>
      </c>
      <c r="G371" t="s">
        <v>17</v>
      </c>
      <c r="I371" t="s">
        <v>13</v>
      </c>
      <c r="J371" t="str">
        <f>IF(ISBLANK(Table2[[#This Row],[ReceivedDate]]),"Unpaid",IF(Table2[[#This Row],[ReceivedDate]]&gt;Table2[[#This Row],[DueDate]],"Late",IF(Table2[[#This Row],[ReceivedDate]]&lt;Table2[[#This Row],[DueDate]],"Early","On Time")))</f>
        <v>Unpaid</v>
      </c>
    </row>
    <row r="372" spans="1:10" x14ac:dyDescent="0.3">
      <c r="A372" t="s">
        <v>393</v>
      </c>
      <c r="B372" t="s">
        <v>25</v>
      </c>
      <c r="C372" s="1">
        <v>45693</v>
      </c>
      <c r="D372" s="1">
        <v>45738</v>
      </c>
      <c r="E372" s="2">
        <v>4928.9399999999996</v>
      </c>
      <c r="F372" t="s">
        <v>19</v>
      </c>
      <c r="G372" t="s">
        <v>12</v>
      </c>
      <c r="I372" t="s">
        <v>13</v>
      </c>
      <c r="J372" t="str">
        <f>IF(ISBLANK(Table2[[#This Row],[ReceivedDate]]),"Unpaid",IF(Table2[[#This Row],[ReceivedDate]]&gt;Table2[[#This Row],[DueDate]],"Late",IF(Table2[[#This Row],[ReceivedDate]]&lt;Table2[[#This Row],[DueDate]],"Early","On Time")))</f>
        <v>Unpaid</v>
      </c>
    </row>
    <row r="373" spans="1:10" x14ac:dyDescent="0.3">
      <c r="A373" t="s">
        <v>394</v>
      </c>
      <c r="B373" t="s">
        <v>30</v>
      </c>
      <c r="C373" s="1">
        <v>44928</v>
      </c>
      <c r="D373" s="1">
        <v>44973</v>
      </c>
      <c r="E373" s="2">
        <v>1440.91</v>
      </c>
      <c r="F373" t="s">
        <v>26</v>
      </c>
      <c r="G373" t="s">
        <v>12</v>
      </c>
      <c r="I373" t="s">
        <v>13</v>
      </c>
      <c r="J373" t="str">
        <f>IF(ISBLANK(Table2[[#This Row],[ReceivedDate]]),"Unpaid",IF(Table2[[#This Row],[ReceivedDate]]&gt;Table2[[#This Row],[DueDate]],"Late",IF(Table2[[#This Row],[ReceivedDate]]&lt;Table2[[#This Row],[DueDate]],"Early","On Time")))</f>
        <v>Unpaid</v>
      </c>
    </row>
    <row r="374" spans="1:10" x14ac:dyDescent="0.3">
      <c r="A374" t="s">
        <v>395</v>
      </c>
      <c r="B374" t="s">
        <v>10</v>
      </c>
      <c r="C374" s="1">
        <v>45414</v>
      </c>
      <c r="D374" s="1">
        <v>45459</v>
      </c>
      <c r="E374" s="2">
        <v>1344.24</v>
      </c>
      <c r="F374" t="s">
        <v>28</v>
      </c>
      <c r="G374" t="s">
        <v>21</v>
      </c>
      <c r="H374" s="1">
        <v>45459</v>
      </c>
      <c r="I374" t="s">
        <v>13</v>
      </c>
      <c r="J374" t="str">
        <f>IF(ISBLANK(Table2[[#This Row],[ReceivedDate]]),"Unpaid",IF(Table2[[#This Row],[ReceivedDate]]&gt;Table2[[#This Row],[DueDate]],"Late",IF(Table2[[#This Row],[ReceivedDate]]&lt;Table2[[#This Row],[DueDate]],"Early","On Time")))</f>
        <v>On Time</v>
      </c>
    </row>
    <row r="375" spans="1:10" x14ac:dyDescent="0.3">
      <c r="A375" t="s">
        <v>396</v>
      </c>
      <c r="B375" t="s">
        <v>30</v>
      </c>
      <c r="C375" s="1">
        <v>45643</v>
      </c>
      <c r="D375" s="1">
        <v>45688</v>
      </c>
      <c r="E375" s="2">
        <v>7404.05</v>
      </c>
      <c r="F375" t="s">
        <v>28</v>
      </c>
      <c r="G375" t="s">
        <v>21</v>
      </c>
      <c r="H375" s="1">
        <v>45688</v>
      </c>
      <c r="I375" t="s">
        <v>13</v>
      </c>
      <c r="J375" t="str">
        <f>IF(ISBLANK(Table2[[#This Row],[ReceivedDate]]),"Unpaid",IF(Table2[[#This Row],[ReceivedDate]]&gt;Table2[[#This Row],[DueDate]],"Late",IF(Table2[[#This Row],[ReceivedDate]]&lt;Table2[[#This Row],[DueDate]],"Early","On Time")))</f>
        <v>On Time</v>
      </c>
    </row>
    <row r="376" spans="1:10" x14ac:dyDescent="0.3">
      <c r="A376" t="s">
        <v>397</v>
      </c>
      <c r="B376" t="s">
        <v>10</v>
      </c>
      <c r="C376" s="1">
        <v>45133</v>
      </c>
      <c r="D376" s="1">
        <v>45178</v>
      </c>
      <c r="E376" s="2">
        <v>6282.2</v>
      </c>
      <c r="F376" t="s">
        <v>11</v>
      </c>
      <c r="G376" t="s">
        <v>21</v>
      </c>
      <c r="H376" s="1">
        <v>45178</v>
      </c>
      <c r="I376" t="s">
        <v>13</v>
      </c>
      <c r="J376" t="str">
        <f>IF(ISBLANK(Table2[[#This Row],[ReceivedDate]]),"Unpaid",IF(Table2[[#This Row],[ReceivedDate]]&gt;Table2[[#This Row],[DueDate]],"Late",IF(Table2[[#This Row],[ReceivedDate]]&lt;Table2[[#This Row],[DueDate]],"Early","On Time")))</f>
        <v>On Time</v>
      </c>
    </row>
    <row r="377" spans="1:10" x14ac:dyDescent="0.3">
      <c r="A377" t="s">
        <v>398</v>
      </c>
      <c r="B377" t="s">
        <v>30</v>
      </c>
      <c r="C377" s="1">
        <v>45453</v>
      </c>
      <c r="D377" s="1">
        <v>45498</v>
      </c>
      <c r="E377" s="2">
        <v>1827.23</v>
      </c>
      <c r="F377" t="s">
        <v>26</v>
      </c>
      <c r="G377" t="s">
        <v>12</v>
      </c>
      <c r="I377" t="s">
        <v>13</v>
      </c>
      <c r="J377" t="str">
        <f>IF(ISBLANK(Table2[[#This Row],[ReceivedDate]]),"Unpaid",IF(Table2[[#This Row],[ReceivedDate]]&gt;Table2[[#This Row],[DueDate]],"Late",IF(Table2[[#This Row],[ReceivedDate]]&lt;Table2[[#This Row],[DueDate]],"Early","On Time")))</f>
        <v>Unpaid</v>
      </c>
    </row>
    <row r="378" spans="1:10" x14ac:dyDescent="0.3">
      <c r="A378" t="s">
        <v>399</v>
      </c>
      <c r="B378" t="s">
        <v>30</v>
      </c>
      <c r="C378" s="1">
        <v>45055</v>
      </c>
      <c r="D378" s="1">
        <v>45100</v>
      </c>
      <c r="E378" s="2">
        <v>5781.9</v>
      </c>
      <c r="F378" t="s">
        <v>16</v>
      </c>
      <c r="G378" t="s">
        <v>21</v>
      </c>
      <c r="H378" s="1">
        <v>45100</v>
      </c>
      <c r="I378" t="s">
        <v>13</v>
      </c>
      <c r="J378" t="str">
        <f>IF(ISBLANK(Table2[[#This Row],[ReceivedDate]]),"Unpaid",IF(Table2[[#This Row],[ReceivedDate]]&gt;Table2[[#This Row],[DueDate]],"Late",IF(Table2[[#This Row],[ReceivedDate]]&lt;Table2[[#This Row],[DueDate]],"Early","On Time")))</f>
        <v>On Time</v>
      </c>
    </row>
    <row r="379" spans="1:10" x14ac:dyDescent="0.3">
      <c r="A379" t="s">
        <v>400</v>
      </c>
      <c r="B379" t="s">
        <v>10</v>
      </c>
      <c r="C379" s="1">
        <v>45541</v>
      </c>
      <c r="D379" s="1">
        <v>45586</v>
      </c>
      <c r="E379" s="2">
        <v>3694.12</v>
      </c>
      <c r="F379" t="s">
        <v>26</v>
      </c>
      <c r="G379" t="s">
        <v>17</v>
      </c>
      <c r="I379" t="s">
        <v>13</v>
      </c>
      <c r="J379" t="str">
        <f>IF(ISBLANK(Table2[[#This Row],[ReceivedDate]]),"Unpaid",IF(Table2[[#This Row],[ReceivedDate]]&gt;Table2[[#This Row],[DueDate]],"Late",IF(Table2[[#This Row],[ReceivedDate]]&lt;Table2[[#This Row],[DueDate]],"Early","On Time")))</f>
        <v>Unpaid</v>
      </c>
    </row>
    <row r="380" spans="1:10" x14ac:dyDescent="0.3">
      <c r="A380" t="s">
        <v>401</v>
      </c>
      <c r="B380" t="s">
        <v>30</v>
      </c>
      <c r="C380" s="1">
        <v>45572</v>
      </c>
      <c r="D380" s="1">
        <v>45617</v>
      </c>
      <c r="E380" s="2">
        <v>2959.37</v>
      </c>
      <c r="F380" t="s">
        <v>28</v>
      </c>
      <c r="G380" t="s">
        <v>21</v>
      </c>
      <c r="H380" s="1">
        <v>45617</v>
      </c>
      <c r="I380" t="s">
        <v>13</v>
      </c>
      <c r="J380" t="str">
        <f>IF(ISBLANK(Table2[[#This Row],[ReceivedDate]]),"Unpaid",IF(Table2[[#This Row],[ReceivedDate]]&gt;Table2[[#This Row],[DueDate]],"Late",IF(Table2[[#This Row],[ReceivedDate]]&lt;Table2[[#This Row],[DueDate]],"Early","On Time")))</f>
        <v>On Time</v>
      </c>
    </row>
    <row r="381" spans="1:10" x14ac:dyDescent="0.3">
      <c r="A381" t="s">
        <v>402</v>
      </c>
      <c r="B381" t="s">
        <v>30</v>
      </c>
      <c r="C381" s="1">
        <v>45301</v>
      </c>
      <c r="D381" s="1">
        <v>45346</v>
      </c>
      <c r="E381" s="2">
        <v>7215.28</v>
      </c>
      <c r="F381" t="s">
        <v>11</v>
      </c>
      <c r="G381" t="s">
        <v>21</v>
      </c>
      <c r="H381" s="1">
        <v>45346</v>
      </c>
      <c r="I381" t="s">
        <v>13</v>
      </c>
      <c r="J381" t="str">
        <f>IF(ISBLANK(Table2[[#This Row],[ReceivedDate]]),"Unpaid",IF(Table2[[#This Row],[ReceivedDate]]&gt;Table2[[#This Row],[DueDate]],"Late",IF(Table2[[#This Row],[ReceivedDate]]&lt;Table2[[#This Row],[DueDate]],"Early","On Time")))</f>
        <v>On Time</v>
      </c>
    </row>
    <row r="382" spans="1:10" x14ac:dyDescent="0.3">
      <c r="A382" t="s">
        <v>403</v>
      </c>
      <c r="B382" t="s">
        <v>25</v>
      </c>
      <c r="C382" s="1">
        <v>45288</v>
      </c>
      <c r="D382" s="1">
        <v>45333</v>
      </c>
      <c r="E382" s="2">
        <v>5960.58</v>
      </c>
      <c r="F382" t="s">
        <v>11</v>
      </c>
      <c r="G382" t="s">
        <v>21</v>
      </c>
      <c r="H382" s="1">
        <v>45333</v>
      </c>
      <c r="I382" t="s">
        <v>13</v>
      </c>
      <c r="J382" t="str">
        <f>IF(ISBLANK(Table2[[#This Row],[ReceivedDate]]),"Unpaid",IF(Table2[[#This Row],[ReceivedDate]]&gt;Table2[[#This Row],[DueDate]],"Late",IF(Table2[[#This Row],[ReceivedDate]]&lt;Table2[[#This Row],[DueDate]],"Early","On Time")))</f>
        <v>On Time</v>
      </c>
    </row>
    <row r="383" spans="1:10" x14ac:dyDescent="0.3">
      <c r="A383" t="s">
        <v>404</v>
      </c>
      <c r="B383" t="s">
        <v>25</v>
      </c>
      <c r="C383" s="1">
        <v>45401</v>
      </c>
      <c r="D383" s="1">
        <v>45446</v>
      </c>
      <c r="E383" s="2">
        <v>1497.93</v>
      </c>
      <c r="F383" t="s">
        <v>19</v>
      </c>
      <c r="G383" t="s">
        <v>21</v>
      </c>
      <c r="H383" s="1">
        <v>45446</v>
      </c>
      <c r="I383" t="s">
        <v>13</v>
      </c>
      <c r="J383" t="str">
        <f>IF(ISBLANK(Table2[[#This Row],[ReceivedDate]]),"Unpaid",IF(Table2[[#This Row],[ReceivedDate]]&gt;Table2[[#This Row],[DueDate]],"Late",IF(Table2[[#This Row],[ReceivedDate]]&lt;Table2[[#This Row],[DueDate]],"Early","On Time")))</f>
        <v>On Time</v>
      </c>
    </row>
    <row r="384" spans="1:10" x14ac:dyDescent="0.3">
      <c r="A384" t="s">
        <v>405</v>
      </c>
      <c r="B384" t="s">
        <v>30</v>
      </c>
      <c r="C384" s="1">
        <v>45518</v>
      </c>
      <c r="D384" s="1">
        <v>45563</v>
      </c>
      <c r="E384" s="2">
        <v>2691.8</v>
      </c>
      <c r="F384" t="s">
        <v>28</v>
      </c>
      <c r="G384" t="s">
        <v>12</v>
      </c>
      <c r="I384" t="s">
        <v>13</v>
      </c>
      <c r="J384" t="str">
        <f>IF(ISBLANK(Table2[[#This Row],[ReceivedDate]]),"Unpaid",IF(Table2[[#This Row],[ReceivedDate]]&gt;Table2[[#This Row],[DueDate]],"Late",IF(Table2[[#This Row],[ReceivedDate]]&lt;Table2[[#This Row],[DueDate]],"Early","On Time")))</f>
        <v>Unpaid</v>
      </c>
    </row>
    <row r="385" spans="1:10" x14ac:dyDescent="0.3">
      <c r="A385" t="s">
        <v>406</v>
      </c>
      <c r="B385" t="s">
        <v>25</v>
      </c>
      <c r="C385" s="1">
        <v>45148</v>
      </c>
      <c r="D385" s="1">
        <v>45193</v>
      </c>
      <c r="E385" s="2">
        <v>607.58000000000004</v>
      </c>
      <c r="F385" t="s">
        <v>19</v>
      </c>
      <c r="G385" t="s">
        <v>17</v>
      </c>
      <c r="I385" t="s">
        <v>13</v>
      </c>
      <c r="J385" t="str">
        <f>IF(ISBLANK(Table2[[#This Row],[ReceivedDate]]),"Unpaid",IF(Table2[[#This Row],[ReceivedDate]]&gt;Table2[[#This Row],[DueDate]],"Late",IF(Table2[[#This Row],[ReceivedDate]]&lt;Table2[[#This Row],[DueDate]],"Early","On Time")))</f>
        <v>Unpaid</v>
      </c>
    </row>
    <row r="386" spans="1:10" x14ac:dyDescent="0.3">
      <c r="A386" t="s">
        <v>407</v>
      </c>
      <c r="B386" t="s">
        <v>25</v>
      </c>
      <c r="C386" s="1">
        <v>45124</v>
      </c>
      <c r="D386" s="1">
        <v>45169</v>
      </c>
      <c r="E386" s="2">
        <v>6330.55</v>
      </c>
      <c r="F386" t="s">
        <v>16</v>
      </c>
      <c r="G386" t="s">
        <v>17</v>
      </c>
      <c r="I386" t="s">
        <v>13</v>
      </c>
      <c r="J386" t="str">
        <f>IF(ISBLANK(Table2[[#This Row],[ReceivedDate]]),"Unpaid",IF(Table2[[#This Row],[ReceivedDate]]&gt;Table2[[#This Row],[DueDate]],"Late",IF(Table2[[#This Row],[ReceivedDate]]&lt;Table2[[#This Row],[DueDate]],"Early","On Time")))</f>
        <v>Unpaid</v>
      </c>
    </row>
    <row r="387" spans="1:10" x14ac:dyDescent="0.3">
      <c r="A387" t="s">
        <v>408</v>
      </c>
      <c r="B387" t="s">
        <v>10</v>
      </c>
      <c r="C387" s="1">
        <v>45056</v>
      </c>
      <c r="D387" s="1">
        <v>45101</v>
      </c>
      <c r="E387" s="2">
        <v>3116.61</v>
      </c>
      <c r="F387" t="s">
        <v>28</v>
      </c>
      <c r="G387" t="s">
        <v>17</v>
      </c>
      <c r="I387" t="s">
        <v>13</v>
      </c>
      <c r="J387" t="str">
        <f>IF(ISBLANK(Table2[[#This Row],[ReceivedDate]]),"Unpaid",IF(Table2[[#This Row],[ReceivedDate]]&gt;Table2[[#This Row],[DueDate]],"Late",IF(Table2[[#This Row],[ReceivedDate]]&lt;Table2[[#This Row],[DueDate]],"Early","On Time")))</f>
        <v>Unpaid</v>
      </c>
    </row>
    <row r="388" spans="1:10" x14ac:dyDescent="0.3">
      <c r="A388" t="s">
        <v>409</v>
      </c>
      <c r="B388" t="s">
        <v>15</v>
      </c>
      <c r="C388" s="1">
        <v>44947</v>
      </c>
      <c r="D388" s="1">
        <v>44992</v>
      </c>
      <c r="E388" s="2">
        <v>3804.81</v>
      </c>
      <c r="F388" t="s">
        <v>26</v>
      </c>
      <c r="G388" t="s">
        <v>17</v>
      </c>
      <c r="I388" t="s">
        <v>13</v>
      </c>
      <c r="J388" t="str">
        <f>IF(ISBLANK(Table2[[#This Row],[ReceivedDate]]),"Unpaid",IF(Table2[[#This Row],[ReceivedDate]]&gt;Table2[[#This Row],[DueDate]],"Late",IF(Table2[[#This Row],[ReceivedDate]]&lt;Table2[[#This Row],[DueDate]],"Early","On Time")))</f>
        <v>Unpaid</v>
      </c>
    </row>
    <row r="389" spans="1:10" x14ac:dyDescent="0.3">
      <c r="A389" t="s">
        <v>410</v>
      </c>
      <c r="B389" t="s">
        <v>30</v>
      </c>
      <c r="C389" s="1">
        <v>45039</v>
      </c>
      <c r="D389" s="1">
        <v>45084</v>
      </c>
      <c r="E389" s="2">
        <v>4514.3</v>
      </c>
      <c r="F389" t="s">
        <v>28</v>
      </c>
      <c r="G389" t="s">
        <v>21</v>
      </c>
      <c r="H389" s="1">
        <v>45084</v>
      </c>
      <c r="I389" t="s">
        <v>13</v>
      </c>
      <c r="J389" t="str">
        <f>IF(ISBLANK(Table2[[#This Row],[ReceivedDate]]),"Unpaid",IF(Table2[[#This Row],[ReceivedDate]]&gt;Table2[[#This Row],[DueDate]],"Late",IF(Table2[[#This Row],[ReceivedDate]]&lt;Table2[[#This Row],[DueDate]],"Early","On Time")))</f>
        <v>On Time</v>
      </c>
    </row>
    <row r="390" spans="1:10" x14ac:dyDescent="0.3">
      <c r="A390" t="s">
        <v>411</v>
      </c>
      <c r="B390" t="s">
        <v>15</v>
      </c>
      <c r="C390" s="1">
        <v>45498</v>
      </c>
      <c r="D390" s="1">
        <v>45543</v>
      </c>
      <c r="E390" s="2">
        <v>7847.61</v>
      </c>
      <c r="F390" t="s">
        <v>19</v>
      </c>
      <c r="G390" t="s">
        <v>17</v>
      </c>
      <c r="I390" t="s">
        <v>13</v>
      </c>
      <c r="J390" t="str">
        <f>IF(ISBLANK(Table2[[#This Row],[ReceivedDate]]),"Unpaid",IF(Table2[[#This Row],[ReceivedDate]]&gt;Table2[[#This Row],[DueDate]],"Late",IF(Table2[[#This Row],[ReceivedDate]]&lt;Table2[[#This Row],[DueDate]],"Early","On Time")))</f>
        <v>Unpaid</v>
      </c>
    </row>
    <row r="391" spans="1:10" x14ac:dyDescent="0.3">
      <c r="A391" t="s">
        <v>412</v>
      </c>
      <c r="B391" t="s">
        <v>30</v>
      </c>
      <c r="C391" s="1">
        <v>45042</v>
      </c>
      <c r="D391" s="1">
        <v>45087</v>
      </c>
      <c r="E391" s="2">
        <v>6567.27</v>
      </c>
      <c r="F391" t="s">
        <v>11</v>
      </c>
      <c r="G391" t="s">
        <v>12</v>
      </c>
      <c r="I391" t="s">
        <v>13</v>
      </c>
      <c r="J391" t="str">
        <f>IF(ISBLANK(Table2[[#This Row],[ReceivedDate]]),"Unpaid",IF(Table2[[#This Row],[ReceivedDate]]&gt;Table2[[#This Row],[DueDate]],"Late",IF(Table2[[#This Row],[ReceivedDate]]&lt;Table2[[#This Row],[DueDate]],"Early","On Time")))</f>
        <v>Unpaid</v>
      </c>
    </row>
    <row r="392" spans="1:10" x14ac:dyDescent="0.3">
      <c r="A392" t="s">
        <v>413</v>
      </c>
      <c r="B392" t="s">
        <v>25</v>
      </c>
      <c r="C392" s="1">
        <v>45393</v>
      </c>
      <c r="D392" s="1">
        <v>45438</v>
      </c>
      <c r="E392" s="2">
        <v>993.97</v>
      </c>
      <c r="F392" t="s">
        <v>11</v>
      </c>
      <c r="G392" t="s">
        <v>21</v>
      </c>
      <c r="H392" s="1">
        <v>45438</v>
      </c>
      <c r="I392" t="s">
        <v>13</v>
      </c>
      <c r="J392" t="str">
        <f>IF(ISBLANK(Table2[[#This Row],[ReceivedDate]]),"Unpaid",IF(Table2[[#This Row],[ReceivedDate]]&gt;Table2[[#This Row],[DueDate]],"Late",IF(Table2[[#This Row],[ReceivedDate]]&lt;Table2[[#This Row],[DueDate]],"Early","On Time")))</f>
        <v>On Time</v>
      </c>
    </row>
    <row r="393" spans="1:10" x14ac:dyDescent="0.3">
      <c r="A393" t="s">
        <v>414</v>
      </c>
      <c r="B393" t="s">
        <v>30</v>
      </c>
      <c r="C393" s="1">
        <v>45459</v>
      </c>
      <c r="D393" s="1">
        <v>45504</v>
      </c>
      <c r="E393" s="2">
        <v>1676.02</v>
      </c>
      <c r="F393" t="s">
        <v>11</v>
      </c>
      <c r="G393" t="s">
        <v>12</v>
      </c>
      <c r="I393" t="s">
        <v>13</v>
      </c>
      <c r="J393" t="str">
        <f>IF(ISBLANK(Table2[[#This Row],[ReceivedDate]]),"Unpaid",IF(Table2[[#This Row],[ReceivedDate]]&gt;Table2[[#This Row],[DueDate]],"Late",IF(Table2[[#This Row],[ReceivedDate]]&lt;Table2[[#This Row],[DueDate]],"Early","On Time")))</f>
        <v>Unpaid</v>
      </c>
    </row>
    <row r="394" spans="1:10" x14ac:dyDescent="0.3">
      <c r="A394" t="s">
        <v>415</v>
      </c>
      <c r="B394" t="s">
        <v>23</v>
      </c>
      <c r="C394" s="1">
        <v>45446</v>
      </c>
      <c r="D394" s="1">
        <v>45491</v>
      </c>
      <c r="E394" s="2">
        <v>2327.48</v>
      </c>
      <c r="F394" t="s">
        <v>28</v>
      </c>
      <c r="G394" t="s">
        <v>17</v>
      </c>
      <c r="I394" t="s">
        <v>13</v>
      </c>
      <c r="J394" t="str">
        <f>IF(ISBLANK(Table2[[#This Row],[ReceivedDate]]),"Unpaid",IF(Table2[[#This Row],[ReceivedDate]]&gt;Table2[[#This Row],[DueDate]],"Late",IF(Table2[[#This Row],[ReceivedDate]]&lt;Table2[[#This Row],[DueDate]],"Early","On Time")))</f>
        <v>Unpaid</v>
      </c>
    </row>
    <row r="395" spans="1:10" x14ac:dyDescent="0.3">
      <c r="A395" t="s">
        <v>416</v>
      </c>
      <c r="B395" t="s">
        <v>30</v>
      </c>
      <c r="C395" s="1">
        <v>45765</v>
      </c>
      <c r="D395" s="1">
        <v>45810</v>
      </c>
      <c r="E395" s="2">
        <v>3446.92</v>
      </c>
      <c r="F395" t="s">
        <v>28</v>
      </c>
      <c r="G395" t="s">
        <v>17</v>
      </c>
      <c r="I395" t="s">
        <v>13</v>
      </c>
      <c r="J395" t="str">
        <f>IF(ISBLANK(Table2[[#This Row],[ReceivedDate]]),"Unpaid",IF(Table2[[#This Row],[ReceivedDate]]&gt;Table2[[#This Row],[DueDate]],"Late",IF(Table2[[#This Row],[ReceivedDate]]&lt;Table2[[#This Row],[DueDate]],"Early","On Time")))</f>
        <v>Unpaid</v>
      </c>
    </row>
    <row r="396" spans="1:10" x14ac:dyDescent="0.3">
      <c r="A396" t="s">
        <v>417</v>
      </c>
      <c r="B396" t="s">
        <v>25</v>
      </c>
      <c r="C396" s="1">
        <v>45493</v>
      </c>
      <c r="D396" s="1">
        <v>45538</v>
      </c>
      <c r="E396" s="2">
        <v>7984.68</v>
      </c>
      <c r="F396" t="s">
        <v>11</v>
      </c>
      <c r="G396" t="s">
        <v>17</v>
      </c>
      <c r="I396" t="s">
        <v>13</v>
      </c>
      <c r="J396" t="str">
        <f>IF(ISBLANK(Table2[[#This Row],[ReceivedDate]]),"Unpaid",IF(Table2[[#This Row],[ReceivedDate]]&gt;Table2[[#This Row],[DueDate]],"Late",IF(Table2[[#This Row],[ReceivedDate]]&lt;Table2[[#This Row],[DueDate]],"Early","On Time")))</f>
        <v>Unpaid</v>
      </c>
    </row>
    <row r="397" spans="1:10" x14ac:dyDescent="0.3">
      <c r="A397" t="s">
        <v>418</v>
      </c>
      <c r="B397" t="s">
        <v>10</v>
      </c>
      <c r="C397" s="1">
        <v>45314</v>
      </c>
      <c r="D397" s="1">
        <v>45359</v>
      </c>
      <c r="E397" s="2">
        <v>6686.26</v>
      </c>
      <c r="F397" t="s">
        <v>26</v>
      </c>
      <c r="G397" t="s">
        <v>12</v>
      </c>
      <c r="I397" t="s">
        <v>13</v>
      </c>
      <c r="J397" t="str">
        <f>IF(ISBLANK(Table2[[#This Row],[ReceivedDate]]),"Unpaid",IF(Table2[[#This Row],[ReceivedDate]]&gt;Table2[[#This Row],[DueDate]],"Late",IF(Table2[[#This Row],[ReceivedDate]]&lt;Table2[[#This Row],[DueDate]],"Early","On Time")))</f>
        <v>Unpaid</v>
      </c>
    </row>
    <row r="398" spans="1:10" x14ac:dyDescent="0.3">
      <c r="A398" t="s">
        <v>419</v>
      </c>
      <c r="B398" t="s">
        <v>10</v>
      </c>
      <c r="C398" s="1">
        <v>45778</v>
      </c>
      <c r="D398" s="1">
        <v>45823</v>
      </c>
      <c r="E398" s="2">
        <v>7289.46</v>
      </c>
      <c r="F398" t="s">
        <v>11</v>
      </c>
      <c r="G398" t="s">
        <v>17</v>
      </c>
      <c r="I398" t="s">
        <v>13</v>
      </c>
      <c r="J398" t="str">
        <f>IF(ISBLANK(Table2[[#This Row],[ReceivedDate]]),"Unpaid",IF(Table2[[#This Row],[ReceivedDate]]&gt;Table2[[#This Row],[DueDate]],"Late",IF(Table2[[#This Row],[ReceivedDate]]&lt;Table2[[#This Row],[DueDate]],"Early","On Time")))</f>
        <v>Unpaid</v>
      </c>
    </row>
    <row r="399" spans="1:10" x14ac:dyDescent="0.3">
      <c r="A399" t="s">
        <v>420</v>
      </c>
      <c r="B399" t="s">
        <v>30</v>
      </c>
      <c r="C399" s="1">
        <v>45740</v>
      </c>
      <c r="D399" s="1">
        <v>45785</v>
      </c>
      <c r="E399" s="2">
        <v>5288.29</v>
      </c>
      <c r="F399" t="s">
        <v>19</v>
      </c>
      <c r="G399" t="s">
        <v>17</v>
      </c>
      <c r="I399" t="s">
        <v>13</v>
      </c>
      <c r="J399" t="str">
        <f>IF(ISBLANK(Table2[[#This Row],[ReceivedDate]]),"Unpaid",IF(Table2[[#This Row],[ReceivedDate]]&gt;Table2[[#This Row],[DueDate]],"Late",IF(Table2[[#This Row],[ReceivedDate]]&lt;Table2[[#This Row],[DueDate]],"Early","On Time")))</f>
        <v>Unpaid</v>
      </c>
    </row>
    <row r="400" spans="1:10" x14ac:dyDescent="0.3">
      <c r="A400" t="s">
        <v>421</v>
      </c>
      <c r="B400" t="s">
        <v>23</v>
      </c>
      <c r="C400" s="1">
        <v>45334</v>
      </c>
      <c r="D400" s="1">
        <v>45379</v>
      </c>
      <c r="E400" s="2">
        <v>5313.93</v>
      </c>
      <c r="F400" t="s">
        <v>16</v>
      </c>
      <c r="G400" t="s">
        <v>21</v>
      </c>
      <c r="H400" s="1">
        <v>45379</v>
      </c>
      <c r="I400" t="s">
        <v>13</v>
      </c>
      <c r="J400" t="str">
        <f>IF(ISBLANK(Table2[[#This Row],[ReceivedDate]]),"Unpaid",IF(Table2[[#This Row],[ReceivedDate]]&gt;Table2[[#This Row],[DueDate]],"Late",IF(Table2[[#This Row],[ReceivedDate]]&lt;Table2[[#This Row],[DueDate]],"Early","On Time")))</f>
        <v>On Time</v>
      </c>
    </row>
    <row r="401" spans="1:10" x14ac:dyDescent="0.3">
      <c r="A401" t="s">
        <v>422</v>
      </c>
      <c r="B401" t="s">
        <v>25</v>
      </c>
      <c r="C401" s="1">
        <v>45279</v>
      </c>
      <c r="D401" s="1">
        <v>45324</v>
      </c>
      <c r="E401" s="2">
        <v>2428.5300000000002</v>
      </c>
      <c r="F401" t="s">
        <v>16</v>
      </c>
      <c r="G401" t="s">
        <v>17</v>
      </c>
      <c r="I401" t="s">
        <v>13</v>
      </c>
      <c r="J401" t="str">
        <f>IF(ISBLANK(Table2[[#This Row],[ReceivedDate]]),"Unpaid",IF(Table2[[#This Row],[ReceivedDate]]&gt;Table2[[#This Row],[DueDate]],"Late",IF(Table2[[#This Row],[ReceivedDate]]&lt;Table2[[#This Row],[DueDate]],"Early","On Time")))</f>
        <v>Unpaid</v>
      </c>
    </row>
    <row r="402" spans="1:10" x14ac:dyDescent="0.3">
      <c r="A402" t="s">
        <v>423</v>
      </c>
      <c r="B402" t="s">
        <v>30</v>
      </c>
      <c r="C402" s="1">
        <v>45299</v>
      </c>
      <c r="D402" s="1">
        <v>45344</v>
      </c>
      <c r="E402" s="2">
        <v>5026.8</v>
      </c>
      <c r="F402" t="s">
        <v>19</v>
      </c>
      <c r="G402" t="s">
        <v>21</v>
      </c>
      <c r="H402" s="1">
        <v>45344</v>
      </c>
      <c r="I402" t="s">
        <v>13</v>
      </c>
      <c r="J402" t="str">
        <f>IF(ISBLANK(Table2[[#This Row],[ReceivedDate]]),"Unpaid",IF(Table2[[#This Row],[ReceivedDate]]&gt;Table2[[#This Row],[DueDate]],"Late",IF(Table2[[#This Row],[ReceivedDate]]&lt;Table2[[#This Row],[DueDate]],"Early","On Time")))</f>
        <v>On Time</v>
      </c>
    </row>
    <row r="403" spans="1:10" x14ac:dyDescent="0.3">
      <c r="A403" t="s">
        <v>424</v>
      </c>
      <c r="B403" t="s">
        <v>30</v>
      </c>
      <c r="C403" s="1">
        <v>45343</v>
      </c>
      <c r="D403" s="1">
        <v>45388</v>
      </c>
      <c r="E403" s="2">
        <v>5625.72</v>
      </c>
      <c r="F403" t="s">
        <v>19</v>
      </c>
      <c r="G403" t="s">
        <v>17</v>
      </c>
      <c r="I403" t="s">
        <v>13</v>
      </c>
      <c r="J403" t="str">
        <f>IF(ISBLANK(Table2[[#This Row],[ReceivedDate]]),"Unpaid",IF(Table2[[#This Row],[ReceivedDate]]&gt;Table2[[#This Row],[DueDate]],"Late",IF(Table2[[#This Row],[ReceivedDate]]&lt;Table2[[#This Row],[DueDate]],"Early","On Time")))</f>
        <v>Unpaid</v>
      </c>
    </row>
    <row r="404" spans="1:10" x14ac:dyDescent="0.3">
      <c r="A404" t="s">
        <v>425</v>
      </c>
      <c r="B404" t="s">
        <v>30</v>
      </c>
      <c r="C404" s="1">
        <v>45399</v>
      </c>
      <c r="D404" s="1">
        <v>45444</v>
      </c>
      <c r="E404" s="2">
        <v>6108.32</v>
      </c>
      <c r="F404" t="s">
        <v>16</v>
      </c>
      <c r="G404" t="s">
        <v>21</v>
      </c>
      <c r="H404" s="1">
        <v>45444</v>
      </c>
      <c r="I404" t="s">
        <v>13</v>
      </c>
      <c r="J404" t="str">
        <f>IF(ISBLANK(Table2[[#This Row],[ReceivedDate]]),"Unpaid",IF(Table2[[#This Row],[ReceivedDate]]&gt;Table2[[#This Row],[DueDate]],"Late",IF(Table2[[#This Row],[ReceivedDate]]&lt;Table2[[#This Row],[DueDate]],"Early","On Time")))</f>
        <v>On Time</v>
      </c>
    </row>
    <row r="405" spans="1:10" x14ac:dyDescent="0.3">
      <c r="A405" t="s">
        <v>426</v>
      </c>
      <c r="B405" t="s">
        <v>25</v>
      </c>
      <c r="C405" s="1">
        <v>45593</v>
      </c>
      <c r="D405" s="1">
        <v>45638</v>
      </c>
      <c r="E405" s="2">
        <v>2878.51</v>
      </c>
      <c r="F405" t="s">
        <v>16</v>
      </c>
      <c r="G405" t="s">
        <v>21</v>
      </c>
      <c r="H405" s="1">
        <v>45638</v>
      </c>
      <c r="I405" t="s">
        <v>13</v>
      </c>
      <c r="J405" t="str">
        <f>IF(ISBLANK(Table2[[#This Row],[ReceivedDate]]),"Unpaid",IF(Table2[[#This Row],[ReceivedDate]]&gt;Table2[[#This Row],[DueDate]],"Late",IF(Table2[[#This Row],[ReceivedDate]]&lt;Table2[[#This Row],[DueDate]],"Early","On Time")))</f>
        <v>On Time</v>
      </c>
    </row>
    <row r="406" spans="1:10" x14ac:dyDescent="0.3">
      <c r="A406" t="s">
        <v>427</v>
      </c>
      <c r="B406" t="s">
        <v>23</v>
      </c>
      <c r="C406" s="1">
        <v>45111</v>
      </c>
      <c r="D406" s="1">
        <v>45156</v>
      </c>
      <c r="E406" s="2">
        <v>4123.71</v>
      </c>
      <c r="F406" t="s">
        <v>19</v>
      </c>
      <c r="G406" t="s">
        <v>17</v>
      </c>
      <c r="I406" t="s">
        <v>13</v>
      </c>
      <c r="J406" t="str">
        <f>IF(ISBLANK(Table2[[#This Row],[ReceivedDate]]),"Unpaid",IF(Table2[[#This Row],[ReceivedDate]]&gt;Table2[[#This Row],[DueDate]],"Late",IF(Table2[[#This Row],[ReceivedDate]]&lt;Table2[[#This Row],[DueDate]],"Early","On Time")))</f>
        <v>Unpaid</v>
      </c>
    </row>
    <row r="407" spans="1:10" x14ac:dyDescent="0.3">
      <c r="A407" t="s">
        <v>428</v>
      </c>
      <c r="B407" t="s">
        <v>25</v>
      </c>
      <c r="C407" s="1">
        <v>45814</v>
      </c>
      <c r="D407" s="1">
        <v>45859</v>
      </c>
      <c r="E407" s="2">
        <v>6281.96</v>
      </c>
      <c r="F407" t="s">
        <v>28</v>
      </c>
      <c r="G407" t="s">
        <v>12</v>
      </c>
      <c r="I407" t="s">
        <v>13</v>
      </c>
      <c r="J407" t="str">
        <f>IF(ISBLANK(Table2[[#This Row],[ReceivedDate]]),"Unpaid",IF(Table2[[#This Row],[ReceivedDate]]&gt;Table2[[#This Row],[DueDate]],"Late",IF(Table2[[#This Row],[ReceivedDate]]&lt;Table2[[#This Row],[DueDate]],"Early","On Time")))</f>
        <v>Unpaid</v>
      </c>
    </row>
    <row r="408" spans="1:10" x14ac:dyDescent="0.3">
      <c r="A408" t="s">
        <v>429</v>
      </c>
      <c r="B408" t="s">
        <v>10</v>
      </c>
      <c r="C408" s="1">
        <v>45404</v>
      </c>
      <c r="D408" s="1">
        <v>45449</v>
      </c>
      <c r="E408" s="2">
        <v>5969.43</v>
      </c>
      <c r="F408" t="s">
        <v>26</v>
      </c>
      <c r="G408" t="s">
        <v>17</v>
      </c>
      <c r="I408" t="s">
        <v>13</v>
      </c>
      <c r="J408" t="str">
        <f>IF(ISBLANK(Table2[[#This Row],[ReceivedDate]]),"Unpaid",IF(Table2[[#This Row],[ReceivedDate]]&gt;Table2[[#This Row],[DueDate]],"Late",IF(Table2[[#This Row],[ReceivedDate]]&lt;Table2[[#This Row],[DueDate]],"Early","On Time")))</f>
        <v>Unpaid</v>
      </c>
    </row>
    <row r="409" spans="1:10" x14ac:dyDescent="0.3">
      <c r="A409" t="s">
        <v>430</v>
      </c>
      <c r="B409" t="s">
        <v>10</v>
      </c>
      <c r="C409" s="1">
        <v>45658</v>
      </c>
      <c r="D409" s="1">
        <v>45703</v>
      </c>
      <c r="E409" s="2">
        <v>1704.24</v>
      </c>
      <c r="F409" t="s">
        <v>16</v>
      </c>
      <c r="G409" t="s">
        <v>12</v>
      </c>
      <c r="I409" t="s">
        <v>13</v>
      </c>
      <c r="J409" t="str">
        <f>IF(ISBLANK(Table2[[#This Row],[ReceivedDate]]),"Unpaid",IF(Table2[[#This Row],[ReceivedDate]]&gt;Table2[[#This Row],[DueDate]],"Late",IF(Table2[[#This Row],[ReceivedDate]]&lt;Table2[[#This Row],[DueDate]],"Early","On Time")))</f>
        <v>Unpaid</v>
      </c>
    </row>
    <row r="410" spans="1:10" x14ac:dyDescent="0.3">
      <c r="A410" t="s">
        <v>431</v>
      </c>
      <c r="B410" t="s">
        <v>15</v>
      </c>
      <c r="C410" s="1">
        <v>45637</v>
      </c>
      <c r="D410" s="1">
        <v>45682</v>
      </c>
      <c r="E410" s="2">
        <v>4385.67</v>
      </c>
      <c r="F410" t="s">
        <v>16</v>
      </c>
      <c r="G410" t="s">
        <v>12</v>
      </c>
      <c r="I410" t="s">
        <v>13</v>
      </c>
      <c r="J410" t="str">
        <f>IF(ISBLANK(Table2[[#This Row],[ReceivedDate]]),"Unpaid",IF(Table2[[#This Row],[ReceivedDate]]&gt;Table2[[#This Row],[DueDate]],"Late",IF(Table2[[#This Row],[ReceivedDate]]&lt;Table2[[#This Row],[DueDate]],"Early","On Time")))</f>
        <v>Unpaid</v>
      </c>
    </row>
    <row r="411" spans="1:10" x14ac:dyDescent="0.3">
      <c r="A411" t="s">
        <v>432</v>
      </c>
      <c r="B411" t="s">
        <v>23</v>
      </c>
      <c r="C411" s="1">
        <v>45599</v>
      </c>
      <c r="D411" s="1">
        <v>45644</v>
      </c>
      <c r="E411" s="2">
        <v>6943.83</v>
      </c>
      <c r="F411" t="s">
        <v>11</v>
      </c>
      <c r="G411" t="s">
        <v>21</v>
      </c>
      <c r="H411" s="1">
        <v>45644</v>
      </c>
      <c r="I411" t="s">
        <v>13</v>
      </c>
      <c r="J411" t="str">
        <f>IF(ISBLANK(Table2[[#This Row],[ReceivedDate]]),"Unpaid",IF(Table2[[#This Row],[ReceivedDate]]&gt;Table2[[#This Row],[DueDate]],"Late",IF(Table2[[#This Row],[ReceivedDate]]&lt;Table2[[#This Row],[DueDate]],"Early","On Time")))</f>
        <v>On Time</v>
      </c>
    </row>
    <row r="412" spans="1:10" x14ac:dyDescent="0.3">
      <c r="A412" t="s">
        <v>433</v>
      </c>
      <c r="B412" t="s">
        <v>15</v>
      </c>
      <c r="C412" s="1">
        <v>45234</v>
      </c>
      <c r="D412" s="1">
        <v>45279</v>
      </c>
      <c r="E412" s="2">
        <v>2227.16</v>
      </c>
      <c r="F412" t="s">
        <v>28</v>
      </c>
      <c r="G412" t="s">
        <v>21</v>
      </c>
      <c r="H412" s="1">
        <v>45279</v>
      </c>
      <c r="I412" t="s">
        <v>13</v>
      </c>
      <c r="J412" t="str">
        <f>IF(ISBLANK(Table2[[#This Row],[ReceivedDate]]),"Unpaid",IF(Table2[[#This Row],[ReceivedDate]]&gt;Table2[[#This Row],[DueDate]],"Late",IF(Table2[[#This Row],[ReceivedDate]]&lt;Table2[[#This Row],[DueDate]],"Early","On Time")))</f>
        <v>On Time</v>
      </c>
    </row>
    <row r="413" spans="1:10" x14ac:dyDescent="0.3">
      <c r="A413" t="s">
        <v>434</v>
      </c>
      <c r="B413" t="s">
        <v>10</v>
      </c>
      <c r="C413" s="1">
        <v>44983</v>
      </c>
      <c r="D413" s="1">
        <v>45028</v>
      </c>
      <c r="E413" s="2">
        <v>4541.6400000000003</v>
      </c>
      <c r="F413" t="s">
        <v>19</v>
      </c>
      <c r="G413" t="s">
        <v>21</v>
      </c>
      <c r="H413" s="1">
        <v>45028</v>
      </c>
      <c r="I413" t="s">
        <v>13</v>
      </c>
      <c r="J413" t="str">
        <f>IF(ISBLANK(Table2[[#This Row],[ReceivedDate]]),"Unpaid",IF(Table2[[#This Row],[ReceivedDate]]&gt;Table2[[#This Row],[DueDate]],"Late",IF(Table2[[#This Row],[ReceivedDate]]&lt;Table2[[#This Row],[DueDate]],"Early","On Time")))</f>
        <v>On Time</v>
      </c>
    </row>
    <row r="414" spans="1:10" x14ac:dyDescent="0.3">
      <c r="A414" t="s">
        <v>435</v>
      </c>
      <c r="B414" t="s">
        <v>25</v>
      </c>
      <c r="C414" s="1">
        <v>45074</v>
      </c>
      <c r="D414" s="1">
        <v>45119</v>
      </c>
      <c r="E414" s="2">
        <v>4684.49</v>
      </c>
      <c r="F414" t="s">
        <v>26</v>
      </c>
      <c r="G414" t="s">
        <v>21</v>
      </c>
      <c r="H414" s="1">
        <v>45119</v>
      </c>
      <c r="I414" t="s">
        <v>13</v>
      </c>
      <c r="J414" t="str">
        <f>IF(ISBLANK(Table2[[#This Row],[ReceivedDate]]),"Unpaid",IF(Table2[[#This Row],[ReceivedDate]]&gt;Table2[[#This Row],[DueDate]],"Late",IF(Table2[[#This Row],[ReceivedDate]]&lt;Table2[[#This Row],[DueDate]],"Early","On Time")))</f>
        <v>On Time</v>
      </c>
    </row>
    <row r="415" spans="1:10" x14ac:dyDescent="0.3">
      <c r="A415" t="s">
        <v>436</v>
      </c>
      <c r="B415" t="s">
        <v>23</v>
      </c>
      <c r="C415" s="1">
        <v>45224</v>
      </c>
      <c r="D415" s="1">
        <v>45269</v>
      </c>
      <c r="E415" s="2">
        <v>2115.17</v>
      </c>
      <c r="F415" t="s">
        <v>28</v>
      </c>
      <c r="G415" t="s">
        <v>12</v>
      </c>
      <c r="I415" t="s">
        <v>13</v>
      </c>
      <c r="J415" t="str">
        <f>IF(ISBLANK(Table2[[#This Row],[ReceivedDate]]),"Unpaid",IF(Table2[[#This Row],[ReceivedDate]]&gt;Table2[[#This Row],[DueDate]],"Late",IF(Table2[[#This Row],[ReceivedDate]]&lt;Table2[[#This Row],[DueDate]],"Early","On Time")))</f>
        <v>Unpaid</v>
      </c>
    </row>
    <row r="416" spans="1:10" x14ac:dyDescent="0.3">
      <c r="A416" t="s">
        <v>437</v>
      </c>
      <c r="B416" t="s">
        <v>15</v>
      </c>
      <c r="C416" s="1">
        <v>45784</v>
      </c>
      <c r="D416" s="1">
        <v>45829</v>
      </c>
      <c r="E416" s="2">
        <v>3323.86</v>
      </c>
      <c r="F416" t="s">
        <v>11</v>
      </c>
      <c r="G416" t="s">
        <v>17</v>
      </c>
      <c r="I416" t="s">
        <v>13</v>
      </c>
      <c r="J416" t="str">
        <f>IF(ISBLANK(Table2[[#This Row],[ReceivedDate]]),"Unpaid",IF(Table2[[#This Row],[ReceivedDate]]&gt;Table2[[#This Row],[DueDate]],"Late",IF(Table2[[#This Row],[ReceivedDate]]&lt;Table2[[#This Row],[DueDate]],"Early","On Time")))</f>
        <v>Unpaid</v>
      </c>
    </row>
    <row r="417" spans="1:10" x14ac:dyDescent="0.3">
      <c r="A417" t="s">
        <v>438</v>
      </c>
      <c r="B417" t="s">
        <v>23</v>
      </c>
      <c r="C417" s="1">
        <v>45364</v>
      </c>
      <c r="D417" s="1">
        <v>45409</v>
      </c>
      <c r="E417" s="2">
        <v>630.55999999999995</v>
      </c>
      <c r="F417" t="s">
        <v>16</v>
      </c>
      <c r="G417" t="s">
        <v>21</v>
      </c>
      <c r="H417" s="1">
        <v>45409</v>
      </c>
      <c r="I417" t="s">
        <v>13</v>
      </c>
      <c r="J417" t="str">
        <f>IF(ISBLANK(Table2[[#This Row],[ReceivedDate]]),"Unpaid",IF(Table2[[#This Row],[ReceivedDate]]&gt;Table2[[#This Row],[DueDate]],"Late",IF(Table2[[#This Row],[ReceivedDate]]&lt;Table2[[#This Row],[DueDate]],"Early","On Time")))</f>
        <v>On Time</v>
      </c>
    </row>
    <row r="418" spans="1:10" x14ac:dyDescent="0.3">
      <c r="A418" t="s">
        <v>439</v>
      </c>
      <c r="B418" t="s">
        <v>30</v>
      </c>
      <c r="C418" s="1">
        <v>45580</v>
      </c>
      <c r="D418" s="1">
        <v>45625</v>
      </c>
      <c r="E418" s="2">
        <v>3609.1</v>
      </c>
      <c r="F418" t="s">
        <v>16</v>
      </c>
      <c r="G418" t="s">
        <v>17</v>
      </c>
      <c r="I418" t="s">
        <v>13</v>
      </c>
      <c r="J418" t="str">
        <f>IF(ISBLANK(Table2[[#This Row],[ReceivedDate]]),"Unpaid",IF(Table2[[#This Row],[ReceivedDate]]&gt;Table2[[#This Row],[DueDate]],"Late",IF(Table2[[#This Row],[ReceivedDate]]&lt;Table2[[#This Row],[DueDate]],"Early","On Time")))</f>
        <v>Unpaid</v>
      </c>
    </row>
    <row r="419" spans="1:10" x14ac:dyDescent="0.3">
      <c r="A419" t="s">
        <v>440</v>
      </c>
      <c r="B419" t="s">
        <v>10</v>
      </c>
      <c r="C419" s="1">
        <v>45267</v>
      </c>
      <c r="D419" s="1">
        <v>45312</v>
      </c>
      <c r="E419" s="2">
        <v>4482.32</v>
      </c>
      <c r="F419" t="s">
        <v>11</v>
      </c>
      <c r="G419" t="s">
        <v>21</v>
      </c>
      <c r="H419" s="1">
        <v>45312</v>
      </c>
      <c r="I419" t="s">
        <v>13</v>
      </c>
      <c r="J419" t="str">
        <f>IF(ISBLANK(Table2[[#This Row],[ReceivedDate]]),"Unpaid",IF(Table2[[#This Row],[ReceivedDate]]&gt;Table2[[#This Row],[DueDate]],"Late",IF(Table2[[#This Row],[ReceivedDate]]&lt;Table2[[#This Row],[DueDate]],"Early","On Time")))</f>
        <v>On Time</v>
      </c>
    </row>
    <row r="420" spans="1:10" x14ac:dyDescent="0.3">
      <c r="A420" t="s">
        <v>441</v>
      </c>
      <c r="B420" t="s">
        <v>23</v>
      </c>
      <c r="C420" s="1">
        <v>45807</v>
      </c>
      <c r="D420" s="1">
        <v>45852</v>
      </c>
      <c r="E420" s="2">
        <v>3470.79</v>
      </c>
      <c r="F420" t="s">
        <v>11</v>
      </c>
      <c r="G420" t="s">
        <v>17</v>
      </c>
      <c r="I420" t="s">
        <v>13</v>
      </c>
      <c r="J420" t="str">
        <f>IF(ISBLANK(Table2[[#This Row],[ReceivedDate]]),"Unpaid",IF(Table2[[#This Row],[ReceivedDate]]&gt;Table2[[#This Row],[DueDate]],"Late",IF(Table2[[#This Row],[ReceivedDate]]&lt;Table2[[#This Row],[DueDate]],"Early","On Time")))</f>
        <v>Unpaid</v>
      </c>
    </row>
    <row r="421" spans="1:10" x14ac:dyDescent="0.3">
      <c r="A421" t="s">
        <v>442</v>
      </c>
      <c r="B421" t="s">
        <v>15</v>
      </c>
      <c r="C421" s="1">
        <v>45296</v>
      </c>
      <c r="D421" s="1">
        <v>45341</v>
      </c>
      <c r="E421" s="2">
        <v>6289.6</v>
      </c>
      <c r="F421" t="s">
        <v>28</v>
      </c>
      <c r="G421" t="s">
        <v>21</v>
      </c>
      <c r="H421" s="1">
        <v>45341</v>
      </c>
      <c r="I421" t="s">
        <v>13</v>
      </c>
      <c r="J421" t="str">
        <f>IF(ISBLANK(Table2[[#This Row],[ReceivedDate]]),"Unpaid",IF(Table2[[#This Row],[ReceivedDate]]&gt;Table2[[#This Row],[DueDate]],"Late",IF(Table2[[#This Row],[ReceivedDate]]&lt;Table2[[#This Row],[DueDate]],"Early","On Time")))</f>
        <v>On Time</v>
      </c>
    </row>
    <row r="422" spans="1:10" x14ac:dyDescent="0.3">
      <c r="A422" t="s">
        <v>443</v>
      </c>
      <c r="B422" t="s">
        <v>15</v>
      </c>
      <c r="C422" s="1">
        <v>45600</v>
      </c>
      <c r="D422" s="1">
        <v>45645</v>
      </c>
      <c r="E422" s="2">
        <v>4991.91</v>
      </c>
      <c r="F422" t="s">
        <v>28</v>
      </c>
      <c r="G422" t="s">
        <v>17</v>
      </c>
      <c r="I422" t="s">
        <v>13</v>
      </c>
      <c r="J422" t="str">
        <f>IF(ISBLANK(Table2[[#This Row],[ReceivedDate]]),"Unpaid",IF(Table2[[#This Row],[ReceivedDate]]&gt;Table2[[#This Row],[DueDate]],"Late",IF(Table2[[#This Row],[ReceivedDate]]&lt;Table2[[#This Row],[DueDate]],"Early","On Time")))</f>
        <v>Unpaid</v>
      </c>
    </row>
    <row r="423" spans="1:10" x14ac:dyDescent="0.3">
      <c r="A423" t="s">
        <v>444</v>
      </c>
      <c r="B423" t="s">
        <v>30</v>
      </c>
      <c r="C423" s="1">
        <v>45362</v>
      </c>
      <c r="D423" s="1">
        <v>45407</v>
      </c>
      <c r="E423" s="2">
        <v>2777.5</v>
      </c>
      <c r="F423" t="s">
        <v>16</v>
      </c>
      <c r="G423" t="s">
        <v>17</v>
      </c>
      <c r="I423" t="s">
        <v>13</v>
      </c>
      <c r="J423" t="str">
        <f>IF(ISBLANK(Table2[[#This Row],[ReceivedDate]]),"Unpaid",IF(Table2[[#This Row],[ReceivedDate]]&gt;Table2[[#This Row],[DueDate]],"Late",IF(Table2[[#This Row],[ReceivedDate]]&lt;Table2[[#This Row],[DueDate]],"Early","On Time")))</f>
        <v>Unpaid</v>
      </c>
    </row>
    <row r="424" spans="1:10" x14ac:dyDescent="0.3">
      <c r="A424" t="s">
        <v>445</v>
      </c>
      <c r="B424" t="s">
        <v>25</v>
      </c>
      <c r="C424" s="1">
        <v>45271</v>
      </c>
      <c r="D424" s="1">
        <v>45316</v>
      </c>
      <c r="E424" s="2">
        <v>3425.68</v>
      </c>
      <c r="F424" t="s">
        <v>26</v>
      </c>
      <c r="G424" t="s">
        <v>21</v>
      </c>
      <c r="H424" s="1">
        <v>45316</v>
      </c>
      <c r="I424" t="s">
        <v>13</v>
      </c>
      <c r="J424" t="str">
        <f>IF(ISBLANK(Table2[[#This Row],[ReceivedDate]]),"Unpaid",IF(Table2[[#This Row],[ReceivedDate]]&gt;Table2[[#This Row],[DueDate]],"Late",IF(Table2[[#This Row],[ReceivedDate]]&lt;Table2[[#This Row],[DueDate]],"Early","On Time")))</f>
        <v>On Time</v>
      </c>
    </row>
    <row r="425" spans="1:10" x14ac:dyDescent="0.3">
      <c r="A425" t="s">
        <v>446</v>
      </c>
      <c r="B425" t="s">
        <v>10</v>
      </c>
      <c r="C425" s="1">
        <v>45020</v>
      </c>
      <c r="D425" s="1">
        <v>45065</v>
      </c>
      <c r="E425" s="2">
        <v>2290.34</v>
      </c>
      <c r="F425" t="s">
        <v>19</v>
      </c>
      <c r="G425" t="s">
        <v>21</v>
      </c>
      <c r="H425" s="1">
        <v>45065</v>
      </c>
      <c r="I425" t="s">
        <v>13</v>
      </c>
      <c r="J425" t="str">
        <f>IF(ISBLANK(Table2[[#This Row],[ReceivedDate]]),"Unpaid",IF(Table2[[#This Row],[ReceivedDate]]&gt;Table2[[#This Row],[DueDate]],"Late",IF(Table2[[#This Row],[ReceivedDate]]&lt;Table2[[#This Row],[DueDate]],"Early","On Time")))</f>
        <v>On Time</v>
      </c>
    </row>
    <row r="426" spans="1:10" x14ac:dyDescent="0.3">
      <c r="A426" t="s">
        <v>447</v>
      </c>
      <c r="B426" t="s">
        <v>10</v>
      </c>
      <c r="C426" s="1">
        <v>45650</v>
      </c>
      <c r="D426" s="1">
        <v>45695</v>
      </c>
      <c r="E426" s="2">
        <v>5290.53</v>
      </c>
      <c r="F426" t="s">
        <v>26</v>
      </c>
      <c r="G426" t="s">
        <v>21</v>
      </c>
      <c r="H426" s="1">
        <v>45695</v>
      </c>
      <c r="I426" t="s">
        <v>13</v>
      </c>
      <c r="J426" t="str">
        <f>IF(ISBLANK(Table2[[#This Row],[ReceivedDate]]),"Unpaid",IF(Table2[[#This Row],[ReceivedDate]]&gt;Table2[[#This Row],[DueDate]],"Late",IF(Table2[[#This Row],[ReceivedDate]]&lt;Table2[[#This Row],[DueDate]],"Early","On Time")))</f>
        <v>On Time</v>
      </c>
    </row>
    <row r="427" spans="1:10" x14ac:dyDescent="0.3">
      <c r="A427" t="s">
        <v>448</v>
      </c>
      <c r="B427" t="s">
        <v>15</v>
      </c>
      <c r="C427" s="1">
        <v>45177</v>
      </c>
      <c r="D427" s="1">
        <v>45222</v>
      </c>
      <c r="E427" s="2">
        <v>7106.93</v>
      </c>
      <c r="F427" t="s">
        <v>16</v>
      </c>
      <c r="G427" t="s">
        <v>12</v>
      </c>
      <c r="I427" t="s">
        <v>13</v>
      </c>
      <c r="J427" t="str">
        <f>IF(ISBLANK(Table2[[#This Row],[ReceivedDate]]),"Unpaid",IF(Table2[[#This Row],[ReceivedDate]]&gt;Table2[[#This Row],[DueDate]],"Late",IF(Table2[[#This Row],[ReceivedDate]]&lt;Table2[[#This Row],[DueDate]],"Early","On Time")))</f>
        <v>Unpaid</v>
      </c>
    </row>
    <row r="428" spans="1:10" x14ac:dyDescent="0.3">
      <c r="A428" t="s">
        <v>449</v>
      </c>
      <c r="B428" t="s">
        <v>10</v>
      </c>
      <c r="C428" s="1">
        <v>45570</v>
      </c>
      <c r="D428" s="1">
        <v>45615</v>
      </c>
      <c r="E428" s="2">
        <v>5137.3500000000004</v>
      </c>
      <c r="F428" t="s">
        <v>19</v>
      </c>
      <c r="G428" t="s">
        <v>17</v>
      </c>
      <c r="I428" t="s">
        <v>13</v>
      </c>
      <c r="J428" t="str">
        <f>IF(ISBLANK(Table2[[#This Row],[ReceivedDate]]),"Unpaid",IF(Table2[[#This Row],[ReceivedDate]]&gt;Table2[[#This Row],[DueDate]],"Late",IF(Table2[[#This Row],[ReceivedDate]]&lt;Table2[[#This Row],[DueDate]],"Early","On Time")))</f>
        <v>Unpaid</v>
      </c>
    </row>
    <row r="429" spans="1:10" x14ac:dyDescent="0.3">
      <c r="A429" t="s">
        <v>450</v>
      </c>
      <c r="B429" t="s">
        <v>30</v>
      </c>
      <c r="C429" s="1">
        <v>45254</v>
      </c>
      <c r="D429" s="1">
        <v>45299</v>
      </c>
      <c r="E429" s="2">
        <v>1913.3</v>
      </c>
      <c r="F429" t="s">
        <v>11</v>
      </c>
      <c r="G429" t="s">
        <v>21</v>
      </c>
      <c r="H429" s="1">
        <v>45299</v>
      </c>
      <c r="I429" t="s">
        <v>13</v>
      </c>
      <c r="J429" t="str">
        <f>IF(ISBLANK(Table2[[#This Row],[ReceivedDate]]),"Unpaid",IF(Table2[[#This Row],[ReceivedDate]]&gt;Table2[[#This Row],[DueDate]],"Late",IF(Table2[[#This Row],[ReceivedDate]]&lt;Table2[[#This Row],[DueDate]],"Early","On Time")))</f>
        <v>On Time</v>
      </c>
    </row>
    <row r="430" spans="1:10" x14ac:dyDescent="0.3">
      <c r="A430" t="s">
        <v>451</v>
      </c>
      <c r="B430" t="s">
        <v>30</v>
      </c>
      <c r="C430" s="1">
        <v>44937</v>
      </c>
      <c r="D430" s="1">
        <v>44982</v>
      </c>
      <c r="E430" s="2">
        <v>691.52</v>
      </c>
      <c r="F430" t="s">
        <v>19</v>
      </c>
      <c r="G430" t="s">
        <v>12</v>
      </c>
      <c r="I430" t="s">
        <v>13</v>
      </c>
      <c r="J430" t="str">
        <f>IF(ISBLANK(Table2[[#This Row],[ReceivedDate]]),"Unpaid",IF(Table2[[#This Row],[ReceivedDate]]&gt;Table2[[#This Row],[DueDate]],"Late",IF(Table2[[#This Row],[ReceivedDate]]&lt;Table2[[#This Row],[DueDate]],"Early","On Time")))</f>
        <v>Unpaid</v>
      </c>
    </row>
    <row r="431" spans="1:10" x14ac:dyDescent="0.3">
      <c r="A431" t="s">
        <v>452</v>
      </c>
      <c r="B431" t="s">
        <v>15</v>
      </c>
      <c r="C431" s="1">
        <v>45267</v>
      </c>
      <c r="D431" s="1">
        <v>45312</v>
      </c>
      <c r="E431" s="2">
        <v>4176.67</v>
      </c>
      <c r="F431" t="s">
        <v>28</v>
      </c>
      <c r="G431" t="s">
        <v>17</v>
      </c>
      <c r="I431" t="s">
        <v>13</v>
      </c>
      <c r="J431" t="str">
        <f>IF(ISBLANK(Table2[[#This Row],[ReceivedDate]]),"Unpaid",IF(Table2[[#This Row],[ReceivedDate]]&gt;Table2[[#This Row],[DueDate]],"Late",IF(Table2[[#This Row],[ReceivedDate]]&lt;Table2[[#This Row],[DueDate]],"Early","On Time")))</f>
        <v>Unpaid</v>
      </c>
    </row>
    <row r="432" spans="1:10" x14ac:dyDescent="0.3">
      <c r="A432" t="s">
        <v>453</v>
      </c>
      <c r="B432" t="s">
        <v>30</v>
      </c>
      <c r="C432" s="1">
        <v>45073</v>
      </c>
      <c r="D432" s="1">
        <v>45118</v>
      </c>
      <c r="E432" s="2">
        <v>1480.05</v>
      </c>
      <c r="F432" t="s">
        <v>16</v>
      </c>
      <c r="G432" t="s">
        <v>17</v>
      </c>
      <c r="I432" t="s">
        <v>13</v>
      </c>
      <c r="J432" t="str">
        <f>IF(ISBLANK(Table2[[#This Row],[ReceivedDate]]),"Unpaid",IF(Table2[[#This Row],[ReceivedDate]]&gt;Table2[[#This Row],[DueDate]],"Late",IF(Table2[[#This Row],[ReceivedDate]]&lt;Table2[[#This Row],[DueDate]],"Early","On Time")))</f>
        <v>Unpaid</v>
      </c>
    </row>
    <row r="433" spans="1:10" x14ac:dyDescent="0.3">
      <c r="A433" t="s">
        <v>454</v>
      </c>
      <c r="B433" t="s">
        <v>15</v>
      </c>
      <c r="C433" s="1">
        <v>45794</v>
      </c>
      <c r="D433" s="1">
        <v>45839</v>
      </c>
      <c r="E433" s="2">
        <v>6143.97</v>
      </c>
      <c r="F433" t="s">
        <v>16</v>
      </c>
      <c r="G433" t="s">
        <v>17</v>
      </c>
      <c r="I433" t="s">
        <v>13</v>
      </c>
      <c r="J433" t="str">
        <f>IF(ISBLANK(Table2[[#This Row],[ReceivedDate]]),"Unpaid",IF(Table2[[#This Row],[ReceivedDate]]&gt;Table2[[#This Row],[DueDate]],"Late",IF(Table2[[#This Row],[ReceivedDate]]&lt;Table2[[#This Row],[DueDate]],"Early","On Time")))</f>
        <v>Unpaid</v>
      </c>
    </row>
    <row r="434" spans="1:10" x14ac:dyDescent="0.3">
      <c r="A434" t="s">
        <v>455</v>
      </c>
      <c r="B434" t="s">
        <v>25</v>
      </c>
      <c r="C434" s="1">
        <v>45328</v>
      </c>
      <c r="D434" s="1">
        <v>45373</v>
      </c>
      <c r="E434" s="2">
        <v>6797.28</v>
      </c>
      <c r="F434" t="s">
        <v>26</v>
      </c>
      <c r="G434" t="s">
        <v>17</v>
      </c>
      <c r="I434" t="s">
        <v>13</v>
      </c>
      <c r="J434" t="str">
        <f>IF(ISBLANK(Table2[[#This Row],[ReceivedDate]]),"Unpaid",IF(Table2[[#This Row],[ReceivedDate]]&gt;Table2[[#This Row],[DueDate]],"Late",IF(Table2[[#This Row],[ReceivedDate]]&lt;Table2[[#This Row],[DueDate]],"Early","On Time")))</f>
        <v>Unpaid</v>
      </c>
    </row>
    <row r="435" spans="1:10" x14ac:dyDescent="0.3">
      <c r="A435" t="s">
        <v>456</v>
      </c>
      <c r="B435" t="s">
        <v>30</v>
      </c>
      <c r="C435" s="1">
        <v>45006</v>
      </c>
      <c r="D435" s="1">
        <v>45051</v>
      </c>
      <c r="E435" s="2">
        <v>7109.3</v>
      </c>
      <c r="F435" t="s">
        <v>16</v>
      </c>
      <c r="G435" t="s">
        <v>12</v>
      </c>
      <c r="I435" t="s">
        <v>13</v>
      </c>
      <c r="J435" t="str">
        <f>IF(ISBLANK(Table2[[#This Row],[ReceivedDate]]),"Unpaid",IF(Table2[[#This Row],[ReceivedDate]]&gt;Table2[[#This Row],[DueDate]],"Late",IF(Table2[[#This Row],[ReceivedDate]]&lt;Table2[[#This Row],[DueDate]],"Early","On Time")))</f>
        <v>Unpaid</v>
      </c>
    </row>
    <row r="436" spans="1:10" x14ac:dyDescent="0.3">
      <c r="A436" t="s">
        <v>457</v>
      </c>
      <c r="B436" t="s">
        <v>30</v>
      </c>
      <c r="C436" s="1">
        <v>45093</v>
      </c>
      <c r="D436" s="1">
        <v>45138</v>
      </c>
      <c r="E436" s="2">
        <v>783.4</v>
      </c>
      <c r="F436" t="s">
        <v>19</v>
      </c>
      <c r="G436" t="s">
        <v>12</v>
      </c>
      <c r="I436" t="s">
        <v>13</v>
      </c>
      <c r="J436" t="str">
        <f>IF(ISBLANK(Table2[[#This Row],[ReceivedDate]]),"Unpaid",IF(Table2[[#This Row],[ReceivedDate]]&gt;Table2[[#This Row],[DueDate]],"Late",IF(Table2[[#This Row],[ReceivedDate]]&lt;Table2[[#This Row],[DueDate]],"Early","On Time")))</f>
        <v>Unpaid</v>
      </c>
    </row>
    <row r="437" spans="1:10" x14ac:dyDescent="0.3">
      <c r="A437" t="s">
        <v>458</v>
      </c>
      <c r="B437" t="s">
        <v>15</v>
      </c>
      <c r="C437" s="1">
        <v>45675</v>
      </c>
      <c r="D437" s="1">
        <v>45720</v>
      </c>
      <c r="E437" s="2">
        <v>807.05</v>
      </c>
      <c r="F437" t="s">
        <v>11</v>
      </c>
      <c r="G437" t="s">
        <v>12</v>
      </c>
      <c r="I437" t="s">
        <v>13</v>
      </c>
      <c r="J437" t="str">
        <f>IF(ISBLANK(Table2[[#This Row],[ReceivedDate]]),"Unpaid",IF(Table2[[#This Row],[ReceivedDate]]&gt;Table2[[#This Row],[DueDate]],"Late",IF(Table2[[#This Row],[ReceivedDate]]&lt;Table2[[#This Row],[DueDate]],"Early","On Time")))</f>
        <v>Unpaid</v>
      </c>
    </row>
    <row r="438" spans="1:10" x14ac:dyDescent="0.3">
      <c r="A438" t="s">
        <v>459</v>
      </c>
      <c r="B438" t="s">
        <v>15</v>
      </c>
      <c r="C438" s="1">
        <v>45432</v>
      </c>
      <c r="D438" s="1">
        <v>45477</v>
      </c>
      <c r="E438" s="2">
        <v>5687.58</v>
      </c>
      <c r="F438" t="s">
        <v>26</v>
      </c>
      <c r="G438" t="s">
        <v>21</v>
      </c>
      <c r="H438" s="1">
        <v>45477</v>
      </c>
      <c r="I438" t="s">
        <v>13</v>
      </c>
      <c r="J438" t="str">
        <f>IF(ISBLANK(Table2[[#This Row],[ReceivedDate]]),"Unpaid",IF(Table2[[#This Row],[ReceivedDate]]&gt;Table2[[#This Row],[DueDate]],"Late",IF(Table2[[#This Row],[ReceivedDate]]&lt;Table2[[#This Row],[DueDate]],"Early","On Time")))</f>
        <v>On Time</v>
      </c>
    </row>
    <row r="439" spans="1:10" x14ac:dyDescent="0.3">
      <c r="A439" t="s">
        <v>460</v>
      </c>
      <c r="B439" t="s">
        <v>23</v>
      </c>
      <c r="C439" s="1">
        <v>45393</v>
      </c>
      <c r="D439" s="1">
        <v>45438</v>
      </c>
      <c r="E439" s="2">
        <v>7018.75</v>
      </c>
      <c r="F439" t="s">
        <v>11</v>
      </c>
      <c r="G439" t="s">
        <v>17</v>
      </c>
      <c r="I439" t="s">
        <v>13</v>
      </c>
      <c r="J439" t="str">
        <f>IF(ISBLANK(Table2[[#This Row],[ReceivedDate]]),"Unpaid",IF(Table2[[#This Row],[ReceivedDate]]&gt;Table2[[#This Row],[DueDate]],"Late",IF(Table2[[#This Row],[ReceivedDate]]&lt;Table2[[#This Row],[DueDate]],"Early","On Time")))</f>
        <v>Unpaid</v>
      </c>
    </row>
    <row r="440" spans="1:10" x14ac:dyDescent="0.3">
      <c r="A440" t="s">
        <v>461</v>
      </c>
      <c r="B440" t="s">
        <v>30</v>
      </c>
      <c r="C440" s="1">
        <v>45151</v>
      </c>
      <c r="D440" s="1">
        <v>45196</v>
      </c>
      <c r="E440" s="2">
        <v>3873.48</v>
      </c>
      <c r="F440" t="s">
        <v>11</v>
      </c>
      <c r="G440" t="s">
        <v>21</v>
      </c>
      <c r="H440" s="1">
        <v>45196</v>
      </c>
      <c r="I440" t="s">
        <v>13</v>
      </c>
      <c r="J440" t="str">
        <f>IF(ISBLANK(Table2[[#This Row],[ReceivedDate]]),"Unpaid",IF(Table2[[#This Row],[ReceivedDate]]&gt;Table2[[#This Row],[DueDate]],"Late",IF(Table2[[#This Row],[ReceivedDate]]&lt;Table2[[#This Row],[DueDate]],"Early","On Time")))</f>
        <v>On Time</v>
      </c>
    </row>
    <row r="441" spans="1:10" x14ac:dyDescent="0.3">
      <c r="A441" t="s">
        <v>462</v>
      </c>
      <c r="B441" t="s">
        <v>30</v>
      </c>
      <c r="C441" s="1">
        <v>45791</v>
      </c>
      <c r="D441" s="1">
        <v>45836</v>
      </c>
      <c r="E441" s="2">
        <v>538.58000000000004</v>
      </c>
      <c r="F441" t="s">
        <v>16</v>
      </c>
      <c r="G441" t="s">
        <v>21</v>
      </c>
      <c r="H441" s="1">
        <v>45836</v>
      </c>
      <c r="I441" t="s">
        <v>13</v>
      </c>
      <c r="J441" t="str">
        <f>IF(ISBLANK(Table2[[#This Row],[ReceivedDate]]),"Unpaid",IF(Table2[[#This Row],[ReceivedDate]]&gt;Table2[[#This Row],[DueDate]],"Late",IF(Table2[[#This Row],[ReceivedDate]]&lt;Table2[[#This Row],[DueDate]],"Early","On Time")))</f>
        <v>On Time</v>
      </c>
    </row>
    <row r="442" spans="1:10" x14ac:dyDescent="0.3">
      <c r="A442" t="s">
        <v>463</v>
      </c>
      <c r="B442" t="s">
        <v>10</v>
      </c>
      <c r="C442" s="1">
        <v>45052</v>
      </c>
      <c r="D442" s="1">
        <v>45097</v>
      </c>
      <c r="E442" s="2">
        <v>566.46</v>
      </c>
      <c r="F442" t="s">
        <v>28</v>
      </c>
      <c r="G442" t="s">
        <v>21</v>
      </c>
      <c r="H442" s="1">
        <v>45097</v>
      </c>
      <c r="I442" t="s">
        <v>13</v>
      </c>
      <c r="J442" t="str">
        <f>IF(ISBLANK(Table2[[#This Row],[ReceivedDate]]),"Unpaid",IF(Table2[[#This Row],[ReceivedDate]]&gt;Table2[[#This Row],[DueDate]],"Late",IF(Table2[[#This Row],[ReceivedDate]]&lt;Table2[[#This Row],[DueDate]],"Early","On Time")))</f>
        <v>On Time</v>
      </c>
    </row>
    <row r="443" spans="1:10" x14ac:dyDescent="0.3">
      <c r="A443" t="s">
        <v>464</v>
      </c>
      <c r="B443" t="s">
        <v>10</v>
      </c>
      <c r="C443" s="1">
        <v>45792</v>
      </c>
      <c r="D443" s="1">
        <v>45837</v>
      </c>
      <c r="E443" s="2">
        <v>2303.2399999999998</v>
      </c>
      <c r="F443" t="s">
        <v>26</v>
      </c>
      <c r="G443" t="s">
        <v>12</v>
      </c>
      <c r="I443" t="s">
        <v>13</v>
      </c>
      <c r="J443" t="str">
        <f>IF(ISBLANK(Table2[[#This Row],[ReceivedDate]]),"Unpaid",IF(Table2[[#This Row],[ReceivedDate]]&gt;Table2[[#This Row],[DueDate]],"Late",IF(Table2[[#This Row],[ReceivedDate]]&lt;Table2[[#This Row],[DueDate]],"Early","On Time")))</f>
        <v>Unpaid</v>
      </c>
    </row>
    <row r="444" spans="1:10" x14ac:dyDescent="0.3">
      <c r="A444" t="s">
        <v>465</v>
      </c>
      <c r="B444" t="s">
        <v>10</v>
      </c>
      <c r="C444" s="1">
        <v>45199</v>
      </c>
      <c r="D444" s="1">
        <v>45244</v>
      </c>
      <c r="E444" s="2">
        <v>2906.05</v>
      </c>
      <c r="F444" t="s">
        <v>28</v>
      </c>
      <c r="G444" t="s">
        <v>12</v>
      </c>
      <c r="I444" t="s">
        <v>13</v>
      </c>
      <c r="J444" t="str">
        <f>IF(ISBLANK(Table2[[#This Row],[ReceivedDate]]),"Unpaid",IF(Table2[[#This Row],[ReceivedDate]]&gt;Table2[[#This Row],[DueDate]],"Late",IF(Table2[[#This Row],[ReceivedDate]]&lt;Table2[[#This Row],[DueDate]],"Early","On Time")))</f>
        <v>Unpaid</v>
      </c>
    </row>
    <row r="445" spans="1:10" x14ac:dyDescent="0.3">
      <c r="A445" t="s">
        <v>466</v>
      </c>
      <c r="B445" t="s">
        <v>25</v>
      </c>
      <c r="C445" s="1">
        <v>44933</v>
      </c>
      <c r="D445" s="1">
        <v>44978</v>
      </c>
      <c r="E445" s="2">
        <v>5629.9</v>
      </c>
      <c r="F445" t="s">
        <v>16</v>
      </c>
      <c r="G445" t="s">
        <v>21</v>
      </c>
      <c r="H445" s="1">
        <v>44978</v>
      </c>
      <c r="I445" t="s">
        <v>13</v>
      </c>
      <c r="J445" t="str">
        <f>IF(ISBLANK(Table2[[#This Row],[ReceivedDate]]),"Unpaid",IF(Table2[[#This Row],[ReceivedDate]]&gt;Table2[[#This Row],[DueDate]],"Late",IF(Table2[[#This Row],[ReceivedDate]]&lt;Table2[[#This Row],[DueDate]],"Early","On Time")))</f>
        <v>On Time</v>
      </c>
    </row>
    <row r="446" spans="1:10" x14ac:dyDescent="0.3">
      <c r="A446" t="s">
        <v>467</v>
      </c>
      <c r="B446" t="s">
        <v>15</v>
      </c>
      <c r="C446" s="1">
        <v>45481</v>
      </c>
      <c r="D446" s="1">
        <v>45526</v>
      </c>
      <c r="E446" s="2">
        <v>1428.87</v>
      </c>
      <c r="F446" t="s">
        <v>26</v>
      </c>
      <c r="G446" t="s">
        <v>21</v>
      </c>
      <c r="H446" s="1">
        <v>45526</v>
      </c>
      <c r="I446" t="s">
        <v>13</v>
      </c>
      <c r="J446" t="str">
        <f>IF(ISBLANK(Table2[[#This Row],[ReceivedDate]]),"Unpaid",IF(Table2[[#This Row],[ReceivedDate]]&gt;Table2[[#This Row],[DueDate]],"Late",IF(Table2[[#This Row],[ReceivedDate]]&lt;Table2[[#This Row],[DueDate]],"Early","On Time")))</f>
        <v>On Time</v>
      </c>
    </row>
    <row r="447" spans="1:10" x14ac:dyDescent="0.3">
      <c r="A447" t="s">
        <v>468</v>
      </c>
      <c r="B447" t="s">
        <v>15</v>
      </c>
      <c r="C447" s="1">
        <v>45721</v>
      </c>
      <c r="D447" s="1">
        <v>45766</v>
      </c>
      <c r="E447" s="2">
        <v>2726.63</v>
      </c>
      <c r="F447" t="s">
        <v>19</v>
      </c>
      <c r="G447" t="s">
        <v>21</v>
      </c>
      <c r="H447" s="1">
        <v>45766</v>
      </c>
      <c r="I447" t="s">
        <v>13</v>
      </c>
      <c r="J447" t="str">
        <f>IF(ISBLANK(Table2[[#This Row],[ReceivedDate]]),"Unpaid",IF(Table2[[#This Row],[ReceivedDate]]&gt;Table2[[#This Row],[DueDate]],"Late",IF(Table2[[#This Row],[ReceivedDate]]&lt;Table2[[#This Row],[DueDate]],"Early","On Time")))</f>
        <v>On Time</v>
      </c>
    </row>
    <row r="448" spans="1:10" x14ac:dyDescent="0.3">
      <c r="A448" t="s">
        <v>469</v>
      </c>
      <c r="B448" t="s">
        <v>25</v>
      </c>
      <c r="C448" s="1">
        <v>45290</v>
      </c>
      <c r="D448" s="1">
        <v>45335</v>
      </c>
      <c r="E448" s="2">
        <v>4561.8999999999996</v>
      </c>
      <c r="F448" t="s">
        <v>11</v>
      </c>
      <c r="G448" t="s">
        <v>12</v>
      </c>
      <c r="I448" t="s">
        <v>13</v>
      </c>
      <c r="J448" t="str">
        <f>IF(ISBLANK(Table2[[#This Row],[ReceivedDate]]),"Unpaid",IF(Table2[[#This Row],[ReceivedDate]]&gt;Table2[[#This Row],[DueDate]],"Late",IF(Table2[[#This Row],[ReceivedDate]]&lt;Table2[[#This Row],[DueDate]],"Early","On Time")))</f>
        <v>Unpaid</v>
      </c>
    </row>
    <row r="449" spans="1:10" x14ac:dyDescent="0.3">
      <c r="A449" t="s">
        <v>470</v>
      </c>
      <c r="B449" t="s">
        <v>10</v>
      </c>
      <c r="C449" s="1">
        <v>45427</v>
      </c>
      <c r="D449" s="1">
        <v>45472</v>
      </c>
      <c r="E449" s="2">
        <v>6920.67</v>
      </c>
      <c r="F449" t="s">
        <v>28</v>
      </c>
      <c r="G449" t="s">
        <v>12</v>
      </c>
      <c r="I449" t="s">
        <v>13</v>
      </c>
      <c r="J449" t="str">
        <f>IF(ISBLANK(Table2[[#This Row],[ReceivedDate]]),"Unpaid",IF(Table2[[#This Row],[ReceivedDate]]&gt;Table2[[#This Row],[DueDate]],"Late",IF(Table2[[#This Row],[ReceivedDate]]&lt;Table2[[#This Row],[DueDate]],"Early","On Time")))</f>
        <v>Unpaid</v>
      </c>
    </row>
    <row r="450" spans="1:10" x14ac:dyDescent="0.3">
      <c r="A450" t="s">
        <v>471</v>
      </c>
      <c r="B450" t="s">
        <v>25</v>
      </c>
      <c r="C450" s="1">
        <v>45448</v>
      </c>
      <c r="D450" s="1">
        <v>45493</v>
      </c>
      <c r="E450" s="2">
        <v>1154.44</v>
      </c>
      <c r="F450" t="s">
        <v>28</v>
      </c>
      <c r="G450" t="s">
        <v>12</v>
      </c>
      <c r="I450" t="s">
        <v>13</v>
      </c>
      <c r="J450" t="str">
        <f>IF(ISBLANK(Table2[[#This Row],[ReceivedDate]]),"Unpaid",IF(Table2[[#This Row],[ReceivedDate]]&gt;Table2[[#This Row],[DueDate]],"Late",IF(Table2[[#This Row],[ReceivedDate]]&lt;Table2[[#This Row],[DueDate]],"Early","On Time")))</f>
        <v>Unpaid</v>
      </c>
    </row>
    <row r="451" spans="1:10" x14ac:dyDescent="0.3">
      <c r="A451" t="s">
        <v>472</v>
      </c>
      <c r="B451" t="s">
        <v>10</v>
      </c>
      <c r="C451" s="1">
        <v>45730</v>
      </c>
      <c r="D451" s="1">
        <v>45775</v>
      </c>
      <c r="E451" s="2">
        <v>6463.29</v>
      </c>
      <c r="F451" t="s">
        <v>19</v>
      </c>
      <c r="G451" t="s">
        <v>21</v>
      </c>
      <c r="H451" s="1">
        <v>45775</v>
      </c>
      <c r="I451" t="s">
        <v>13</v>
      </c>
      <c r="J451" t="str">
        <f>IF(ISBLANK(Table2[[#This Row],[ReceivedDate]]),"Unpaid",IF(Table2[[#This Row],[ReceivedDate]]&gt;Table2[[#This Row],[DueDate]],"Late",IF(Table2[[#This Row],[ReceivedDate]]&lt;Table2[[#This Row],[DueDate]],"Early","On Time")))</f>
        <v>On Time</v>
      </c>
    </row>
    <row r="452" spans="1:10" x14ac:dyDescent="0.3">
      <c r="A452" t="s">
        <v>473</v>
      </c>
      <c r="B452" t="s">
        <v>30</v>
      </c>
      <c r="C452" s="1">
        <v>45560</v>
      </c>
      <c r="D452" s="1">
        <v>45605</v>
      </c>
      <c r="E452" s="2">
        <v>2374.91</v>
      </c>
      <c r="F452" t="s">
        <v>16</v>
      </c>
      <c r="G452" t="s">
        <v>12</v>
      </c>
      <c r="I452" t="s">
        <v>13</v>
      </c>
      <c r="J452" t="str">
        <f>IF(ISBLANK(Table2[[#This Row],[ReceivedDate]]),"Unpaid",IF(Table2[[#This Row],[ReceivedDate]]&gt;Table2[[#This Row],[DueDate]],"Late",IF(Table2[[#This Row],[ReceivedDate]]&lt;Table2[[#This Row],[DueDate]],"Early","On Time")))</f>
        <v>Unpaid</v>
      </c>
    </row>
    <row r="453" spans="1:10" x14ac:dyDescent="0.3">
      <c r="A453" t="s">
        <v>474</v>
      </c>
      <c r="B453" t="s">
        <v>10</v>
      </c>
      <c r="C453" s="1">
        <v>45177</v>
      </c>
      <c r="D453" s="1">
        <v>45222</v>
      </c>
      <c r="E453" s="2">
        <v>2984.83</v>
      </c>
      <c r="F453" t="s">
        <v>28</v>
      </c>
      <c r="G453" t="s">
        <v>17</v>
      </c>
      <c r="I453" t="s">
        <v>13</v>
      </c>
      <c r="J453" t="str">
        <f>IF(ISBLANK(Table2[[#This Row],[ReceivedDate]]),"Unpaid",IF(Table2[[#This Row],[ReceivedDate]]&gt;Table2[[#This Row],[DueDate]],"Late",IF(Table2[[#This Row],[ReceivedDate]]&lt;Table2[[#This Row],[DueDate]],"Early","On Time")))</f>
        <v>Unpaid</v>
      </c>
    </row>
    <row r="454" spans="1:10" x14ac:dyDescent="0.3">
      <c r="A454" t="s">
        <v>475</v>
      </c>
      <c r="B454" t="s">
        <v>23</v>
      </c>
      <c r="C454" s="1">
        <v>45005</v>
      </c>
      <c r="D454" s="1">
        <v>45050</v>
      </c>
      <c r="E454" s="2">
        <v>5377.36</v>
      </c>
      <c r="F454" t="s">
        <v>19</v>
      </c>
      <c r="G454" t="s">
        <v>12</v>
      </c>
      <c r="I454" t="s">
        <v>13</v>
      </c>
      <c r="J454" t="str">
        <f>IF(ISBLANK(Table2[[#This Row],[ReceivedDate]]),"Unpaid",IF(Table2[[#This Row],[ReceivedDate]]&gt;Table2[[#This Row],[DueDate]],"Late",IF(Table2[[#This Row],[ReceivedDate]]&lt;Table2[[#This Row],[DueDate]],"Early","On Time")))</f>
        <v>Unpaid</v>
      </c>
    </row>
    <row r="455" spans="1:10" x14ac:dyDescent="0.3">
      <c r="A455" t="s">
        <v>476</v>
      </c>
      <c r="B455" t="s">
        <v>23</v>
      </c>
      <c r="C455" s="1">
        <v>45568</v>
      </c>
      <c r="D455" s="1">
        <v>45613</v>
      </c>
      <c r="E455" s="2">
        <v>4366.74</v>
      </c>
      <c r="F455" t="s">
        <v>16</v>
      </c>
      <c r="G455" t="s">
        <v>17</v>
      </c>
      <c r="I455" t="s">
        <v>13</v>
      </c>
      <c r="J455" t="str">
        <f>IF(ISBLANK(Table2[[#This Row],[ReceivedDate]]),"Unpaid",IF(Table2[[#This Row],[ReceivedDate]]&gt;Table2[[#This Row],[DueDate]],"Late",IF(Table2[[#This Row],[ReceivedDate]]&lt;Table2[[#This Row],[DueDate]],"Early","On Time")))</f>
        <v>Unpaid</v>
      </c>
    </row>
    <row r="456" spans="1:10" x14ac:dyDescent="0.3">
      <c r="A456" t="s">
        <v>477</v>
      </c>
      <c r="B456" t="s">
        <v>23</v>
      </c>
      <c r="C456" s="1">
        <v>45322</v>
      </c>
      <c r="D456" s="1">
        <v>45367</v>
      </c>
      <c r="E456" s="2">
        <v>2198.7600000000002</v>
      </c>
      <c r="F456" t="s">
        <v>19</v>
      </c>
      <c r="G456" t="s">
        <v>12</v>
      </c>
      <c r="I456" t="s">
        <v>13</v>
      </c>
      <c r="J456" t="str">
        <f>IF(ISBLANK(Table2[[#This Row],[ReceivedDate]]),"Unpaid",IF(Table2[[#This Row],[ReceivedDate]]&gt;Table2[[#This Row],[DueDate]],"Late",IF(Table2[[#This Row],[ReceivedDate]]&lt;Table2[[#This Row],[DueDate]],"Early","On Time")))</f>
        <v>Unpaid</v>
      </c>
    </row>
    <row r="457" spans="1:10" x14ac:dyDescent="0.3">
      <c r="A457" t="s">
        <v>478</v>
      </c>
      <c r="B457" t="s">
        <v>10</v>
      </c>
      <c r="C457" s="1">
        <v>45111</v>
      </c>
      <c r="D457" s="1">
        <v>45156</v>
      </c>
      <c r="E457" s="2">
        <v>2079.5700000000002</v>
      </c>
      <c r="F457" t="s">
        <v>26</v>
      </c>
      <c r="G457" t="s">
        <v>17</v>
      </c>
      <c r="I457" t="s">
        <v>13</v>
      </c>
      <c r="J457" t="str">
        <f>IF(ISBLANK(Table2[[#This Row],[ReceivedDate]]),"Unpaid",IF(Table2[[#This Row],[ReceivedDate]]&gt;Table2[[#This Row],[DueDate]],"Late",IF(Table2[[#This Row],[ReceivedDate]]&lt;Table2[[#This Row],[DueDate]],"Early","On Time")))</f>
        <v>Unpaid</v>
      </c>
    </row>
    <row r="458" spans="1:10" x14ac:dyDescent="0.3">
      <c r="A458" t="s">
        <v>479</v>
      </c>
      <c r="B458" t="s">
        <v>30</v>
      </c>
      <c r="C458" s="1">
        <v>45395</v>
      </c>
      <c r="D458" s="1">
        <v>45440</v>
      </c>
      <c r="E458" s="2">
        <v>6720.98</v>
      </c>
      <c r="F458" t="s">
        <v>28</v>
      </c>
      <c r="G458" t="s">
        <v>17</v>
      </c>
      <c r="I458" t="s">
        <v>13</v>
      </c>
      <c r="J458" t="str">
        <f>IF(ISBLANK(Table2[[#This Row],[ReceivedDate]]),"Unpaid",IF(Table2[[#This Row],[ReceivedDate]]&gt;Table2[[#This Row],[DueDate]],"Late",IF(Table2[[#This Row],[ReceivedDate]]&lt;Table2[[#This Row],[DueDate]],"Early","On Time")))</f>
        <v>Unpaid</v>
      </c>
    </row>
    <row r="459" spans="1:10" x14ac:dyDescent="0.3">
      <c r="A459" t="s">
        <v>480</v>
      </c>
      <c r="B459" t="s">
        <v>23</v>
      </c>
      <c r="C459" s="1">
        <v>45151</v>
      </c>
      <c r="D459" s="1">
        <v>45196</v>
      </c>
      <c r="E459" s="2">
        <v>1057.5899999999999</v>
      </c>
      <c r="F459" t="s">
        <v>28</v>
      </c>
      <c r="G459" t="s">
        <v>12</v>
      </c>
      <c r="I459" t="s">
        <v>13</v>
      </c>
      <c r="J459" t="str">
        <f>IF(ISBLANK(Table2[[#This Row],[ReceivedDate]]),"Unpaid",IF(Table2[[#This Row],[ReceivedDate]]&gt;Table2[[#This Row],[DueDate]],"Late",IF(Table2[[#This Row],[ReceivedDate]]&lt;Table2[[#This Row],[DueDate]],"Early","On Time")))</f>
        <v>Unpaid</v>
      </c>
    </row>
    <row r="460" spans="1:10" x14ac:dyDescent="0.3">
      <c r="A460" t="s">
        <v>481</v>
      </c>
      <c r="B460" t="s">
        <v>15</v>
      </c>
      <c r="C460" s="1">
        <v>45312</v>
      </c>
      <c r="D460" s="1">
        <v>45357</v>
      </c>
      <c r="E460" s="2">
        <v>2255.79</v>
      </c>
      <c r="F460" t="s">
        <v>11</v>
      </c>
      <c r="G460" t="s">
        <v>21</v>
      </c>
      <c r="H460" s="1">
        <v>45357</v>
      </c>
      <c r="I460" t="s">
        <v>13</v>
      </c>
      <c r="J460" t="str">
        <f>IF(ISBLANK(Table2[[#This Row],[ReceivedDate]]),"Unpaid",IF(Table2[[#This Row],[ReceivedDate]]&gt;Table2[[#This Row],[DueDate]],"Late",IF(Table2[[#This Row],[ReceivedDate]]&lt;Table2[[#This Row],[DueDate]],"Early","On Time")))</f>
        <v>On Time</v>
      </c>
    </row>
    <row r="461" spans="1:10" x14ac:dyDescent="0.3">
      <c r="A461" t="s">
        <v>482</v>
      </c>
      <c r="B461" t="s">
        <v>15</v>
      </c>
      <c r="C461" s="1">
        <v>45486</v>
      </c>
      <c r="D461" s="1">
        <v>45531</v>
      </c>
      <c r="E461" s="2">
        <v>5123.8599999999997</v>
      </c>
      <c r="F461" t="s">
        <v>11</v>
      </c>
      <c r="G461" t="s">
        <v>12</v>
      </c>
      <c r="I461" t="s">
        <v>13</v>
      </c>
      <c r="J461" t="str">
        <f>IF(ISBLANK(Table2[[#This Row],[ReceivedDate]]),"Unpaid",IF(Table2[[#This Row],[ReceivedDate]]&gt;Table2[[#This Row],[DueDate]],"Late",IF(Table2[[#This Row],[ReceivedDate]]&lt;Table2[[#This Row],[DueDate]],"Early","On Time")))</f>
        <v>Unpaid</v>
      </c>
    </row>
    <row r="462" spans="1:10" x14ac:dyDescent="0.3">
      <c r="A462" t="s">
        <v>483</v>
      </c>
      <c r="B462" t="s">
        <v>10</v>
      </c>
      <c r="C462" s="1">
        <v>45298</v>
      </c>
      <c r="D462" s="1">
        <v>45343</v>
      </c>
      <c r="E462" s="2">
        <v>6519.59</v>
      </c>
      <c r="F462" t="s">
        <v>16</v>
      </c>
      <c r="G462" t="s">
        <v>12</v>
      </c>
      <c r="I462" t="s">
        <v>13</v>
      </c>
      <c r="J462" t="str">
        <f>IF(ISBLANK(Table2[[#This Row],[ReceivedDate]]),"Unpaid",IF(Table2[[#This Row],[ReceivedDate]]&gt;Table2[[#This Row],[DueDate]],"Late",IF(Table2[[#This Row],[ReceivedDate]]&lt;Table2[[#This Row],[DueDate]],"Early","On Time")))</f>
        <v>Unpaid</v>
      </c>
    </row>
    <row r="463" spans="1:10" x14ac:dyDescent="0.3">
      <c r="A463" t="s">
        <v>484</v>
      </c>
      <c r="B463" t="s">
        <v>15</v>
      </c>
      <c r="C463" s="1">
        <v>45655</v>
      </c>
      <c r="D463" s="1">
        <v>45700</v>
      </c>
      <c r="E463" s="2">
        <v>662.3</v>
      </c>
      <c r="F463" t="s">
        <v>16</v>
      </c>
      <c r="G463" t="s">
        <v>21</v>
      </c>
      <c r="H463" s="1">
        <v>45700</v>
      </c>
      <c r="I463" t="s">
        <v>13</v>
      </c>
      <c r="J463" t="str">
        <f>IF(ISBLANK(Table2[[#This Row],[ReceivedDate]]),"Unpaid",IF(Table2[[#This Row],[ReceivedDate]]&gt;Table2[[#This Row],[DueDate]],"Late",IF(Table2[[#This Row],[ReceivedDate]]&lt;Table2[[#This Row],[DueDate]],"Early","On Time")))</f>
        <v>On Time</v>
      </c>
    </row>
    <row r="464" spans="1:10" x14ac:dyDescent="0.3">
      <c r="A464" t="s">
        <v>485</v>
      </c>
      <c r="B464" t="s">
        <v>30</v>
      </c>
      <c r="C464" s="1">
        <v>45403</v>
      </c>
      <c r="D464" s="1">
        <v>45448</v>
      </c>
      <c r="E464" s="2">
        <v>1797.3</v>
      </c>
      <c r="F464" t="s">
        <v>16</v>
      </c>
      <c r="G464" t="s">
        <v>17</v>
      </c>
      <c r="I464" t="s">
        <v>13</v>
      </c>
      <c r="J464" t="str">
        <f>IF(ISBLANK(Table2[[#This Row],[ReceivedDate]]),"Unpaid",IF(Table2[[#This Row],[ReceivedDate]]&gt;Table2[[#This Row],[DueDate]],"Late",IF(Table2[[#This Row],[ReceivedDate]]&lt;Table2[[#This Row],[DueDate]],"Early","On Time")))</f>
        <v>Unpaid</v>
      </c>
    </row>
    <row r="465" spans="1:10" x14ac:dyDescent="0.3">
      <c r="A465" t="s">
        <v>486</v>
      </c>
      <c r="B465" t="s">
        <v>25</v>
      </c>
      <c r="C465" s="1">
        <v>45063</v>
      </c>
      <c r="D465" s="1">
        <v>45108</v>
      </c>
      <c r="E465" s="2">
        <v>3397.38</v>
      </c>
      <c r="F465" t="s">
        <v>16</v>
      </c>
      <c r="G465" t="s">
        <v>21</v>
      </c>
      <c r="H465" s="1">
        <v>45108</v>
      </c>
      <c r="I465" t="s">
        <v>13</v>
      </c>
      <c r="J465" t="str">
        <f>IF(ISBLANK(Table2[[#This Row],[ReceivedDate]]),"Unpaid",IF(Table2[[#This Row],[ReceivedDate]]&gt;Table2[[#This Row],[DueDate]],"Late",IF(Table2[[#This Row],[ReceivedDate]]&lt;Table2[[#This Row],[DueDate]],"Early","On Time")))</f>
        <v>On Time</v>
      </c>
    </row>
    <row r="466" spans="1:10" x14ac:dyDescent="0.3">
      <c r="A466" t="s">
        <v>487</v>
      </c>
      <c r="B466" t="s">
        <v>25</v>
      </c>
      <c r="C466" s="1">
        <v>45328</v>
      </c>
      <c r="D466" s="1">
        <v>45373</v>
      </c>
      <c r="E466" s="2">
        <v>3447.69</v>
      </c>
      <c r="F466" t="s">
        <v>19</v>
      </c>
      <c r="G466" t="s">
        <v>21</v>
      </c>
      <c r="H466" s="1">
        <v>45373</v>
      </c>
      <c r="I466" t="s">
        <v>13</v>
      </c>
      <c r="J466" t="str">
        <f>IF(ISBLANK(Table2[[#This Row],[ReceivedDate]]),"Unpaid",IF(Table2[[#This Row],[ReceivedDate]]&gt;Table2[[#This Row],[DueDate]],"Late",IF(Table2[[#This Row],[ReceivedDate]]&lt;Table2[[#This Row],[DueDate]],"Early","On Time")))</f>
        <v>On Time</v>
      </c>
    </row>
    <row r="467" spans="1:10" x14ac:dyDescent="0.3">
      <c r="A467" t="s">
        <v>488</v>
      </c>
      <c r="B467" t="s">
        <v>30</v>
      </c>
      <c r="C467" s="1">
        <v>45402</v>
      </c>
      <c r="D467" s="1">
        <v>45447</v>
      </c>
      <c r="E467" s="2">
        <v>1445.51</v>
      </c>
      <c r="F467" t="s">
        <v>19</v>
      </c>
      <c r="G467" t="s">
        <v>12</v>
      </c>
      <c r="I467" t="s">
        <v>13</v>
      </c>
      <c r="J467" t="str">
        <f>IF(ISBLANK(Table2[[#This Row],[ReceivedDate]]),"Unpaid",IF(Table2[[#This Row],[ReceivedDate]]&gt;Table2[[#This Row],[DueDate]],"Late",IF(Table2[[#This Row],[ReceivedDate]]&lt;Table2[[#This Row],[DueDate]],"Early","On Time")))</f>
        <v>Unpaid</v>
      </c>
    </row>
    <row r="468" spans="1:10" x14ac:dyDescent="0.3">
      <c r="A468" t="s">
        <v>489</v>
      </c>
      <c r="B468" t="s">
        <v>30</v>
      </c>
      <c r="C468" s="1">
        <v>45723</v>
      </c>
      <c r="D468" s="1">
        <v>45768</v>
      </c>
      <c r="E468" s="2">
        <v>5287.65</v>
      </c>
      <c r="F468" t="s">
        <v>11</v>
      </c>
      <c r="G468" t="s">
        <v>12</v>
      </c>
      <c r="I468" t="s">
        <v>13</v>
      </c>
      <c r="J468" t="str">
        <f>IF(ISBLANK(Table2[[#This Row],[ReceivedDate]]),"Unpaid",IF(Table2[[#This Row],[ReceivedDate]]&gt;Table2[[#This Row],[DueDate]],"Late",IF(Table2[[#This Row],[ReceivedDate]]&lt;Table2[[#This Row],[DueDate]],"Early","On Time")))</f>
        <v>Unpaid</v>
      </c>
    </row>
    <row r="469" spans="1:10" x14ac:dyDescent="0.3">
      <c r="A469" t="s">
        <v>490</v>
      </c>
      <c r="B469" t="s">
        <v>15</v>
      </c>
      <c r="C469" s="1">
        <v>45342</v>
      </c>
      <c r="D469" s="1">
        <v>45387</v>
      </c>
      <c r="E469" s="2">
        <v>6849.97</v>
      </c>
      <c r="F469" t="s">
        <v>28</v>
      </c>
      <c r="G469" t="s">
        <v>12</v>
      </c>
      <c r="I469" t="s">
        <v>13</v>
      </c>
      <c r="J469" t="str">
        <f>IF(ISBLANK(Table2[[#This Row],[ReceivedDate]]),"Unpaid",IF(Table2[[#This Row],[ReceivedDate]]&gt;Table2[[#This Row],[DueDate]],"Late",IF(Table2[[#This Row],[ReceivedDate]]&lt;Table2[[#This Row],[DueDate]],"Early","On Time")))</f>
        <v>Unpaid</v>
      </c>
    </row>
    <row r="470" spans="1:10" x14ac:dyDescent="0.3">
      <c r="A470" t="s">
        <v>491</v>
      </c>
      <c r="B470" t="s">
        <v>15</v>
      </c>
      <c r="C470" s="1">
        <v>44959</v>
      </c>
      <c r="D470" s="1">
        <v>45004</v>
      </c>
      <c r="E470" s="2">
        <v>3057.81</v>
      </c>
      <c r="F470" t="s">
        <v>19</v>
      </c>
      <c r="G470" t="s">
        <v>17</v>
      </c>
      <c r="I470" t="s">
        <v>13</v>
      </c>
      <c r="J470" t="str">
        <f>IF(ISBLANK(Table2[[#This Row],[ReceivedDate]]),"Unpaid",IF(Table2[[#This Row],[ReceivedDate]]&gt;Table2[[#This Row],[DueDate]],"Late",IF(Table2[[#This Row],[ReceivedDate]]&lt;Table2[[#This Row],[DueDate]],"Early","On Time")))</f>
        <v>Unpaid</v>
      </c>
    </row>
    <row r="471" spans="1:10" x14ac:dyDescent="0.3">
      <c r="A471" t="s">
        <v>492</v>
      </c>
      <c r="B471" t="s">
        <v>23</v>
      </c>
      <c r="C471" s="1">
        <v>45586</v>
      </c>
      <c r="D471" s="1">
        <v>45631</v>
      </c>
      <c r="E471" s="2">
        <v>228.89</v>
      </c>
      <c r="F471" t="s">
        <v>26</v>
      </c>
      <c r="G471" t="s">
        <v>21</v>
      </c>
      <c r="H471" s="1">
        <v>45631</v>
      </c>
      <c r="I471" t="s">
        <v>13</v>
      </c>
      <c r="J471" t="str">
        <f>IF(ISBLANK(Table2[[#This Row],[ReceivedDate]]),"Unpaid",IF(Table2[[#This Row],[ReceivedDate]]&gt;Table2[[#This Row],[DueDate]],"Late",IF(Table2[[#This Row],[ReceivedDate]]&lt;Table2[[#This Row],[DueDate]],"Early","On Time")))</f>
        <v>On Time</v>
      </c>
    </row>
    <row r="472" spans="1:10" x14ac:dyDescent="0.3">
      <c r="A472" t="s">
        <v>493</v>
      </c>
      <c r="B472" t="s">
        <v>10</v>
      </c>
      <c r="C472" s="1">
        <v>45714</v>
      </c>
      <c r="D472" s="1">
        <v>45759</v>
      </c>
      <c r="E472" s="2">
        <v>2991.8</v>
      </c>
      <c r="F472" t="s">
        <v>11</v>
      </c>
      <c r="G472" t="s">
        <v>21</v>
      </c>
      <c r="H472" s="1">
        <v>45759</v>
      </c>
      <c r="I472" t="s">
        <v>13</v>
      </c>
      <c r="J472" t="str">
        <f>IF(ISBLANK(Table2[[#This Row],[ReceivedDate]]),"Unpaid",IF(Table2[[#This Row],[ReceivedDate]]&gt;Table2[[#This Row],[DueDate]],"Late",IF(Table2[[#This Row],[ReceivedDate]]&lt;Table2[[#This Row],[DueDate]],"Early","On Time")))</f>
        <v>On Time</v>
      </c>
    </row>
    <row r="473" spans="1:10" x14ac:dyDescent="0.3">
      <c r="A473" t="s">
        <v>494</v>
      </c>
      <c r="B473" t="s">
        <v>23</v>
      </c>
      <c r="C473" s="1">
        <v>45098</v>
      </c>
      <c r="D473" s="1">
        <v>45143</v>
      </c>
      <c r="E473" s="2">
        <v>5406.93</v>
      </c>
      <c r="F473" t="s">
        <v>28</v>
      </c>
      <c r="G473" t="s">
        <v>17</v>
      </c>
      <c r="I473" t="s">
        <v>13</v>
      </c>
      <c r="J473" t="str">
        <f>IF(ISBLANK(Table2[[#This Row],[ReceivedDate]]),"Unpaid",IF(Table2[[#This Row],[ReceivedDate]]&gt;Table2[[#This Row],[DueDate]],"Late",IF(Table2[[#This Row],[ReceivedDate]]&lt;Table2[[#This Row],[DueDate]],"Early","On Time")))</f>
        <v>Unpaid</v>
      </c>
    </row>
    <row r="474" spans="1:10" x14ac:dyDescent="0.3">
      <c r="A474" t="s">
        <v>495</v>
      </c>
      <c r="B474" t="s">
        <v>10</v>
      </c>
      <c r="C474" s="1">
        <v>45617</v>
      </c>
      <c r="D474" s="1">
        <v>45662</v>
      </c>
      <c r="E474" s="2">
        <v>6854.97</v>
      </c>
      <c r="F474" t="s">
        <v>11</v>
      </c>
      <c r="G474" t="s">
        <v>12</v>
      </c>
      <c r="I474" t="s">
        <v>13</v>
      </c>
      <c r="J474" t="str">
        <f>IF(ISBLANK(Table2[[#This Row],[ReceivedDate]]),"Unpaid",IF(Table2[[#This Row],[ReceivedDate]]&gt;Table2[[#This Row],[DueDate]],"Late",IF(Table2[[#This Row],[ReceivedDate]]&lt;Table2[[#This Row],[DueDate]],"Early","On Time")))</f>
        <v>Unpaid</v>
      </c>
    </row>
    <row r="475" spans="1:10" x14ac:dyDescent="0.3">
      <c r="A475" t="s">
        <v>496</v>
      </c>
      <c r="B475" t="s">
        <v>25</v>
      </c>
      <c r="C475" s="1">
        <v>44954</v>
      </c>
      <c r="D475" s="1">
        <v>44999</v>
      </c>
      <c r="E475" s="2">
        <v>877.13</v>
      </c>
      <c r="F475" t="s">
        <v>16</v>
      </c>
      <c r="G475" t="s">
        <v>21</v>
      </c>
      <c r="H475" s="1">
        <v>44999</v>
      </c>
      <c r="I475" t="s">
        <v>13</v>
      </c>
      <c r="J475" t="str">
        <f>IF(ISBLANK(Table2[[#This Row],[ReceivedDate]]),"Unpaid",IF(Table2[[#This Row],[ReceivedDate]]&gt;Table2[[#This Row],[DueDate]],"Late",IF(Table2[[#This Row],[ReceivedDate]]&lt;Table2[[#This Row],[DueDate]],"Early","On Time")))</f>
        <v>On Time</v>
      </c>
    </row>
    <row r="476" spans="1:10" x14ac:dyDescent="0.3">
      <c r="A476" t="s">
        <v>497</v>
      </c>
      <c r="B476" t="s">
        <v>30</v>
      </c>
      <c r="C476" s="1">
        <v>45391</v>
      </c>
      <c r="D476" s="1">
        <v>45436</v>
      </c>
      <c r="E476" s="2">
        <v>2494.5300000000002</v>
      </c>
      <c r="F476" t="s">
        <v>16</v>
      </c>
      <c r="G476" t="s">
        <v>17</v>
      </c>
      <c r="I476" t="s">
        <v>13</v>
      </c>
      <c r="J476" t="str">
        <f>IF(ISBLANK(Table2[[#This Row],[ReceivedDate]]),"Unpaid",IF(Table2[[#This Row],[ReceivedDate]]&gt;Table2[[#This Row],[DueDate]],"Late",IF(Table2[[#This Row],[ReceivedDate]]&lt;Table2[[#This Row],[DueDate]],"Early","On Time")))</f>
        <v>Unpaid</v>
      </c>
    </row>
    <row r="477" spans="1:10" x14ac:dyDescent="0.3">
      <c r="A477" t="s">
        <v>498</v>
      </c>
      <c r="B477" t="s">
        <v>10</v>
      </c>
      <c r="C477" s="1">
        <v>45028</v>
      </c>
      <c r="D477" s="1">
        <v>45073</v>
      </c>
      <c r="E477" s="2">
        <v>3610.15</v>
      </c>
      <c r="F477" t="s">
        <v>26</v>
      </c>
      <c r="G477" t="s">
        <v>17</v>
      </c>
      <c r="I477" t="s">
        <v>13</v>
      </c>
      <c r="J477" t="str">
        <f>IF(ISBLANK(Table2[[#This Row],[ReceivedDate]]),"Unpaid",IF(Table2[[#This Row],[ReceivedDate]]&gt;Table2[[#This Row],[DueDate]],"Late",IF(Table2[[#This Row],[ReceivedDate]]&lt;Table2[[#This Row],[DueDate]],"Early","On Time")))</f>
        <v>Unpaid</v>
      </c>
    </row>
    <row r="478" spans="1:10" x14ac:dyDescent="0.3">
      <c r="A478" t="s">
        <v>499</v>
      </c>
      <c r="B478" t="s">
        <v>10</v>
      </c>
      <c r="C478" s="1">
        <v>45516</v>
      </c>
      <c r="D478" s="1">
        <v>45561</v>
      </c>
      <c r="E478" s="2">
        <v>2501.8000000000002</v>
      </c>
      <c r="F478" t="s">
        <v>19</v>
      </c>
      <c r="G478" t="s">
        <v>21</v>
      </c>
      <c r="H478" s="1">
        <v>45561</v>
      </c>
      <c r="I478" t="s">
        <v>13</v>
      </c>
      <c r="J478" t="str">
        <f>IF(ISBLANK(Table2[[#This Row],[ReceivedDate]]),"Unpaid",IF(Table2[[#This Row],[ReceivedDate]]&gt;Table2[[#This Row],[DueDate]],"Late",IF(Table2[[#This Row],[ReceivedDate]]&lt;Table2[[#This Row],[DueDate]],"Early","On Time")))</f>
        <v>On Time</v>
      </c>
    </row>
    <row r="479" spans="1:10" x14ac:dyDescent="0.3">
      <c r="A479" t="s">
        <v>500</v>
      </c>
      <c r="B479" t="s">
        <v>25</v>
      </c>
      <c r="C479" s="1">
        <v>45371</v>
      </c>
      <c r="D479" s="1">
        <v>45416</v>
      </c>
      <c r="E479" s="2">
        <v>2866.83</v>
      </c>
      <c r="F479" t="s">
        <v>11</v>
      </c>
      <c r="G479" t="s">
        <v>17</v>
      </c>
      <c r="I479" t="s">
        <v>13</v>
      </c>
      <c r="J479" t="str">
        <f>IF(ISBLANK(Table2[[#This Row],[ReceivedDate]]),"Unpaid",IF(Table2[[#This Row],[ReceivedDate]]&gt;Table2[[#This Row],[DueDate]],"Late",IF(Table2[[#This Row],[ReceivedDate]]&lt;Table2[[#This Row],[DueDate]],"Early","On Time")))</f>
        <v>Unpaid</v>
      </c>
    </row>
    <row r="480" spans="1:10" x14ac:dyDescent="0.3">
      <c r="A480" t="s">
        <v>501</v>
      </c>
      <c r="B480" t="s">
        <v>30</v>
      </c>
      <c r="C480" s="1">
        <v>45244</v>
      </c>
      <c r="D480" s="1">
        <v>45289</v>
      </c>
      <c r="E480" s="2">
        <v>6939.15</v>
      </c>
      <c r="F480" t="s">
        <v>26</v>
      </c>
      <c r="G480" t="s">
        <v>17</v>
      </c>
      <c r="I480" t="s">
        <v>13</v>
      </c>
      <c r="J480" t="str">
        <f>IF(ISBLANK(Table2[[#This Row],[ReceivedDate]]),"Unpaid",IF(Table2[[#This Row],[ReceivedDate]]&gt;Table2[[#This Row],[DueDate]],"Late",IF(Table2[[#This Row],[ReceivedDate]]&lt;Table2[[#This Row],[DueDate]],"Early","On Time")))</f>
        <v>Unpaid</v>
      </c>
    </row>
    <row r="481" spans="1:10" x14ac:dyDescent="0.3">
      <c r="A481" t="s">
        <v>502</v>
      </c>
      <c r="B481" t="s">
        <v>25</v>
      </c>
      <c r="C481" s="1">
        <v>44963</v>
      </c>
      <c r="D481" s="1">
        <v>45008</v>
      </c>
      <c r="E481" s="2">
        <v>2509.56</v>
      </c>
      <c r="F481" t="s">
        <v>16</v>
      </c>
      <c r="G481" t="s">
        <v>12</v>
      </c>
      <c r="I481" t="s">
        <v>13</v>
      </c>
      <c r="J481" t="str">
        <f>IF(ISBLANK(Table2[[#This Row],[ReceivedDate]]),"Unpaid",IF(Table2[[#This Row],[ReceivedDate]]&gt;Table2[[#This Row],[DueDate]],"Late",IF(Table2[[#This Row],[ReceivedDate]]&lt;Table2[[#This Row],[DueDate]],"Early","On Time")))</f>
        <v>Unpaid</v>
      </c>
    </row>
    <row r="482" spans="1:10" x14ac:dyDescent="0.3">
      <c r="A482" t="s">
        <v>503</v>
      </c>
      <c r="B482" t="s">
        <v>30</v>
      </c>
      <c r="C482" s="1">
        <v>45723</v>
      </c>
      <c r="D482" s="1">
        <v>45768</v>
      </c>
      <c r="E482" s="2">
        <v>6743.85</v>
      </c>
      <c r="F482" t="s">
        <v>19</v>
      </c>
      <c r="G482" t="s">
        <v>21</v>
      </c>
      <c r="H482" s="1">
        <v>45768</v>
      </c>
      <c r="I482" t="s">
        <v>13</v>
      </c>
      <c r="J482" t="str">
        <f>IF(ISBLANK(Table2[[#This Row],[ReceivedDate]]),"Unpaid",IF(Table2[[#This Row],[ReceivedDate]]&gt;Table2[[#This Row],[DueDate]],"Late",IF(Table2[[#This Row],[ReceivedDate]]&lt;Table2[[#This Row],[DueDate]],"Early","On Time")))</f>
        <v>On Time</v>
      </c>
    </row>
    <row r="483" spans="1:10" x14ac:dyDescent="0.3">
      <c r="A483" t="s">
        <v>504</v>
      </c>
      <c r="B483" t="s">
        <v>30</v>
      </c>
      <c r="C483" s="1">
        <v>45064</v>
      </c>
      <c r="D483" s="1">
        <v>45109</v>
      </c>
      <c r="E483" s="2">
        <v>1370.41</v>
      </c>
      <c r="F483" t="s">
        <v>16</v>
      </c>
      <c r="G483" t="s">
        <v>12</v>
      </c>
      <c r="I483" t="s">
        <v>13</v>
      </c>
      <c r="J483" t="str">
        <f>IF(ISBLANK(Table2[[#This Row],[ReceivedDate]]),"Unpaid",IF(Table2[[#This Row],[ReceivedDate]]&gt;Table2[[#This Row],[DueDate]],"Late",IF(Table2[[#This Row],[ReceivedDate]]&lt;Table2[[#This Row],[DueDate]],"Early","On Time")))</f>
        <v>Unpaid</v>
      </c>
    </row>
    <row r="484" spans="1:10" x14ac:dyDescent="0.3">
      <c r="A484" t="s">
        <v>505</v>
      </c>
      <c r="B484" t="s">
        <v>10</v>
      </c>
      <c r="C484" s="1">
        <v>45707</v>
      </c>
      <c r="D484" s="1">
        <v>45752</v>
      </c>
      <c r="E484" s="2">
        <v>4623.54</v>
      </c>
      <c r="F484" t="s">
        <v>16</v>
      </c>
      <c r="G484" t="s">
        <v>17</v>
      </c>
      <c r="I484" t="s">
        <v>13</v>
      </c>
      <c r="J484" t="str">
        <f>IF(ISBLANK(Table2[[#This Row],[ReceivedDate]]),"Unpaid",IF(Table2[[#This Row],[ReceivedDate]]&gt;Table2[[#This Row],[DueDate]],"Late",IF(Table2[[#This Row],[ReceivedDate]]&lt;Table2[[#This Row],[DueDate]],"Early","On Time")))</f>
        <v>Unpaid</v>
      </c>
    </row>
    <row r="485" spans="1:10" x14ac:dyDescent="0.3">
      <c r="A485" t="s">
        <v>506</v>
      </c>
      <c r="B485" t="s">
        <v>30</v>
      </c>
      <c r="C485" s="1">
        <v>45115</v>
      </c>
      <c r="D485" s="1">
        <v>45160</v>
      </c>
      <c r="E485" s="2">
        <v>2675.9</v>
      </c>
      <c r="F485" t="s">
        <v>28</v>
      </c>
      <c r="G485" t="s">
        <v>21</v>
      </c>
      <c r="H485" s="1">
        <v>45160</v>
      </c>
      <c r="I485" t="s">
        <v>13</v>
      </c>
      <c r="J485" t="str">
        <f>IF(ISBLANK(Table2[[#This Row],[ReceivedDate]]),"Unpaid",IF(Table2[[#This Row],[ReceivedDate]]&gt;Table2[[#This Row],[DueDate]],"Late",IF(Table2[[#This Row],[ReceivedDate]]&lt;Table2[[#This Row],[DueDate]],"Early","On Time")))</f>
        <v>On Time</v>
      </c>
    </row>
    <row r="486" spans="1:10" x14ac:dyDescent="0.3">
      <c r="A486" t="s">
        <v>507</v>
      </c>
      <c r="B486" t="s">
        <v>30</v>
      </c>
      <c r="C486" s="1">
        <v>45319</v>
      </c>
      <c r="D486" s="1">
        <v>45364</v>
      </c>
      <c r="E486" s="2">
        <v>7985.15</v>
      </c>
      <c r="F486" t="s">
        <v>28</v>
      </c>
      <c r="G486" t="s">
        <v>21</v>
      </c>
      <c r="H486" s="1">
        <v>45364</v>
      </c>
      <c r="I486" t="s">
        <v>13</v>
      </c>
      <c r="J486" t="str">
        <f>IF(ISBLANK(Table2[[#This Row],[ReceivedDate]]),"Unpaid",IF(Table2[[#This Row],[ReceivedDate]]&gt;Table2[[#This Row],[DueDate]],"Late",IF(Table2[[#This Row],[ReceivedDate]]&lt;Table2[[#This Row],[DueDate]],"Early","On Time")))</f>
        <v>On Time</v>
      </c>
    </row>
    <row r="487" spans="1:10" x14ac:dyDescent="0.3">
      <c r="A487" t="s">
        <v>508</v>
      </c>
      <c r="B487" t="s">
        <v>30</v>
      </c>
      <c r="C487" s="1">
        <v>45508</v>
      </c>
      <c r="D487" s="1">
        <v>45553</v>
      </c>
      <c r="E487" s="2">
        <v>5313.37</v>
      </c>
      <c r="F487" t="s">
        <v>19</v>
      </c>
      <c r="G487" t="s">
        <v>17</v>
      </c>
      <c r="I487" t="s">
        <v>13</v>
      </c>
      <c r="J487" t="str">
        <f>IF(ISBLANK(Table2[[#This Row],[ReceivedDate]]),"Unpaid",IF(Table2[[#This Row],[ReceivedDate]]&gt;Table2[[#This Row],[DueDate]],"Late",IF(Table2[[#This Row],[ReceivedDate]]&lt;Table2[[#This Row],[DueDate]],"Early","On Time")))</f>
        <v>Unpaid</v>
      </c>
    </row>
    <row r="488" spans="1:10" x14ac:dyDescent="0.3">
      <c r="A488" t="s">
        <v>509</v>
      </c>
      <c r="B488" t="s">
        <v>30</v>
      </c>
      <c r="C488" s="1">
        <v>45152</v>
      </c>
      <c r="D488" s="1">
        <v>45197</v>
      </c>
      <c r="E488" s="2">
        <v>3408.89</v>
      </c>
      <c r="F488" t="s">
        <v>19</v>
      </c>
      <c r="G488" t="s">
        <v>21</v>
      </c>
      <c r="H488" s="1">
        <v>45197</v>
      </c>
      <c r="I488" t="s">
        <v>13</v>
      </c>
      <c r="J488" t="str">
        <f>IF(ISBLANK(Table2[[#This Row],[ReceivedDate]]),"Unpaid",IF(Table2[[#This Row],[ReceivedDate]]&gt;Table2[[#This Row],[DueDate]],"Late",IF(Table2[[#This Row],[ReceivedDate]]&lt;Table2[[#This Row],[DueDate]],"Early","On Time")))</f>
        <v>On Time</v>
      </c>
    </row>
    <row r="489" spans="1:10" x14ac:dyDescent="0.3">
      <c r="A489" t="s">
        <v>510</v>
      </c>
      <c r="B489" t="s">
        <v>15</v>
      </c>
      <c r="C489" s="1">
        <v>45770</v>
      </c>
      <c r="D489" s="1">
        <v>45815</v>
      </c>
      <c r="E489" s="2">
        <v>5267.1</v>
      </c>
      <c r="F489" t="s">
        <v>26</v>
      </c>
      <c r="G489" t="s">
        <v>21</v>
      </c>
      <c r="H489" s="1">
        <v>45815</v>
      </c>
      <c r="I489" t="s">
        <v>13</v>
      </c>
      <c r="J489" t="str">
        <f>IF(ISBLANK(Table2[[#This Row],[ReceivedDate]]),"Unpaid",IF(Table2[[#This Row],[ReceivedDate]]&gt;Table2[[#This Row],[DueDate]],"Late",IF(Table2[[#This Row],[ReceivedDate]]&lt;Table2[[#This Row],[DueDate]],"Early","On Time")))</f>
        <v>On Time</v>
      </c>
    </row>
    <row r="490" spans="1:10" x14ac:dyDescent="0.3">
      <c r="A490" t="s">
        <v>511</v>
      </c>
      <c r="B490" t="s">
        <v>30</v>
      </c>
      <c r="C490" s="1">
        <v>45230</v>
      </c>
      <c r="D490" s="1">
        <v>45275</v>
      </c>
      <c r="E490" s="2">
        <v>4451.7</v>
      </c>
      <c r="F490" t="s">
        <v>11</v>
      </c>
      <c r="G490" t="s">
        <v>21</v>
      </c>
      <c r="H490" s="1">
        <v>45275</v>
      </c>
      <c r="I490" t="s">
        <v>13</v>
      </c>
      <c r="J490" t="str">
        <f>IF(ISBLANK(Table2[[#This Row],[ReceivedDate]]),"Unpaid",IF(Table2[[#This Row],[ReceivedDate]]&gt;Table2[[#This Row],[DueDate]],"Late",IF(Table2[[#This Row],[ReceivedDate]]&lt;Table2[[#This Row],[DueDate]],"Early","On Time")))</f>
        <v>On Time</v>
      </c>
    </row>
    <row r="491" spans="1:10" x14ac:dyDescent="0.3">
      <c r="A491" t="s">
        <v>512</v>
      </c>
      <c r="B491" t="s">
        <v>23</v>
      </c>
      <c r="C491" s="1">
        <v>45652</v>
      </c>
      <c r="D491" s="1">
        <v>45697</v>
      </c>
      <c r="E491" s="2">
        <v>6348.41</v>
      </c>
      <c r="F491" t="s">
        <v>11</v>
      </c>
      <c r="G491" t="s">
        <v>21</v>
      </c>
      <c r="H491" s="1">
        <v>45697</v>
      </c>
      <c r="I491" t="s">
        <v>13</v>
      </c>
      <c r="J491" t="str">
        <f>IF(ISBLANK(Table2[[#This Row],[ReceivedDate]]),"Unpaid",IF(Table2[[#This Row],[ReceivedDate]]&gt;Table2[[#This Row],[DueDate]],"Late",IF(Table2[[#This Row],[ReceivedDate]]&lt;Table2[[#This Row],[DueDate]],"Early","On Time")))</f>
        <v>On Time</v>
      </c>
    </row>
    <row r="492" spans="1:10" x14ac:dyDescent="0.3">
      <c r="A492" t="s">
        <v>513</v>
      </c>
      <c r="B492" t="s">
        <v>10</v>
      </c>
      <c r="C492" s="1">
        <v>45736</v>
      </c>
      <c r="D492" s="1">
        <v>45781</v>
      </c>
      <c r="E492" s="2">
        <v>7924.12</v>
      </c>
      <c r="F492" t="s">
        <v>28</v>
      </c>
      <c r="G492" t="s">
        <v>21</v>
      </c>
      <c r="H492" s="1">
        <v>45781</v>
      </c>
      <c r="I492" t="s">
        <v>13</v>
      </c>
      <c r="J492" t="str">
        <f>IF(ISBLANK(Table2[[#This Row],[ReceivedDate]]),"Unpaid",IF(Table2[[#This Row],[ReceivedDate]]&gt;Table2[[#This Row],[DueDate]],"Late",IF(Table2[[#This Row],[ReceivedDate]]&lt;Table2[[#This Row],[DueDate]],"Early","On Time")))</f>
        <v>On Time</v>
      </c>
    </row>
    <row r="493" spans="1:10" x14ac:dyDescent="0.3">
      <c r="A493" t="s">
        <v>514</v>
      </c>
      <c r="B493" t="s">
        <v>23</v>
      </c>
      <c r="C493" s="1">
        <v>45232</v>
      </c>
      <c r="D493" s="1">
        <v>45277</v>
      </c>
      <c r="E493" s="2">
        <v>6434.44</v>
      </c>
      <c r="F493" t="s">
        <v>28</v>
      </c>
      <c r="G493" t="s">
        <v>12</v>
      </c>
      <c r="I493" t="s">
        <v>13</v>
      </c>
      <c r="J493" t="str">
        <f>IF(ISBLANK(Table2[[#This Row],[ReceivedDate]]),"Unpaid",IF(Table2[[#This Row],[ReceivedDate]]&gt;Table2[[#This Row],[DueDate]],"Late",IF(Table2[[#This Row],[ReceivedDate]]&lt;Table2[[#This Row],[DueDate]],"Early","On Time")))</f>
        <v>Unpaid</v>
      </c>
    </row>
    <row r="494" spans="1:10" x14ac:dyDescent="0.3">
      <c r="A494" t="s">
        <v>515</v>
      </c>
      <c r="B494" t="s">
        <v>23</v>
      </c>
      <c r="C494" s="1">
        <v>45457</v>
      </c>
      <c r="D494" s="1">
        <v>45502</v>
      </c>
      <c r="E494" s="2">
        <v>2742.6</v>
      </c>
      <c r="F494" t="s">
        <v>16</v>
      </c>
      <c r="G494" t="s">
        <v>12</v>
      </c>
      <c r="I494" t="s">
        <v>13</v>
      </c>
      <c r="J494" t="str">
        <f>IF(ISBLANK(Table2[[#This Row],[ReceivedDate]]),"Unpaid",IF(Table2[[#This Row],[ReceivedDate]]&gt;Table2[[#This Row],[DueDate]],"Late",IF(Table2[[#This Row],[ReceivedDate]]&lt;Table2[[#This Row],[DueDate]],"Early","On Time")))</f>
        <v>Unpaid</v>
      </c>
    </row>
    <row r="495" spans="1:10" x14ac:dyDescent="0.3">
      <c r="A495" t="s">
        <v>516</v>
      </c>
      <c r="B495" t="s">
        <v>30</v>
      </c>
      <c r="C495" s="1">
        <v>45600</v>
      </c>
      <c r="D495" s="1">
        <v>45645</v>
      </c>
      <c r="E495" s="2">
        <v>2495.48</v>
      </c>
      <c r="F495" t="s">
        <v>28</v>
      </c>
      <c r="G495" t="s">
        <v>17</v>
      </c>
      <c r="I495" t="s">
        <v>13</v>
      </c>
      <c r="J495" t="str">
        <f>IF(ISBLANK(Table2[[#This Row],[ReceivedDate]]),"Unpaid",IF(Table2[[#This Row],[ReceivedDate]]&gt;Table2[[#This Row],[DueDate]],"Late",IF(Table2[[#This Row],[ReceivedDate]]&lt;Table2[[#This Row],[DueDate]],"Early","On Time")))</f>
        <v>Unpaid</v>
      </c>
    </row>
    <row r="496" spans="1:10" x14ac:dyDescent="0.3">
      <c r="A496" t="s">
        <v>517</v>
      </c>
      <c r="B496" t="s">
        <v>30</v>
      </c>
      <c r="C496" s="1">
        <v>45060</v>
      </c>
      <c r="D496" s="1">
        <v>45105</v>
      </c>
      <c r="E496" s="2">
        <v>4577.08</v>
      </c>
      <c r="F496" t="s">
        <v>16</v>
      </c>
      <c r="G496" t="s">
        <v>21</v>
      </c>
      <c r="H496" s="1">
        <v>45105</v>
      </c>
      <c r="I496" t="s">
        <v>13</v>
      </c>
      <c r="J496" t="str">
        <f>IF(ISBLANK(Table2[[#This Row],[ReceivedDate]]),"Unpaid",IF(Table2[[#This Row],[ReceivedDate]]&gt;Table2[[#This Row],[DueDate]],"Late",IF(Table2[[#This Row],[ReceivedDate]]&lt;Table2[[#This Row],[DueDate]],"Early","On Time")))</f>
        <v>On Time</v>
      </c>
    </row>
    <row r="497" spans="1:10" x14ac:dyDescent="0.3">
      <c r="A497" t="s">
        <v>518</v>
      </c>
      <c r="B497" t="s">
        <v>15</v>
      </c>
      <c r="C497" s="1">
        <v>45029</v>
      </c>
      <c r="D497" s="1">
        <v>45074</v>
      </c>
      <c r="E497" s="2">
        <v>2137.89</v>
      </c>
      <c r="F497" t="s">
        <v>28</v>
      </c>
      <c r="G497" t="s">
        <v>17</v>
      </c>
      <c r="I497" t="s">
        <v>13</v>
      </c>
      <c r="J497" t="str">
        <f>IF(ISBLANK(Table2[[#This Row],[ReceivedDate]]),"Unpaid",IF(Table2[[#This Row],[ReceivedDate]]&gt;Table2[[#This Row],[DueDate]],"Late",IF(Table2[[#This Row],[ReceivedDate]]&lt;Table2[[#This Row],[DueDate]],"Early","On Time")))</f>
        <v>Unpaid</v>
      </c>
    </row>
    <row r="498" spans="1:10" x14ac:dyDescent="0.3">
      <c r="A498" t="s">
        <v>519</v>
      </c>
      <c r="B498" t="s">
        <v>25</v>
      </c>
      <c r="C498" s="1">
        <v>45298</v>
      </c>
      <c r="D498" s="1">
        <v>45343</v>
      </c>
      <c r="E498" s="2">
        <v>6435.43</v>
      </c>
      <c r="F498" t="s">
        <v>26</v>
      </c>
      <c r="G498" t="s">
        <v>12</v>
      </c>
      <c r="I498" t="s">
        <v>13</v>
      </c>
      <c r="J498" t="str">
        <f>IF(ISBLANK(Table2[[#This Row],[ReceivedDate]]),"Unpaid",IF(Table2[[#This Row],[ReceivedDate]]&gt;Table2[[#This Row],[DueDate]],"Late",IF(Table2[[#This Row],[ReceivedDate]]&lt;Table2[[#This Row],[DueDate]],"Early","On Time")))</f>
        <v>Unpaid</v>
      </c>
    </row>
    <row r="499" spans="1:10" x14ac:dyDescent="0.3">
      <c r="A499" t="s">
        <v>520</v>
      </c>
      <c r="B499" t="s">
        <v>15</v>
      </c>
      <c r="C499" s="1">
        <v>45194</v>
      </c>
      <c r="D499" s="1">
        <v>45239</v>
      </c>
      <c r="E499" s="2">
        <v>1273.69</v>
      </c>
      <c r="F499" t="s">
        <v>26</v>
      </c>
      <c r="G499" t="s">
        <v>17</v>
      </c>
      <c r="I499" t="s">
        <v>13</v>
      </c>
      <c r="J499" t="str">
        <f>IF(ISBLANK(Table2[[#This Row],[ReceivedDate]]),"Unpaid",IF(Table2[[#This Row],[ReceivedDate]]&gt;Table2[[#This Row],[DueDate]],"Late",IF(Table2[[#This Row],[ReceivedDate]]&lt;Table2[[#This Row],[DueDate]],"Early","On Time")))</f>
        <v>Unpaid</v>
      </c>
    </row>
    <row r="500" spans="1:10" x14ac:dyDescent="0.3">
      <c r="A500" t="s">
        <v>521</v>
      </c>
      <c r="B500" t="s">
        <v>30</v>
      </c>
      <c r="C500" s="1">
        <v>45208</v>
      </c>
      <c r="D500" s="1">
        <v>45253</v>
      </c>
      <c r="E500" s="2">
        <v>343.33</v>
      </c>
      <c r="F500" t="s">
        <v>28</v>
      </c>
      <c r="G500" t="s">
        <v>21</v>
      </c>
      <c r="H500" s="1">
        <v>45253</v>
      </c>
      <c r="I500" t="s">
        <v>13</v>
      </c>
      <c r="J500" t="str">
        <f>IF(ISBLANK(Table2[[#This Row],[ReceivedDate]]),"Unpaid",IF(Table2[[#This Row],[ReceivedDate]]&gt;Table2[[#This Row],[DueDate]],"Late",IF(Table2[[#This Row],[ReceivedDate]]&lt;Table2[[#This Row],[DueDate]],"Early","On Time")))</f>
        <v>On Time</v>
      </c>
    </row>
    <row r="501" spans="1:10" x14ac:dyDescent="0.3">
      <c r="A501" t="s">
        <v>522</v>
      </c>
      <c r="B501" t="s">
        <v>23</v>
      </c>
      <c r="C501" s="1">
        <v>45405</v>
      </c>
      <c r="D501" s="1">
        <v>45450</v>
      </c>
      <c r="E501" s="2">
        <v>5946.46</v>
      </c>
      <c r="F501" t="s">
        <v>28</v>
      </c>
      <c r="G501" t="s">
        <v>21</v>
      </c>
      <c r="H501" s="1">
        <v>45450</v>
      </c>
      <c r="I501" t="s">
        <v>13</v>
      </c>
      <c r="J501" t="str">
        <f>IF(ISBLANK(Table2[[#This Row],[ReceivedDate]]),"Unpaid",IF(Table2[[#This Row],[ReceivedDate]]&gt;Table2[[#This Row],[DueDate]],"Late",IF(Table2[[#This Row],[ReceivedDate]]&lt;Table2[[#This Row],[DueDate]],"Early","On Time")))</f>
        <v>On Time</v>
      </c>
    </row>
    <row r="502" spans="1:10" x14ac:dyDescent="0.3">
      <c r="A502" t="s">
        <v>523</v>
      </c>
      <c r="B502" t="s">
        <v>10</v>
      </c>
      <c r="C502" s="1">
        <v>45783</v>
      </c>
      <c r="D502" s="1">
        <v>45828</v>
      </c>
      <c r="E502" s="2">
        <v>5055.62</v>
      </c>
      <c r="F502" t="s">
        <v>26</v>
      </c>
      <c r="G502" t="s">
        <v>12</v>
      </c>
      <c r="I502" t="s">
        <v>13</v>
      </c>
      <c r="J502" t="str">
        <f>IF(ISBLANK(Table2[[#This Row],[ReceivedDate]]),"Unpaid",IF(Table2[[#This Row],[ReceivedDate]]&gt;Table2[[#This Row],[DueDate]],"Late",IF(Table2[[#This Row],[ReceivedDate]]&lt;Table2[[#This Row],[DueDate]],"Early","On Time")))</f>
        <v>Unpaid</v>
      </c>
    </row>
    <row r="503" spans="1:10" x14ac:dyDescent="0.3">
      <c r="A503" t="s">
        <v>524</v>
      </c>
      <c r="B503" t="s">
        <v>30</v>
      </c>
      <c r="C503" s="1">
        <v>45126</v>
      </c>
      <c r="D503" s="1">
        <v>45171</v>
      </c>
      <c r="E503" s="2">
        <v>1629.61</v>
      </c>
      <c r="F503" t="s">
        <v>16</v>
      </c>
      <c r="G503" t="s">
        <v>17</v>
      </c>
      <c r="I503" t="s">
        <v>13</v>
      </c>
      <c r="J503" t="str">
        <f>IF(ISBLANK(Table2[[#This Row],[ReceivedDate]]),"Unpaid",IF(Table2[[#This Row],[ReceivedDate]]&gt;Table2[[#This Row],[DueDate]],"Late",IF(Table2[[#This Row],[ReceivedDate]]&lt;Table2[[#This Row],[DueDate]],"Early","On Time")))</f>
        <v>Unpaid</v>
      </c>
    </row>
    <row r="504" spans="1:10" x14ac:dyDescent="0.3">
      <c r="A504" t="s">
        <v>525</v>
      </c>
      <c r="B504" t="s">
        <v>25</v>
      </c>
      <c r="C504" s="1">
        <v>45354</v>
      </c>
      <c r="D504" s="1">
        <v>45399</v>
      </c>
      <c r="E504" s="2">
        <v>6605.12</v>
      </c>
      <c r="F504" t="s">
        <v>26</v>
      </c>
      <c r="G504" t="s">
        <v>12</v>
      </c>
      <c r="I504" t="s">
        <v>13</v>
      </c>
      <c r="J504" t="str">
        <f>IF(ISBLANK(Table2[[#This Row],[ReceivedDate]]),"Unpaid",IF(Table2[[#This Row],[ReceivedDate]]&gt;Table2[[#This Row],[DueDate]],"Late",IF(Table2[[#This Row],[ReceivedDate]]&lt;Table2[[#This Row],[DueDate]],"Early","On Time")))</f>
        <v>Unpaid</v>
      </c>
    </row>
    <row r="505" spans="1:10" x14ac:dyDescent="0.3">
      <c r="A505" t="s">
        <v>526</v>
      </c>
      <c r="B505" t="s">
        <v>10</v>
      </c>
      <c r="C505" s="1">
        <v>45174</v>
      </c>
      <c r="D505" s="1">
        <v>45219</v>
      </c>
      <c r="E505" s="2">
        <v>2497.34</v>
      </c>
      <c r="F505" t="s">
        <v>28</v>
      </c>
      <c r="G505" t="s">
        <v>17</v>
      </c>
      <c r="I505" t="s">
        <v>13</v>
      </c>
      <c r="J505" t="str">
        <f>IF(ISBLANK(Table2[[#This Row],[ReceivedDate]]),"Unpaid",IF(Table2[[#This Row],[ReceivedDate]]&gt;Table2[[#This Row],[DueDate]],"Late",IF(Table2[[#This Row],[ReceivedDate]]&lt;Table2[[#This Row],[DueDate]],"Early","On Time")))</f>
        <v>Unpaid</v>
      </c>
    </row>
    <row r="506" spans="1:10" x14ac:dyDescent="0.3">
      <c r="A506" t="s">
        <v>527</v>
      </c>
      <c r="B506" t="s">
        <v>23</v>
      </c>
      <c r="C506" s="1">
        <v>45122</v>
      </c>
      <c r="D506" s="1">
        <v>45167</v>
      </c>
      <c r="E506" s="2">
        <v>6514.17</v>
      </c>
      <c r="F506" t="s">
        <v>11</v>
      </c>
      <c r="G506" t="s">
        <v>21</v>
      </c>
      <c r="H506" s="1">
        <v>45167</v>
      </c>
      <c r="I506" t="s">
        <v>13</v>
      </c>
      <c r="J506" t="str">
        <f>IF(ISBLANK(Table2[[#This Row],[ReceivedDate]]),"Unpaid",IF(Table2[[#This Row],[ReceivedDate]]&gt;Table2[[#This Row],[DueDate]],"Late",IF(Table2[[#This Row],[ReceivedDate]]&lt;Table2[[#This Row],[DueDate]],"Early","On Time")))</f>
        <v>On Time</v>
      </c>
    </row>
    <row r="507" spans="1:10" x14ac:dyDescent="0.3">
      <c r="A507" t="s">
        <v>528</v>
      </c>
      <c r="B507" t="s">
        <v>30</v>
      </c>
      <c r="C507" s="1">
        <v>45564</v>
      </c>
      <c r="D507" s="1">
        <v>45609</v>
      </c>
      <c r="E507" s="2">
        <v>3027.77</v>
      </c>
      <c r="F507" t="s">
        <v>11</v>
      </c>
      <c r="G507" t="s">
        <v>17</v>
      </c>
      <c r="I507" t="s">
        <v>13</v>
      </c>
      <c r="J507" t="str">
        <f>IF(ISBLANK(Table2[[#This Row],[ReceivedDate]]),"Unpaid",IF(Table2[[#This Row],[ReceivedDate]]&gt;Table2[[#This Row],[DueDate]],"Late",IF(Table2[[#This Row],[ReceivedDate]]&lt;Table2[[#This Row],[DueDate]],"Early","On Time")))</f>
        <v>Unpaid</v>
      </c>
    </row>
    <row r="508" spans="1:10" x14ac:dyDescent="0.3">
      <c r="A508" t="s">
        <v>529</v>
      </c>
      <c r="B508" t="s">
        <v>15</v>
      </c>
      <c r="C508" s="1">
        <v>45341</v>
      </c>
      <c r="D508" s="1">
        <v>45386</v>
      </c>
      <c r="E508" s="2">
        <v>3375.12</v>
      </c>
      <c r="F508" t="s">
        <v>19</v>
      </c>
      <c r="G508" t="s">
        <v>21</v>
      </c>
      <c r="H508" s="1">
        <v>45386</v>
      </c>
      <c r="I508" t="s">
        <v>13</v>
      </c>
      <c r="J508" t="str">
        <f>IF(ISBLANK(Table2[[#This Row],[ReceivedDate]]),"Unpaid",IF(Table2[[#This Row],[ReceivedDate]]&gt;Table2[[#This Row],[DueDate]],"Late",IF(Table2[[#This Row],[ReceivedDate]]&lt;Table2[[#This Row],[DueDate]],"Early","On Time")))</f>
        <v>On Time</v>
      </c>
    </row>
    <row r="509" spans="1:10" x14ac:dyDescent="0.3">
      <c r="A509" t="s">
        <v>530</v>
      </c>
      <c r="B509" t="s">
        <v>15</v>
      </c>
      <c r="C509" s="1">
        <v>44937</v>
      </c>
      <c r="D509" s="1">
        <v>44982</v>
      </c>
      <c r="E509" s="2">
        <v>7102.62</v>
      </c>
      <c r="F509" t="s">
        <v>19</v>
      </c>
      <c r="G509" t="s">
        <v>17</v>
      </c>
      <c r="I509" t="s">
        <v>13</v>
      </c>
      <c r="J509" t="str">
        <f>IF(ISBLANK(Table2[[#This Row],[ReceivedDate]]),"Unpaid",IF(Table2[[#This Row],[ReceivedDate]]&gt;Table2[[#This Row],[DueDate]],"Late",IF(Table2[[#This Row],[ReceivedDate]]&lt;Table2[[#This Row],[DueDate]],"Early","On Time")))</f>
        <v>Unpaid</v>
      </c>
    </row>
    <row r="510" spans="1:10" x14ac:dyDescent="0.3">
      <c r="A510" t="s">
        <v>531</v>
      </c>
      <c r="B510" t="s">
        <v>23</v>
      </c>
      <c r="C510" s="1">
        <v>45490</v>
      </c>
      <c r="D510" s="1">
        <v>45535</v>
      </c>
      <c r="E510" s="2">
        <v>5929.86</v>
      </c>
      <c r="F510" t="s">
        <v>11</v>
      </c>
      <c r="G510" t="s">
        <v>17</v>
      </c>
      <c r="I510" t="s">
        <v>13</v>
      </c>
      <c r="J510" t="str">
        <f>IF(ISBLANK(Table2[[#This Row],[ReceivedDate]]),"Unpaid",IF(Table2[[#This Row],[ReceivedDate]]&gt;Table2[[#This Row],[DueDate]],"Late",IF(Table2[[#This Row],[ReceivedDate]]&lt;Table2[[#This Row],[DueDate]],"Early","On Time")))</f>
        <v>Unpaid</v>
      </c>
    </row>
    <row r="511" spans="1:10" x14ac:dyDescent="0.3">
      <c r="A511" t="s">
        <v>532</v>
      </c>
      <c r="B511" t="s">
        <v>10</v>
      </c>
      <c r="C511" s="1">
        <v>44953</v>
      </c>
      <c r="D511" s="1">
        <v>44998</v>
      </c>
      <c r="E511" s="2">
        <v>6424.1</v>
      </c>
      <c r="F511" t="s">
        <v>19</v>
      </c>
      <c r="G511" t="s">
        <v>12</v>
      </c>
      <c r="I511" t="s">
        <v>13</v>
      </c>
      <c r="J511" t="str">
        <f>IF(ISBLANK(Table2[[#This Row],[ReceivedDate]]),"Unpaid",IF(Table2[[#This Row],[ReceivedDate]]&gt;Table2[[#This Row],[DueDate]],"Late",IF(Table2[[#This Row],[ReceivedDate]]&lt;Table2[[#This Row],[DueDate]],"Early","On Time")))</f>
        <v>Unpaid</v>
      </c>
    </row>
    <row r="512" spans="1:10" x14ac:dyDescent="0.3">
      <c r="A512" t="s">
        <v>533</v>
      </c>
      <c r="B512" t="s">
        <v>23</v>
      </c>
      <c r="C512" s="1">
        <v>45535</v>
      </c>
      <c r="D512" s="1">
        <v>45580</v>
      </c>
      <c r="E512" s="2">
        <v>4923.67</v>
      </c>
      <c r="F512" t="s">
        <v>28</v>
      </c>
      <c r="G512" t="s">
        <v>17</v>
      </c>
      <c r="I512" t="s">
        <v>13</v>
      </c>
      <c r="J512" t="str">
        <f>IF(ISBLANK(Table2[[#This Row],[ReceivedDate]]),"Unpaid",IF(Table2[[#This Row],[ReceivedDate]]&gt;Table2[[#This Row],[DueDate]],"Late",IF(Table2[[#This Row],[ReceivedDate]]&lt;Table2[[#This Row],[DueDate]],"Early","On Time")))</f>
        <v>Unpaid</v>
      </c>
    </row>
    <row r="513" spans="1:10" x14ac:dyDescent="0.3">
      <c r="A513" t="s">
        <v>534</v>
      </c>
      <c r="B513" t="s">
        <v>10</v>
      </c>
      <c r="C513" s="1">
        <v>45687</v>
      </c>
      <c r="D513" s="1">
        <v>45732</v>
      </c>
      <c r="E513" s="2">
        <v>2084.73</v>
      </c>
      <c r="F513" t="s">
        <v>28</v>
      </c>
      <c r="G513" t="s">
        <v>21</v>
      </c>
      <c r="H513" s="1">
        <v>45732</v>
      </c>
      <c r="I513" t="s">
        <v>13</v>
      </c>
      <c r="J513" t="str">
        <f>IF(ISBLANK(Table2[[#This Row],[ReceivedDate]]),"Unpaid",IF(Table2[[#This Row],[ReceivedDate]]&gt;Table2[[#This Row],[DueDate]],"Late",IF(Table2[[#This Row],[ReceivedDate]]&lt;Table2[[#This Row],[DueDate]],"Early","On Time")))</f>
        <v>On Time</v>
      </c>
    </row>
    <row r="514" spans="1:10" x14ac:dyDescent="0.3">
      <c r="A514" t="s">
        <v>535</v>
      </c>
      <c r="B514" t="s">
        <v>10</v>
      </c>
      <c r="C514" s="1">
        <v>45701</v>
      </c>
      <c r="D514" s="1">
        <v>45746</v>
      </c>
      <c r="E514" s="2">
        <v>6136.43</v>
      </c>
      <c r="F514" t="s">
        <v>26</v>
      </c>
      <c r="G514" t="s">
        <v>17</v>
      </c>
      <c r="I514" t="s">
        <v>13</v>
      </c>
      <c r="J514" t="str">
        <f>IF(ISBLANK(Table2[[#This Row],[ReceivedDate]]),"Unpaid",IF(Table2[[#This Row],[ReceivedDate]]&gt;Table2[[#This Row],[DueDate]],"Late",IF(Table2[[#This Row],[ReceivedDate]]&lt;Table2[[#This Row],[DueDate]],"Early","On Time")))</f>
        <v>Unpaid</v>
      </c>
    </row>
    <row r="515" spans="1:10" x14ac:dyDescent="0.3">
      <c r="A515" t="s">
        <v>536</v>
      </c>
      <c r="B515" t="s">
        <v>23</v>
      </c>
      <c r="C515" s="1">
        <v>44973</v>
      </c>
      <c r="D515" s="1">
        <v>45018</v>
      </c>
      <c r="E515" s="2">
        <v>3787.59</v>
      </c>
      <c r="F515" t="s">
        <v>28</v>
      </c>
      <c r="G515" t="s">
        <v>21</v>
      </c>
      <c r="H515" s="1">
        <v>45018</v>
      </c>
      <c r="I515" t="s">
        <v>13</v>
      </c>
      <c r="J515" t="str">
        <f>IF(ISBLANK(Table2[[#This Row],[ReceivedDate]]),"Unpaid",IF(Table2[[#This Row],[ReceivedDate]]&gt;Table2[[#This Row],[DueDate]],"Late",IF(Table2[[#This Row],[ReceivedDate]]&lt;Table2[[#This Row],[DueDate]],"Early","On Time")))</f>
        <v>On Time</v>
      </c>
    </row>
    <row r="516" spans="1:10" x14ac:dyDescent="0.3">
      <c r="A516" t="s">
        <v>537</v>
      </c>
      <c r="B516" t="s">
        <v>10</v>
      </c>
      <c r="C516" s="1">
        <v>45194</v>
      </c>
      <c r="D516" s="1">
        <v>45239</v>
      </c>
      <c r="E516" s="2">
        <v>6215.44</v>
      </c>
      <c r="F516" t="s">
        <v>26</v>
      </c>
      <c r="G516" t="s">
        <v>17</v>
      </c>
      <c r="I516" t="s">
        <v>13</v>
      </c>
      <c r="J516" t="str">
        <f>IF(ISBLANK(Table2[[#This Row],[ReceivedDate]]),"Unpaid",IF(Table2[[#This Row],[ReceivedDate]]&gt;Table2[[#This Row],[DueDate]],"Late",IF(Table2[[#This Row],[ReceivedDate]]&lt;Table2[[#This Row],[DueDate]],"Early","On Time")))</f>
        <v>Unpaid</v>
      </c>
    </row>
    <row r="517" spans="1:10" x14ac:dyDescent="0.3">
      <c r="A517" t="s">
        <v>538</v>
      </c>
      <c r="B517" t="s">
        <v>25</v>
      </c>
      <c r="C517" s="1">
        <v>44945</v>
      </c>
      <c r="D517" s="1">
        <v>44990</v>
      </c>
      <c r="E517" s="2">
        <v>2857.74</v>
      </c>
      <c r="F517" t="s">
        <v>19</v>
      </c>
      <c r="G517" t="s">
        <v>12</v>
      </c>
      <c r="I517" t="s">
        <v>13</v>
      </c>
      <c r="J517" t="str">
        <f>IF(ISBLANK(Table2[[#This Row],[ReceivedDate]]),"Unpaid",IF(Table2[[#This Row],[ReceivedDate]]&gt;Table2[[#This Row],[DueDate]],"Late",IF(Table2[[#This Row],[ReceivedDate]]&lt;Table2[[#This Row],[DueDate]],"Early","On Time")))</f>
        <v>Unpaid</v>
      </c>
    </row>
    <row r="518" spans="1:10" x14ac:dyDescent="0.3">
      <c r="A518" t="s">
        <v>539</v>
      </c>
      <c r="B518" t="s">
        <v>23</v>
      </c>
      <c r="C518" s="1">
        <v>45375</v>
      </c>
      <c r="D518" s="1">
        <v>45420</v>
      </c>
      <c r="E518" s="2">
        <v>4322.01</v>
      </c>
      <c r="F518" t="s">
        <v>26</v>
      </c>
      <c r="G518" t="s">
        <v>12</v>
      </c>
      <c r="I518" t="s">
        <v>13</v>
      </c>
      <c r="J518" t="str">
        <f>IF(ISBLANK(Table2[[#This Row],[ReceivedDate]]),"Unpaid",IF(Table2[[#This Row],[ReceivedDate]]&gt;Table2[[#This Row],[DueDate]],"Late",IF(Table2[[#This Row],[ReceivedDate]]&lt;Table2[[#This Row],[DueDate]],"Early","On Time")))</f>
        <v>Unpaid</v>
      </c>
    </row>
    <row r="519" spans="1:10" x14ac:dyDescent="0.3">
      <c r="A519" t="s">
        <v>540</v>
      </c>
      <c r="B519" t="s">
        <v>10</v>
      </c>
      <c r="C519" s="1">
        <v>45713</v>
      </c>
      <c r="D519" s="1">
        <v>45758</v>
      </c>
      <c r="E519" s="2">
        <v>7905.09</v>
      </c>
      <c r="F519" t="s">
        <v>26</v>
      </c>
      <c r="G519" t="s">
        <v>17</v>
      </c>
      <c r="I519" t="s">
        <v>13</v>
      </c>
      <c r="J519" t="str">
        <f>IF(ISBLANK(Table2[[#This Row],[ReceivedDate]]),"Unpaid",IF(Table2[[#This Row],[ReceivedDate]]&gt;Table2[[#This Row],[DueDate]],"Late",IF(Table2[[#This Row],[ReceivedDate]]&lt;Table2[[#This Row],[DueDate]],"Early","On Time")))</f>
        <v>Unpaid</v>
      </c>
    </row>
    <row r="520" spans="1:10" x14ac:dyDescent="0.3">
      <c r="A520" t="s">
        <v>541</v>
      </c>
      <c r="B520" t="s">
        <v>15</v>
      </c>
      <c r="C520" s="1">
        <v>45350</v>
      </c>
      <c r="D520" s="1">
        <v>45395</v>
      </c>
      <c r="E520" s="2">
        <v>743.1</v>
      </c>
      <c r="F520" t="s">
        <v>26</v>
      </c>
      <c r="G520" t="s">
        <v>12</v>
      </c>
      <c r="I520" t="s">
        <v>13</v>
      </c>
      <c r="J520" t="str">
        <f>IF(ISBLANK(Table2[[#This Row],[ReceivedDate]]),"Unpaid",IF(Table2[[#This Row],[ReceivedDate]]&gt;Table2[[#This Row],[DueDate]],"Late",IF(Table2[[#This Row],[ReceivedDate]]&lt;Table2[[#This Row],[DueDate]],"Early","On Time")))</f>
        <v>Unpaid</v>
      </c>
    </row>
    <row r="521" spans="1:10" x14ac:dyDescent="0.3">
      <c r="A521" t="s">
        <v>542</v>
      </c>
      <c r="B521" t="s">
        <v>30</v>
      </c>
      <c r="C521" s="1">
        <v>45297</v>
      </c>
      <c r="D521" s="1">
        <v>45342</v>
      </c>
      <c r="E521" s="2">
        <v>6727.1</v>
      </c>
      <c r="F521" t="s">
        <v>16</v>
      </c>
      <c r="G521" t="s">
        <v>12</v>
      </c>
      <c r="I521" t="s">
        <v>13</v>
      </c>
      <c r="J521" t="str">
        <f>IF(ISBLANK(Table2[[#This Row],[ReceivedDate]]),"Unpaid",IF(Table2[[#This Row],[ReceivedDate]]&gt;Table2[[#This Row],[DueDate]],"Late",IF(Table2[[#This Row],[ReceivedDate]]&lt;Table2[[#This Row],[DueDate]],"Early","On Time")))</f>
        <v>Unpaid</v>
      </c>
    </row>
    <row r="522" spans="1:10" x14ac:dyDescent="0.3">
      <c r="A522" t="s">
        <v>543</v>
      </c>
      <c r="B522" t="s">
        <v>23</v>
      </c>
      <c r="C522" s="1">
        <v>45812</v>
      </c>
      <c r="D522" s="1">
        <v>45857</v>
      </c>
      <c r="E522" s="2">
        <v>917.97</v>
      </c>
      <c r="F522" t="s">
        <v>28</v>
      </c>
      <c r="G522" t="s">
        <v>17</v>
      </c>
      <c r="I522" t="s">
        <v>13</v>
      </c>
      <c r="J522" t="str">
        <f>IF(ISBLANK(Table2[[#This Row],[ReceivedDate]]),"Unpaid",IF(Table2[[#This Row],[ReceivedDate]]&gt;Table2[[#This Row],[DueDate]],"Late",IF(Table2[[#This Row],[ReceivedDate]]&lt;Table2[[#This Row],[DueDate]],"Early","On Time")))</f>
        <v>Unpaid</v>
      </c>
    </row>
    <row r="523" spans="1:10" x14ac:dyDescent="0.3">
      <c r="A523" t="s">
        <v>544</v>
      </c>
      <c r="B523" t="s">
        <v>10</v>
      </c>
      <c r="C523" s="1">
        <v>45520</v>
      </c>
      <c r="D523" s="1">
        <v>45565</v>
      </c>
      <c r="E523" s="2">
        <v>1299.6199999999999</v>
      </c>
      <c r="F523" t="s">
        <v>26</v>
      </c>
      <c r="G523" t="s">
        <v>12</v>
      </c>
      <c r="I523" t="s">
        <v>13</v>
      </c>
      <c r="J523" t="str">
        <f>IF(ISBLANK(Table2[[#This Row],[ReceivedDate]]),"Unpaid",IF(Table2[[#This Row],[ReceivedDate]]&gt;Table2[[#This Row],[DueDate]],"Late",IF(Table2[[#This Row],[ReceivedDate]]&lt;Table2[[#This Row],[DueDate]],"Early","On Time")))</f>
        <v>Unpaid</v>
      </c>
    </row>
    <row r="524" spans="1:10" x14ac:dyDescent="0.3">
      <c r="A524" t="s">
        <v>545</v>
      </c>
      <c r="B524" t="s">
        <v>23</v>
      </c>
      <c r="C524" s="1">
        <v>45338</v>
      </c>
      <c r="D524" s="1">
        <v>45383</v>
      </c>
      <c r="E524" s="2">
        <v>2593.81</v>
      </c>
      <c r="F524" t="s">
        <v>28</v>
      </c>
      <c r="G524" t="s">
        <v>12</v>
      </c>
      <c r="I524" t="s">
        <v>13</v>
      </c>
      <c r="J524" t="str">
        <f>IF(ISBLANK(Table2[[#This Row],[ReceivedDate]]),"Unpaid",IF(Table2[[#This Row],[ReceivedDate]]&gt;Table2[[#This Row],[DueDate]],"Late",IF(Table2[[#This Row],[ReceivedDate]]&lt;Table2[[#This Row],[DueDate]],"Early","On Time")))</f>
        <v>Unpaid</v>
      </c>
    </row>
    <row r="525" spans="1:10" x14ac:dyDescent="0.3">
      <c r="A525" t="s">
        <v>546</v>
      </c>
      <c r="B525" t="s">
        <v>15</v>
      </c>
      <c r="C525" s="1">
        <v>45715</v>
      </c>
      <c r="D525" s="1">
        <v>45760</v>
      </c>
      <c r="E525" s="2">
        <v>5910.9</v>
      </c>
      <c r="F525" t="s">
        <v>19</v>
      </c>
      <c r="G525" t="s">
        <v>12</v>
      </c>
      <c r="I525" t="s">
        <v>13</v>
      </c>
      <c r="J525" t="str">
        <f>IF(ISBLANK(Table2[[#This Row],[ReceivedDate]]),"Unpaid",IF(Table2[[#This Row],[ReceivedDate]]&gt;Table2[[#This Row],[DueDate]],"Late",IF(Table2[[#This Row],[ReceivedDate]]&lt;Table2[[#This Row],[DueDate]],"Early","On Time")))</f>
        <v>Unpaid</v>
      </c>
    </row>
    <row r="526" spans="1:10" x14ac:dyDescent="0.3">
      <c r="A526" t="s">
        <v>547</v>
      </c>
      <c r="B526" t="s">
        <v>10</v>
      </c>
      <c r="C526" s="1">
        <v>45271</v>
      </c>
      <c r="D526" s="1">
        <v>45316</v>
      </c>
      <c r="E526" s="2">
        <v>4375.05</v>
      </c>
      <c r="F526" t="s">
        <v>26</v>
      </c>
      <c r="G526" t="s">
        <v>17</v>
      </c>
      <c r="I526" t="s">
        <v>13</v>
      </c>
      <c r="J526" t="str">
        <f>IF(ISBLANK(Table2[[#This Row],[ReceivedDate]]),"Unpaid",IF(Table2[[#This Row],[ReceivedDate]]&gt;Table2[[#This Row],[DueDate]],"Late",IF(Table2[[#This Row],[ReceivedDate]]&lt;Table2[[#This Row],[DueDate]],"Early","On Time")))</f>
        <v>Unpaid</v>
      </c>
    </row>
    <row r="527" spans="1:10" x14ac:dyDescent="0.3">
      <c r="A527" t="s">
        <v>548</v>
      </c>
      <c r="B527" t="s">
        <v>25</v>
      </c>
      <c r="C527" s="1">
        <v>45203</v>
      </c>
      <c r="D527" s="1">
        <v>45248</v>
      </c>
      <c r="E527" s="2">
        <v>5454.31</v>
      </c>
      <c r="F527" t="s">
        <v>28</v>
      </c>
      <c r="G527" t="s">
        <v>17</v>
      </c>
      <c r="I527" t="s">
        <v>13</v>
      </c>
      <c r="J527" t="str">
        <f>IF(ISBLANK(Table2[[#This Row],[ReceivedDate]]),"Unpaid",IF(Table2[[#This Row],[ReceivedDate]]&gt;Table2[[#This Row],[DueDate]],"Late",IF(Table2[[#This Row],[ReceivedDate]]&lt;Table2[[#This Row],[DueDate]],"Early","On Time")))</f>
        <v>Unpaid</v>
      </c>
    </row>
    <row r="528" spans="1:10" x14ac:dyDescent="0.3">
      <c r="A528" t="s">
        <v>549</v>
      </c>
      <c r="B528" t="s">
        <v>30</v>
      </c>
      <c r="C528" s="1">
        <v>45067</v>
      </c>
      <c r="D528" s="1">
        <v>45112</v>
      </c>
      <c r="E528" s="2">
        <v>7779.62</v>
      </c>
      <c r="F528" t="s">
        <v>28</v>
      </c>
      <c r="G528" t="s">
        <v>12</v>
      </c>
      <c r="I528" t="s">
        <v>13</v>
      </c>
      <c r="J528" t="str">
        <f>IF(ISBLANK(Table2[[#This Row],[ReceivedDate]]),"Unpaid",IF(Table2[[#This Row],[ReceivedDate]]&gt;Table2[[#This Row],[DueDate]],"Late",IF(Table2[[#This Row],[ReceivedDate]]&lt;Table2[[#This Row],[DueDate]],"Early","On Time")))</f>
        <v>Unpaid</v>
      </c>
    </row>
    <row r="529" spans="1:10" x14ac:dyDescent="0.3">
      <c r="A529" t="s">
        <v>550</v>
      </c>
      <c r="B529" t="s">
        <v>30</v>
      </c>
      <c r="C529" s="1">
        <v>45645</v>
      </c>
      <c r="D529" s="1">
        <v>45690</v>
      </c>
      <c r="E529" s="2">
        <v>6732.24</v>
      </c>
      <c r="F529" t="s">
        <v>16</v>
      </c>
      <c r="G529" t="s">
        <v>21</v>
      </c>
      <c r="H529" s="1">
        <v>45690</v>
      </c>
      <c r="I529" t="s">
        <v>13</v>
      </c>
      <c r="J529" t="str">
        <f>IF(ISBLANK(Table2[[#This Row],[ReceivedDate]]),"Unpaid",IF(Table2[[#This Row],[ReceivedDate]]&gt;Table2[[#This Row],[DueDate]],"Late",IF(Table2[[#This Row],[ReceivedDate]]&lt;Table2[[#This Row],[DueDate]],"Early","On Time")))</f>
        <v>On Time</v>
      </c>
    </row>
    <row r="530" spans="1:10" x14ac:dyDescent="0.3">
      <c r="A530" t="s">
        <v>551</v>
      </c>
      <c r="B530" t="s">
        <v>15</v>
      </c>
      <c r="C530" s="1">
        <v>45251</v>
      </c>
      <c r="D530" s="1">
        <v>45296</v>
      </c>
      <c r="E530" s="2">
        <v>6285.37</v>
      </c>
      <c r="F530" t="s">
        <v>28</v>
      </c>
      <c r="G530" t="s">
        <v>12</v>
      </c>
      <c r="I530" t="s">
        <v>13</v>
      </c>
      <c r="J530" t="str">
        <f>IF(ISBLANK(Table2[[#This Row],[ReceivedDate]]),"Unpaid",IF(Table2[[#This Row],[ReceivedDate]]&gt;Table2[[#This Row],[DueDate]],"Late",IF(Table2[[#This Row],[ReceivedDate]]&lt;Table2[[#This Row],[DueDate]],"Early","On Time")))</f>
        <v>Unpaid</v>
      </c>
    </row>
    <row r="531" spans="1:10" x14ac:dyDescent="0.3">
      <c r="A531" t="s">
        <v>552</v>
      </c>
      <c r="B531" t="s">
        <v>15</v>
      </c>
      <c r="C531" s="1">
        <v>45458</v>
      </c>
      <c r="D531" s="1">
        <v>45503</v>
      </c>
      <c r="E531" s="2">
        <v>6675.34</v>
      </c>
      <c r="F531" t="s">
        <v>28</v>
      </c>
      <c r="G531" t="s">
        <v>12</v>
      </c>
      <c r="I531" t="s">
        <v>13</v>
      </c>
      <c r="J531" t="str">
        <f>IF(ISBLANK(Table2[[#This Row],[ReceivedDate]]),"Unpaid",IF(Table2[[#This Row],[ReceivedDate]]&gt;Table2[[#This Row],[DueDate]],"Late",IF(Table2[[#This Row],[ReceivedDate]]&lt;Table2[[#This Row],[DueDate]],"Early","On Time")))</f>
        <v>Unpaid</v>
      </c>
    </row>
    <row r="532" spans="1:10" x14ac:dyDescent="0.3">
      <c r="A532" t="s">
        <v>553</v>
      </c>
      <c r="B532" t="s">
        <v>25</v>
      </c>
      <c r="C532" s="1">
        <v>45235</v>
      </c>
      <c r="D532" s="1">
        <v>45280</v>
      </c>
      <c r="E532" s="2">
        <v>7318.39</v>
      </c>
      <c r="F532" t="s">
        <v>11</v>
      </c>
      <c r="G532" t="s">
        <v>21</v>
      </c>
      <c r="H532" s="1">
        <v>45280</v>
      </c>
      <c r="I532" t="s">
        <v>13</v>
      </c>
      <c r="J532" t="str">
        <f>IF(ISBLANK(Table2[[#This Row],[ReceivedDate]]),"Unpaid",IF(Table2[[#This Row],[ReceivedDate]]&gt;Table2[[#This Row],[DueDate]],"Late",IF(Table2[[#This Row],[ReceivedDate]]&lt;Table2[[#This Row],[DueDate]],"Early","On Time")))</f>
        <v>On Time</v>
      </c>
    </row>
    <row r="533" spans="1:10" x14ac:dyDescent="0.3">
      <c r="A533" t="s">
        <v>554</v>
      </c>
      <c r="B533" t="s">
        <v>25</v>
      </c>
      <c r="C533" s="1">
        <v>45740</v>
      </c>
      <c r="D533" s="1">
        <v>45785</v>
      </c>
      <c r="E533" s="2">
        <v>5457.96</v>
      </c>
      <c r="F533" t="s">
        <v>26</v>
      </c>
      <c r="G533" t="s">
        <v>21</v>
      </c>
      <c r="H533" s="1">
        <v>45785</v>
      </c>
      <c r="I533" t="s">
        <v>13</v>
      </c>
      <c r="J533" t="str">
        <f>IF(ISBLANK(Table2[[#This Row],[ReceivedDate]]),"Unpaid",IF(Table2[[#This Row],[ReceivedDate]]&gt;Table2[[#This Row],[DueDate]],"Late",IF(Table2[[#This Row],[ReceivedDate]]&lt;Table2[[#This Row],[DueDate]],"Early","On Time")))</f>
        <v>On Time</v>
      </c>
    </row>
    <row r="534" spans="1:10" x14ac:dyDescent="0.3">
      <c r="A534" t="s">
        <v>555</v>
      </c>
      <c r="B534" t="s">
        <v>25</v>
      </c>
      <c r="C534" s="1">
        <v>45182</v>
      </c>
      <c r="D534" s="1">
        <v>45227</v>
      </c>
      <c r="E534" s="2">
        <v>637.74</v>
      </c>
      <c r="F534" t="s">
        <v>11</v>
      </c>
      <c r="G534" t="s">
        <v>21</v>
      </c>
      <c r="H534" s="1">
        <v>45227</v>
      </c>
      <c r="I534" t="s">
        <v>13</v>
      </c>
      <c r="J534" t="str">
        <f>IF(ISBLANK(Table2[[#This Row],[ReceivedDate]]),"Unpaid",IF(Table2[[#This Row],[ReceivedDate]]&gt;Table2[[#This Row],[DueDate]],"Late",IF(Table2[[#This Row],[ReceivedDate]]&lt;Table2[[#This Row],[DueDate]],"Early","On Time")))</f>
        <v>On Time</v>
      </c>
    </row>
    <row r="535" spans="1:10" x14ac:dyDescent="0.3">
      <c r="A535" t="s">
        <v>556</v>
      </c>
      <c r="B535" t="s">
        <v>23</v>
      </c>
      <c r="C535" s="1">
        <v>45789</v>
      </c>
      <c r="D535" s="1">
        <v>45834</v>
      </c>
      <c r="E535" s="2">
        <v>3320.12</v>
      </c>
      <c r="F535" t="s">
        <v>16</v>
      </c>
      <c r="G535" t="s">
        <v>17</v>
      </c>
      <c r="I535" t="s">
        <v>13</v>
      </c>
      <c r="J535" t="str">
        <f>IF(ISBLANK(Table2[[#This Row],[ReceivedDate]]),"Unpaid",IF(Table2[[#This Row],[ReceivedDate]]&gt;Table2[[#This Row],[DueDate]],"Late",IF(Table2[[#This Row],[ReceivedDate]]&lt;Table2[[#This Row],[DueDate]],"Early","On Time")))</f>
        <v>Unpaid</v>
      </c>
    </row>
    <row r="536" spans="1:10" x14ac:dyDescent="0.3">
      <c r="A536" t="s">
        <v>557</v>
      </c>
      <c r="B536" t="s">
        <v>23</v>
      </c>
      <c r="C536" s="1">
        <v>45103</v>
      </c>
      <c r="D536" s="1">
        <v>45148</v>
      </c>
      <c r="E536" s="2">
        <v>3567.1</v>
      </c>
      <c r="F536" t="s">
        <v>16</v>
      </c>
      <c r="G536" t="s">
        <v>17</v>
      </c>
      <c r="I536" t="s">
        <v>13</v>
      </c>
      <c r="J536" t="str">
        <f>IF(ISBLANK(Table2[[#This Row],[ReceivedDate]]),"Unpaid",IF(Table2[[#This Row],[ReceivedDate]]&gt;Table2[[#This Row],[DueDate]],"Late",IF(Table2[[#This Row],[ReceivedDate]]&lt;Table2[[#This Row],[DueDate]],"Early","On Time")))</f>
        <v>Unpaid</v>
      </c>
    </row>
    <row r="537" spans="1:10" x14ac:dyDescent="0.3">
      <c r="A537" t="s">
        <v>558</v>
      </c>
      <c r="B537" t="s">
        <v>30</v>
      </c>
      <c r="C537" s="1">
        <v>45466</v>
      </c>
      <c r="D537" s="1">
        <v>45511</v>
      </c>
      <c r="E537" s="2">
        <v>1514.1</v>
      </c>
      <c r="F537" t="s">
        <v>26</v>
      </c>
      <c r="G537" t="s">
        <v>12</v>
      </c>
      <c r="I537" t="s">
        <v>13</v>
      </c>
      <c r="J537" t="str">
        <f>IF(ISBLANK(Table2[[#This Row],[ReceivedDate]]),"Unpaid",IF(Table2[[#This Row],[ReceivedDate]]&gt;Table2[[#This Row],[DueDate]],"Late",IF(Table2[[#This Row],[ReceivedDate]]&lt;Table2[[#This Row],[DueDate]],"Early","On Time")))</f>
        <v>Unpaid</v>
      </c>
    </row>
    <row r="538" spans="1:10" x14ac:dyDescent="0.3">
      <c r="A538" t="s">
        <v>559</v>
      </c>
      <c r="B538" t="s">
        <v>15</v>
      </c>
      <c r="C538" s="1">
        <v>45494</v>
      </c>
      <c r="D538" s="1">
        <v>45539</v>
      </c>
      <c r="E538" s="2">
        <v>5234.6000000000004</v>
      </c>
      <c r="F538" t="s">
        <v>11</v>
      </c>
      <c r="G538" t="s">
        <v>12</v>
      </c>
      <c r="I538" t="s">
        <v>13</v>
      </c>
      <c r="J538" t="str">
        <f>IF(ISBLANK(Table2[[#This Row],[ReceivedDate]]),"Unpaid",IF(Table2[[#This Row],[ReceivedDate]]&gt;Table2[[#This Row],[DueDate]],"Late",IF(Table2[[#This Row],[ReceivedDate]]&lt;Table2[[#This Row],[DueDate]],"Early","On Time")))</f>
        <v>Unpaid</v>
      </c>
    </row>
    <row r="539" spans="1:10" x14ac:dyDescent="0.3">
      <c r="A539" t="s">
        <v>560</v>
      </c>
      <c r="B539" t="s">
        <v>25</v>
      </c>
      <c r="C539" s="1">
        <v>45273</v>
      </c>
      <c r="D539" s="1">
        <v>45318</v>
      </c>
      <c r="E539" s="2">
        <v>3441.63</v>
      </c>
      <c r="F539" t="s">
        <v>11</v>
      </c>
      <c r="G539" t="s">
        <v>17</v>
      </c>
      <c r="I539" t="s">
        <v>13</v>
      </c>
      <c r="J539" t="str">
        <f>IF(ISBLANK(Table2[[#This Row],[ReceivedDate]]),"Unpaid",IF(Table2[[#This Row],[ReceivedDate]]&gt;Table2[[#This Row],[DueDate]],"Late",IF(Table2[[#This Row],[ReceivedDate]]&lt;Table2[[#This Row],[DueDate]],"Early","On Time")))</f>
        <v>Unpaid</v>
      </c>
    </row>
    <row r="540" spans="1:10" x14ac:dyDescent="0.3">
      <c r="A540" t="s">
        <v>561</v>
      </c>
      <c r="B540" t="s">
        <v>10</v>
      </c>
      <c r="C540" s="1">
        <v>45220</v>
      </c>
      <c r="D540" s="1">
        <v>45265</v>
      </c>
      <c r="E540" s="2">
        <v>6507.19</v>
      </c>
      <c r="F540" t="s">
        <v>26</v>
      </c>
      <c r="G540" t="s">
        <v>17</v>
      </c>
      <c r="I540" t="s">
        <v>13</v>
      </c>
      <c r="J540" t="str">
        <f>IF(ISBLANK(Table2[[#This Row],[ReceivedDate]]),"Unpaid",IF(Table2[[#This Row],[ReceivedDate]]&gt;Table2[[#This Row],[DueDate]],"Late",IF(Table2[[#This Row],[ReceivedDate]]&lt;Table2[[#This Row],[DueDate]],"Early","On Time")))</f>
        <v>Unpaid</v>
      </c>
    </row>
    <row r="541" spans="1:10" x14ac:dyDescent="0.3">
      <c r="A541" t="s">
        <v>562</v>
      </c>
      <c r="B541" t="s">
        <v>23</v>
      </c>
      <c r="C541" s="1">
        <v>45719</v>
      </c>
      <c r="D541" s="1">
        <v>45764</v>
      </c>
      <c r="E541" s="2">
        <v>3028.92</v>
      </c>
      <c r="F541" t="s">
        <v>19</v>
      </c>
      <c r="G541" t="s">
        <v>17</v>
      </c>
      <c r="I541" t="s">
        <v>13</v>
      </c>
      <c r="J541" t="str">
        <f>IF(ISBLANK(Table2[[#This Row],[ReceivedDate]]),"Unpaid",IF(Table2[[#This Row],[ReceivedDate]]&gt;Table2[[#This Row],[DueDate]],"Late",IF(Table2[[#This Row],[ReceivedDate]]&lt;Table2[[#This Row],[DueDate]],"Early","On Time")))</f>
        <v>Unpaid</v>
      </c>
    </row>
    <row r="542" spans="1:10" x14ac:dyDescent="0.3">
      <c r="A542" t="s">
        <v>563</v>
      </c>
      <c r="B542" t="s">
        <v>30</v>
      </c>
      <c r="C542" s="1">
        <v>45181</v>
      </c>
      <c r="D542" s="1">
        <v>45226</v>
      </c>
      <c r="E542" s="2">
        <v>3580.15</v>
      </c>
      <c r="F542" t="s">
        <v>28</v>
      </c>
      <c r="G542" t="s">
        <v>21</v>
      </c>
      <c r="H542" s="1">
        <v>45226</v>
      </c>
      <c r="I542" t="s">
        <v>13</v>
      </c>
      <c r="J542" t="str">
        <f>IF(ISBLANK(Table2[[#This Row],[ReceivedDate]]),"Unpaid",IF(Table2[[#This Row],[ReceivedDate]]&gt;Table2[[#This Row],[DueDate]],"Late",IF(Table2[[#This Row],[ReceivedDate]]&lt;Table2[[#This Row],[DueDate]],"Early","On Time")))</f>
        <v>On Time</v>
      </c>
    </row>
    <row r="543" spans="1:10" x14ac:dyDescent="0.3">
      <c r="A543" t="s">
        <v>564</v>
      </c>
      <c r="B543" t="s">
        <v>30</v>
      </c>
      <c r="C543" s="1">
        <v>45728</v>
      </c>
      <c r="D543" s="1">
        <v>45773</v>
      </c>
      <c r="E543" s="2">
        <v>6618.18</v>
      </c>
      <c r="F543" t="s">
        <v>16</v>
      </c>
      <c r="G543" t="s">
        <v>12</v>
      </c>
      <c r="I543" t="s">
        <v>13</v>
      </c>
      <c r="J543" t="str">
        <f>IF(ISBLANK(Table2[[#This Row],[ReceivedDate]]),"Unpaid",IF(Table2[[#This Row],[ReceivedDate]]&gt;Table2[[#This Row],[DueDate]],"Late",IF(Table2[[#This Row],[ReceivedDate]]&lt;Table2[[#This Row],[DueDate]],"Early","On Time")))</f>
        <v>Unpaid</v>
      </c>
    </row>
    <row r="544" spans="1:10" x14ac:dyDescent="0.3">
      <c r="A544" t="s">
        <v>565</v>
      </c>
      <c r="B544" t="s">
        <v>23</v>
      </c>
      <c r="C544" s="1">
        <v>45352</v>
      </c>
      <c r="D544" s="1">
        <v>45397</v>
      </c>
      <c r="E544" s="2">
        <v>289.27999999999997</v>
      </c>
      <c r="F544" t="s">
        <v>28</v>
      </c>
      <c r="G544" t="s">
        <v>12</v>
      </c>
      <c r="I544" t="s">
        <v>13</v>
      </c>
      <c r="J544" t="str">
        <f>IF(ISBLANK(Table2[[#This Row],[ReceivedDate]]),"Unpaid",IF(Table2[[#This Row],[ReceivedDate]]&gt;Table2[[#This Row],[DueDate]],"Late",IF(Table2[[#This Row],[ReceivedDate]]&lt;Table2[[#This Row],[DueDate]],"Early","On Time")))</f>
        <v>Unpaid</v>
      </c>
    </row>
    <row r="545" spans="1:10" x14ac:dyDescent="0.3">
      <c r="A545" t="s">
        <v>566</v>
      </c>
      <c r="B545" t="s">
        <v>15</v>
      </c>
      <c r="C545" s="1">
        <v>45759</v>
      </c>
      <c r="D545" s="1">
        <v>45804</v>
      </c>
      <c r="E545" s="2">
        <v>5116.57</v>
      </c>
      <c r="F545" t="s">
        <v>26</v>
      </c>
      <c r="G545" t="s">
        <v>12</v>
      </c>
      <c r="I545" t="s">
        <v>13</v>
      </c>
      <c r="J545" t="str">
        <f>IF(ISBLANK(Table2[[#This Row],[ReceivedDate]]),"Unpaid",IF(Table2[[#This Row],[ReceivedDate]]&gt;Table2[[#This Row],[DueDate]],"Late",IF(Table2[[#This Row],[ReceivedDate]]&lt;Table2[[#This Row],[DueDate]],"Early","On Time")))</f>
        <v>Unpaid</v>
      </c>
    </row>
    <row r="546" spans="1:10" x14ac:dyDescent="0.3">
      <c r="A546" t="s">
        <v>567</v>
      </c>
      <c r="B546" t="s">
        <v>30</v>
      </c>
      <c r="C546" s="1">
        <v>45575</v>
      </c>
      <c r="D546" s="1">
        <v>45620</v>
      </c>
      <c r="E546" s="2">
        <v>3349.7</v>
      </c>
      <c r="F546" t="s">
        <v>19</v>
      </c>
      <c r="G546" t="s">
        <v>21</v>
      </c>
      <c r="H546" s="1">
        <v>45620</v>
      </c>
      <c r="I546" t="s">
        <v>13</v>
      </c>
      <c r="J546" t="str">
        <f>IF(ISBLANK(Table2[[#This Row],[ReceivedDate]]),"Unpaid",IF(Table2[[#This Row],[ReceivedDate]]&gt;Table2[[#This Row],[DueDate]],"Late",IF(Table2[[#This Row],[ReceivedDate]]&lt;Table2[[#This Row],[DueDate]],"Early","On Time")))</f>
        <v>On Time</v>
      </c>
    </row>
    <row r="547" spans="1:10" x14ac:dyDescent="0.3">
      <c r="A547" t="s">
        <v>568</v>
      </c>
      <c r="B547" t="s">
        <v>10</v>
      </c>
      <c r="C547" s="1">
        <v>45496</v>
      </c>
      <c r="D547" s="1">
        <v>45541</v>
      </c>
      <c r="E547" s="2">
        <v>2650.37</v>
      </c>
      <c r="F547" t="s">
        <v>19</v>
      </c>
      <c r="G547" t="s">
        <v>12</v>
      </c>
      <c r="I547" t="s">
        <v>13</v>
      </c>
      <c r="J547" t="str">
        <f>IF(ISBLANK(Table2[[#This Row],[ReceivedDate]]),"Unpaid",IF(Table2[[#This Row],[ReceivedDate]]&gt;Table2[[#This Row],[DueDate]],"Late",IF(Table2[[#This Row],[ReceivedDate]]&lt;Table2[[#This Row],[DueDate]],"Early","On Time")))</f>
        <v>Unpaid</v>
      </c>
    </row>
    <row r="548" spans="1:10" x14ac:dyDescent="0.3">
      <c r="A548" t="s">
        <v>569</v>
      </c>
      <c r="B548" t="s">
        <v>30</v>
      </c>
      <c r="C548" s="1">
        <v>45769</v>
      </c>
      <c r="D548" s="1">
        <v>45814</v>
      </c>
      <c r="E548" s="2">
        <v>4369.96</v>
      </c>
      <c r="F548" t="s">
        <v>26</v>
      </c>
      <c r="G548" t="s">
        <v>17</v>
      </c>
      <c r="I548" t="s">
        <v>13</v>
      </c>
      <c r="J548" t="str">
        <f>IF(ISBLANK(Table2[[#This Row],[ReceivedDate]]),"Unpaid",IF(Table2[[#This Row],[ReceivedDate]]&gt;Table2[[#This Row],[DueDate]],"Late",IF(Table2[[#This Row],[ReceivedDate]]&lt;Table2[[#This Row],[DueDate]],"Early","On Time")))</f>
        <v>Unpaid</v>
      </c>
    </row>
    <row r="549" spans="1:10" x14ac:dyDescent="0.3">
      <c r="A549" t="s">
        <v>570</v>
      </c>
      <c r="B549" t="s">
        <v>23</v>
      </c>
      <c r="C549" s="1">
        <v>45749</v>
      </c>
      <c r="D549" s="1">
        <v>45794</v>
      </c>
      <c r="E549" s="2">
        <v>436.3</v>
      </c>
      <c r="F549" t="s">
        <v>26</v>
      </c>
      <c r="G549" t="s">
        <v>12</v>
      </c>
      <c r="I549" t="s">
        <v>13</v>
      </c>
      <c r="J549" t="str">
        <f>IF(ISBLANK(Table2[[#This Row],[ReceivedDate]]),"Unpaid",IF(Table2[[#This Row],[ReceivedDate]]&gt;Table2[[#This Row],[DueDate]],"Late",IF(Table2[[#This Row],[ReceivedDate]]&lt;Table2[[#This Row],[DueDate]],"Early","On Time")))</f>
        <v>Unpaid</v>
      </c>
    </row>
    <row r="550" spans="1:10" x14ac:dyDescent="0.3">
      <c r="A550" t="s">
        <v>571</v>
      </c>
      <c r="B550" t="s">
        <v>10</v>
      </c>
      <c r="C550" s="1">
        <v>45308</v>
      </c>
      <c r="D550" s="1">
        <v>45353</v>
      </c>
      <c r="E550" s="2">
        <v>2188.6999999999998</v>
      </c>
      <c r="F550" t="s">
        <v>28</v>
      </c>
      <c r="G550" t="s">
        <v>12</v>
      </c>
      <c r="I550" t="s">
        <v>13</v>
      </c>
      <c r="J550" t="str">
        <f>IF(ISBLANK(Table2[[#This Row],[ReceivedDate]]),"Unpaid",IF(Table2[[#This Row],[ReceivedDate]]&gt;Table2[[#This Row],[DueDate]],"Late",IF(Table2[[#This Row],[ReceivedDate]]&lt;Table2[[#This Row],[DueDate]],"Early","On Time")))</f>
        <v>Unpaid</v>
      </c>
    </row>
    <row r="551" spans="1:10" x14ac:dyDescent="0.3">
      <c r="A551" t="s">
        <v>572</v>
      </c>
      <c r="B551" t="s">
        <v>30</v>
      </c>
      <c r="C551" s="1">
        <v>45362</v>
      </c>
      <c r="D551" s="1">
        <v>45407</v>
      </c>
      <c r="E551" s="2">
        <v>5461.99</v>
      </c>
      <c r="F551" t="s">
        <v>11</v>
      </c>
      <c r="G551" t="s">
        <v>21</v>
      </c>
      <c r="H551" s="1">
        <v>45407</v>
      </c>
      <c r="I551" t="s">
        <v>13</v>
      </c>
      <c r="J551" t="str">
        <f>IF(ISBLANK(Table2[[#This Row],[ReceivedDate]]),"Unpaid",IF(Table2[[#This Row],[ReceivedDate]]&gt;Table2[[#This Row],[DueDate]],"Late",IF(Table2[[#This Row],[ReceivedDate]]&lt;Table2[[#This Row],[DueDate]],"Early","On Time")))</f>
        <v>On Time</v>
      </c>
    </row>
    <row r="552" spans="1:10" x14ac:dyDescent="0.3">
      <c r="A552" t="s">
        <v>573</v>
      </c>
      <c r="B552" t="s">
        <v>30</v>
      </c>
      <c r="C552" s="1">
        <v>45144</v>
      </c>
      <c r="D552" s="1">
        <v>45189</v>
      </c>
      <c r="E552" s="2">
        <v>4212.33</v>
      </c>
      <c r="F552" t="s">
        <v>19</v>
      </c>
      <c r="G552" t="s">
        <v>12</v>
      </c>
      <c r="I552" t="s">
        <v>13</v>
      </c>
      <c r="J552" t="str">
        <f>IF(ISBLANK(Table2[[#This Row],[ReceivedDate]]),"Unpaid",IF(Table2[[#This Row],[ReceivedDate]]&gt;Table2[[#This Row],[DueDate]],"Late",IF(Table2[[#This Row],[ReceivedDate]]&lt;Table2[[#This Row],[DueDate]],"Early","On Time")))</f>
        <v>Unpaid</v>
      </c>
    </row>
    <row r="553" spans="1:10" x14ac:dyDescent="0.3">
      <c r="A553" t="s">
        <v>574</v>
      </c>
      <c r="B553" t="s">
        <v>25</v>
      </c>
      <c r="C553" s="1">
        <v>45579</v>
      </c>
      <c r="D553" s="1">
        <v>45624</v>
      </c>
      <c r="E553" s="2">
        <v>5357.53</v>
      </c>
      <c r="F553" t="s">
        <v>11</v>
      </c>
      <c r="G553" t="s">
        <v>17</v>
      </c>
      <c r="I553" t="s">
        <v>13</v>
      </c>
      <c r="J553" t="str">
        <f>IF(ISBLANK(Table2[[#This Row],[ReceivedDate]]),"Unpaid",IF(Table2[[#This Row],[ReceivedDate]]&gt;Table2[[#This Row],[DueDate]],"Late",IF(Table2[[#This Row],[ReceivedDate]]&lt;Table2[[#This Row],[DueDate]],"Early","On Time")))</f>
        <v>Unpaid</v>
      </c>
    </row>
    <row r="554" spans="1:10" x14ac:dyDescent="0.3">
      <c r="A554" t="s">
        <v>575</v>
      </c>
      <c r="B554" t="s">
        <v>30</v>
      </c>
      <c r="C554" s="1">
        <v>45404</v>
      </c>
      <c r="D554" s="1">
        <v>45449</v>
      </c>
      <c r="E554" s="2">
        <v>3853.52</v>
      </c>
      <c r="F554" t="s">
        <v>19</v>
      </c>
      <c r="G554" t="s">
        <v>17</v>
      </c>
      <c r="I554" t="s">
        <v>13</v>
      </c>
      <c r="J554" t="str">
        <f>IF(ISBLANK(Table2[[#This Row],[ReceivedDate]]),"Unpaid",IF(Table2[[#This Row],[ReceivedDate]]&gt;Table2[[#This Row],[DueDate]],"Late",IF(Table2[[#This Row],[ReceivedDate]]&lt;Table2[[#This Row],[DueDate]],"Early","On Time")))</f>
        <v>Unpaid</v>
      </c>
    </row>
    <row r="555" spans="1:10" x14ac:dyDescent="0.3">
      <c r="A555" t="s">
        <v>576</v>
      </c>
      <c r="B555" t="s">
        <v>25</v>
      </c>
      <c r="C555" s="1">
        <v>44991</v>
      </c>
      <c r="D555" s="1">
        <v>45036</v>
      </c>
      <c r="E555" s="2">
        <v>3722.35</v>
      </c>
      <c r="F555" t="s">
        <v>28</v>
      </c>
      <c r="G555" t="s">
        <v>21</v>
      </c>
      <c r="H555" s="1">
        <v>45036</v>
      </c>
      <c r="I555" t="s">
        <v>13</v>
      </c>
      <c r="J555" t="str">
        <f>IF(ISBLANK(Table2[[#This Row],[ReceivedDate]]),"Unpaid",IF(Table2[[#This Row],[ReceivedDate]]&gt;Table2[[#This Row],[DueDate]],"Late",IF(Table2[[#This Row],[ReceivedDate]]&lt;Table2[[#This Row],[DueDate]],"Early","On Time")))</f>
        <v>On Time</v>
      </c>
    </row>
    <row r="556" spans="1:10" x14ac:dyDescent="0.3">
      <c r="A556" t="s">
        <v>577</v>
      </c>
      <c r="B556" t="s">
        <v>10</v>
      </c>
      <c r="C556" s="1">
        <v>44996</v>
      </c>
      <c r="D556" s="1">
        <v>45041</v>
      </c>
      <c r="E556" s="2">
        <v>6667.79</v>
      </c>
      <c r="F556" t="s">
        <v>26</v>
      </c>
      <c r="G556" t="s">
        <v>17</v>
      </c>
      <c r="I556" t="s">
        <v>13</v>
      </c>
      <c r="J556" t="str">
        <f>IF(ISBLANK(Table2[[#This Row],[ReceivedDate]]),"Unpaid",IF(Table2[[#This Row],[ReceivedDate]]&gt;Table2[[#This Row],[DueDate]],"Late",IF(Table2[[#This Row],[ReceivedDate]]&lt;Table2[[#This Row],[DueDate]],"Early","On Time")))</f>
        <v>Unpaid</v>
      </c>
    </row>
    <row r="557" spans="1:10" x14ac:dyDescent="0.3">
      <c r="A557" t="s">
        <v>578</v>
      </c>
      <c r="B557" t="s">
        <v>30</v>
      </c>
      <c r="C557" s="1">
        <v>45271</v>
      </c>
      <c r="D557" s="1">
        <v>45316</v>
      </c>
      <c r="E557" s="2">
        <v>939.96</v>
      </c>
      <c r="F557" t="s">
        <v>28</v>
      </c>
      <c r="G557" t="s">
        <v>21</v>
      </c>
      <c r="H557" s="1">
        <v>45316</v>
      </c>
      <c r="I557" t="s">
        <v>13</v>
      </c>
      <c r="J557" t="str">
        <f>IF(ISBLANK(Table2[[#This Row],[ReceivedDate]]),"Unpaid",IF(Table2[[#This Row],[ReceivedDate]]&gt;Table2[[#This Row],[DueDate]],"Late",IF(Table2[[#This Row],[ReceivedDate]]&lt;Table2[[#This Row],[DueDate]],"Early","On Time")))</f>
        <v>On Time</v>
      </c>
    </row>
    <row r="558" spans="1:10" x14ac:dyDescent="0.3">
      <c r="A558" t="s">
        <v>579</v>
      </c>
      <c r="B558" t="s">
        <v>15</v>
      </c>
      <c r="C558" s="1">
        <v>45227</v>
      </c>
      <c r="D558" s="1">
        <v>45272</v>
      </c>
      <c r="E558" s="2">
        <v>3429.97</v>
      </c>
      <c r="F558" t="s">
        <v>16</v>
      </c>
      <c r="G558" t="s">
        <v>12</v>
      </c>
      <c r="I558" t="s">
        <v>13</v>
      </c>
      <c r="J558" t="str">
        <f>IF(ISBLANK(Table2[[#This Row],[ReceivedDate]]),"Unpaid",IF(Table2[[#This Row],[ReceivedDate]]&gt;Table2[[#This Row],[DueDate]],"Late",IF(Table2[[#This Row],[ReceivedDate]]&lt;Table2[[#This Row],[DueDate]],"Early","On Time")))</f>
        <v>Unpaid</v>
      </c>
    </row>
    <row r="559" spans="1:10" x14ac:dyDescent="0.3">
      <c r="A559" t="s">
        <v>580</v>
      </c>
      <c r="B559" t="s">
        <v>23</v>
      </c>
      <c r="C559" s="1">
        <v>45809</v>
      </c>
      <c r="D559" s="1">
        <v>45854</v>
      </c>
      <c r="E559" s="2">
        <v>2696.48</v>
      </c>
      <c r="F559" t="s">
        <v>28</v>
      </c>
      <c r="G559" t="s">
        <v>12</v>
      </c>
      <c r="I559" t="s">
        <v>13</v>
      </c>
      <c r="J559" t="str">
        <f>IF(ISBLANK(Table2[[#This Row],[ReceivedDate]]),"Unpaid",IF(Table2[[#This Row],[ReceivedDate]]&gt;Table2[[#This Row],[DueDate]],"Late",IF(Table2[[#This Row],[ReceivedDate]]&lt;Table2[[#This Row],[DueDate]],"Early","On Time")))</f>
        <v>Unpaid</v>
      </c>
    </row>
    <row r="560" spans="1:10" x14ac:dyDescent="0.3">
      <c r="A560" t="s">
        <v>581</v>
      </c>
      <c r="B560" t="s">
        <v>30</v>
      </c>
      <c r="C560" s="1">
        <v>45187</v>
      </c>
      <c r="D560" s="1">
        <v>45232</v>
      </c>
      <c r="E560" s="2">
        <v>2767.09</v>
      </c>
      <c r="F560" t="s">
        <v>19</v>
      </c>
      <c r="G560" t="s">
        <v>17</v>
      </c>
      <c r="I560" t="s">
        <v>13</v>
      </c>
      <c r="J560" t="str">
        <f>IF(ISBLANK(Table2[[#This Row],[ReceivedDate]]),"Unpaid",IF(Table2[[#This Row],[ReceivedDate]]&gt;Table2[[#This Row],[DueDate]],"Late",IF(Table2[[#This Row],[ReceivedDate]]&lt;Table2[[#This Row],[DueDate]],"Early","On Time")))</f>
        <v>Unpaid</v>
      </c>
    </row>
    <row r="561" spans="1:10" x14ac:dyDescent="0.3">
      <c r="A561" t="s">
        <v>582</v>
      </c>
      <c r="B561" t="s">
        <v>30</v>
      </c>
      <c r="C561" s="1">
        <v>45038</v>
      </c>
      <c r="D561" s="1">
        <v>45083</v>
      </c>
      <c r="E561" s="2">
        <v>7836.25</v>
      </c>
      <c r="F561" t="s">
        <v>26</v>
      </c>
      <c r="G561" t="s">
        <v>21</v>
      </c>
      <c r="H561" s="1">
        <v>45083</v>
      </c>
      <c r="I561" t="s">
        <v>13</v>
      </c>
      <c r="J561" t="str">
        <f>IF(ISBLANK(Table2[[#This Row],[ReceivedDate]]),"Unpaid",IF(Table2[[#This Row],[ReceivedDate]]&gt;Table2[[#This Row],[DueDate]],"Late",IF(Table2[[#This Row],[ReceivedDate]]&lt;Table2[[#This Row],[DueDate]],"Early","On Time")))</f>
        <v>On Time</v>
      </c>
    </row>
    <row r="562" spans="1:10" x14ac:dyDescent="0.3">
      <c r="A562" t="s">
        <v>583</v>
      </c>
      <c r="B562" t="s">
        <v>23</v>
      </c>
      <c r="C562" s="1">
        <v>45177</v>
      </c>
      <c r="D562" s="1">
        <v>45222</v>
      </c>
      <c r="E562" s="2">
        <v>2776.14</v>
      </c>
      <c r="F562" t="s">
        <v>16</v>
      </c>
      <c r="G562" t="s">
        <v>12</v>
      </c>
      <c r="I562" t="s">
        <v>13</v>
      </c>
      <c r="J562" t="str">
        <f>IF(ISBLANK(Table2[[#This Row],[ReceivedDate]]),"Unpaid",IF(Table2[[#This Row],[ReceivedDate]]&gt;Table2[[#This Row],[DueDate]],"Late",IF(Table2[[#This Row],[ReceivedDate]]&lt;Table2[[#This Row],[DueDate]],"Early","On Time")))</f>
        <v>Unpaid</v>
      </c>
    </row>
    <row r="563" spans="1:10" x14ac:dyDescent="0.3">
      <c r="A563" t="s">
        <v>584</v>
      </c>
      <c r="B563" t="s">
        <v>23</v>
      </c>
      <c r="C563" s="1">
        <v>45197</v>
      </c>
      <c r="D563" s="1">
        <v>45242</v>
      </c>
      <c r="E563" s="2">
        <v>4256.9399999999996</v>
      </c>
      <c r="F563" t="s">
        <v>19</v>
      </c>
      <c r="G563" t="s">
        <v>17</v>
      </c>
      <c r="I563" t="s">
        <v>13</v>
      </c>
      <c r="J563" t="str">
        <f>IF(ISBLANK(Table2[[#This Row],[ReceivedDate]]),"Unpaid",IF(Table2[[#This Row],[ReceivedDate]]&gt;Table2[[#This Row],[DueDate]],"Late",IF(Table2[[#This Row],[ReceivedDate]]&lt;Table2[[#This Row],[DueDate]],"Early","On Time")))</f>
        <v>Unpaid</v>
      </c>
    </row>
    <row r="564" spans="1:10" x14ac:dyDescent="0.3">
      <c r="A564" t="s">
        <v>585</v>
      </c>
      <c r="B564" t="s">
        <v>25</v>
      </c>
      <c r="C564" s="1">
        <v>44980</v>
      </c>
      <c r="D564" s="1">
        <v>45025</v>
      </c>
      <c r="E564" s="2">
        <v>7675.1</v>
      </c>
      <c r="F564" t="s">
        <v>16</v>
      </c>
      <c r="G564" t="s">
        <v>12</v>
      </c>
      <c r="I564" t="s">
        <v>13</v>
      </c>
      <c r="J564" t="str">
        <f>IF(ISBLANK(Table2[[#This Row],[ReceivedDate]]),"Unpaid",IF(Table2[[#This Row],[ReceivedDate]]&gt;Table2[[#This Row],[DueDate]],"Late",IF(Table2[[#This Row],[ReceivedDate]]&lt;Table2[[#This Row],[DueDate]],"Early","On Time")))</f>
        <v>Unpaid</v>
      </c>
    </row>
    <row r="565" spans="1:10" x14ac:dyDescent="0.3">
      <c r="A565" t="s">
        <v>586</v>
      </c>
      <c r="B565" t="s">
        <v>23</v>
      </c>
      <c r="C565" s="1">
        <v>45324</v>
      </c>
      <c r="D565" s="1">
        <v>45369</v>
      </c>
      <c r="E565" s="2">
        <v>1561.55</v>
      </c>
      <c r="F565" t="s">
        <v>26</v>
      </c>
      <c r="G565" t="s">
        <v>12</v>
      </c>
      <c r="I565" t="s">
        <v>13</v>
      </c>
      <c r="J565" t="str">
        <f>IF(ISBLANK(Table2[[#This Row],[ReceivedDate]]),"Unpaid",IF(Table2[[#This Row],[ReceivedDate]]&gt;Table2[[#This Row],[DueDate]],"Late",IF(Table2[[#This Row],[ReceivedDate]]&lt;Table2[[#This Row],[DueDate]],"Early","On Time")))</f>
        <v>Unpaid</v>
      </c>
    </row>
    <row r="566" spans="1:10" x14ac:dyDescent="0.3">
      <c r="A566" t="s">
        <v>587</v>
      </c>
      <c r="B566" t="s">
        <v>23</v>
      </c>
      <c r="C566" s="1">
        <v>45235</v>
      </c>
      <c r="D566" s="1">
        <v>45280</v>
      </c>
      <c r="E566" s="2">
        <v>3208.62</v>
      </c>
      <c r="F566" t="s">
        <v>28</v>
      </c>
      <c r="G566" t="s">
        <v>21</v>
      </c>
      <c r="H566" s="1">
        <v>45280</v>
      </c>
      <c r="I566" t="s">
        <v>13</v>
      </c>
      <c r="J566" t="str">
        <f>IF(ISBLANK(Table2[[#This Row],[ReceivedDate]]),"Unpaid",IF(Table2[[#This Row],[ReceivedDate]]&gt;Table2[[#This Row],[DueDate]],"Late",IF(Table2[[#This Row],[ReceivedDate]]&lt;Table2[[#This Row],[DueDate]],"Early","On Time")))</f>
        <v>On Time</v>
      </c>
    </row>
    <row r="567" spans="1:10" x14ac:dyDescent="0.3">
      <c r="A567" t="s">
        <v>588</v>
      </c>
      <c r="B567" t="s">
        <v>10</v>
      </c>
      <c r="C567" s="1">
        <v>45820</v>
      </c>
      <c r="D567" s="1">
        <v>45865</v>
      </c>
      <c r="E567" s="2">
        <v>5171.99</v>
      </c>
      <c r="F567" t="s">
        <v>19</v>
      </c>
      <c r="G567" t="s">
        <v>12</v>
      </c>
      <c r="I567" t="s">
        <v>13</v>
      </c>
      <c r="J567" t="str">
        <f>IF(ISBLANK(Table2[[#This Row],[ReceivedDate]]),"Unpaid",IF(Table2[[#This Row],[ReceivedDate]]&gt;Table2[[#This Row],[DueDate]],"Late",IF(Table2[[#This Row],[ReceivedDate]]&lt;Table2[[#This Row],[DueDate]],"Early","On Time")))</f>
        <v>Unpaid</v>
      </c>
    </row>
    <row r="568" spans="1:10" x14ac:dyDescent="0.3">
      <c r="A568" t="s">
        <v>589</v>
      </c>
      <c r="B568" t="s">
        <v>15</v>
      </c>
      <c r="C568" s="1">
        <v>45591</v>
      </c>
      <c r="D568" s="1">
        <v>45636</v>
      </c>
      <c r="E568" s="2">
        <v>6132.23</v>
      </c>
      <c r="F568" t="s">
        <v>26</v>
      </c>
      <c r="G568" t="s">
        <v>17</v>
      </c>
      <c r="I568" t="s">
        <v>13</v>
      </c>
      <c r="J568" t="str">
        <f>IF(ISBLANK(Table2[[#This Row],[ReceivedDate]]),"Unpaid",IF(Table2[[#This Row],[ReceivedDate]]&gt;Table2[[#This Row],[DueDate]],"Late",IF(Table2[[#This Row],[ReceivedDate]]&lt;Table2[[#This Row],[DueDate]],"Early","On Time")))</f>
        <v>Unpaid</v>
      </c>
    </row>
    <row r="569" spans="1:10" x14ac:dyDescent="0.3">
      <c r="A569" t="s">
        <v>590</v>
      </c>
      <c r="B569" t="s">
        <v>30</v>
      </c>
      <c r="C569" s="1">
        <v>45114</v>
      </c>
      <c r="D569" s="1">
        <v>45159</v>
      </c>
      <c r="E569" s="2">
        <v>5228.9399999999996</v>
      </c>
      <c r="F569" t="s">
        <v>11</v>
      </c>
      <c r="G569" t="s">
        <v>12</v>
      </c>
      <c r="I569" t="s">
        <v>13</v>
      </c>
      <c r="J569" t="str">
        <f>IF(ISBLANK(Table2[[#This Row],[ReceivedDate]]),"Unpaid",IF(Table2[[#This Row],[ReceivedDate]]&gt;Table2[[#This Row],[DueDate]],"Late",IF(Table2[[#This Row],[ReceivedDate]]&lt;Table2[[#This Row],[DueDate]],"Early","On Time")))</f>
        <v>Unpaid</v>
      </c>
    </row>
    <row r="570" spans="1:10" x14ac:dyDescent="0.3">
      <c r="A570" t="s">
        <v>591</v>
      </c>
      <c r="B570" t="s">
        <v>15</v>
      </c>
      <c r="C570" s="1">
        <v>45450</v>
      </c>
      <c r="D570" s="1">
        <v>45495</v>
      </c>
      <c r="E570" s="2">
        <v>2406.41</v>
      </c>
      <c r="F570" t="s">
        <v>11</v>
      </c>
      <c r="G570" t="s">
        <v>17</v>
      </c>
      <c r="I570" t="s">
        <v>13</v>
      </c>
      <c r="J570" t="str">
        <f>IF(ISBLANK(Table2[[#This Row],[ReceivedDate]]),"Unpaid",IF(Table2[[#This Row],[ReceivedDate]]&gt;Table2[[#This Row],[DueDate]],"Late",IF(Table2[[#This Row],[ReceivedDate]]&lt;Table2[[#This Row],[DueDate]],"Early","On Time")))</f>
        <v>Unpaid</v>
      </c>
    </row>
    <row r="571" spans="1:10" x14ac:dyDescent="0.3">
      <c r="A571" t="s">
        <v>592</v>
      </c>
      <c r="B571" t="s">
        <v>23</v>
      </c>
      <c r="C571" s="1">
        <v>45358</v>
      </c>
      <c r="D571" s="1">
        <v>45403</v>
      </c>
      <c r="E571" s="2">
        <v>7118.9</v>
      </c>
      <c r="F571" t="s">
        <v>16</v>
      </c>
      <c r="G571" t="s">
        <v>12</v>
      </c>
      <c r="I571" t="s">
        <v>13</v>
      </c>
      <c r="J571" t="str">
        <f>IF(ISBLANK(Table2[[#This Row],[ReceivedDate]]),"Unpaid",IF(Table2[[#This Row],[ReceivedDate]]&gt;Table2[[#This Row],[DueDate]],"Late",IF(Table2[[#This Row],[ReceivedDate]]&lt;Table2[[#This Row],[DueDate]],"Early","On Time")))</f>
        <v>Unpaid</v>
      </c>
    </row>
    <row r="572" spans="1:10" x14ac:dyDescent="0.3">
      <c r="A572" t="s">
        <v>593</v>
      </c>
      <c r="B572" t="s">
        <v>10</v>
      </c>
      <c r="C572" s="1">
        <v>45836</v>
      </c>
      <c r="D572" s="1">
        <v>45881</v>
      </c>
      <c r="E572" s="2">
        <v>2548.35</v>
      </c>
      <c r="F572" t="s">
        <v>26</v>
      </c>
      <c r="G572" t="s">
        <v>17</v>
      </c>
      <c r="I572" t="s">
        <v>13</v>
      </c>
      <c r="J572" t="str">
        <f>IF(ISBLANK(Table2[[#This Row],[ReceivedDate]]),"Unpaid",IF(Table2[[#This Row],[ReceivedDate]]&gt;Table2[[#This Row],[DueDate]],"Late",IF(Table2[[#This Row],[ReceivedDate]]&lt;Table2[[#This Row],[DueDate]],"Early","On Time")))</f>
        <v>Unpaid</v>
      </c>
    </row>
    <row r="573" spans="1:10" x14ac:dyDescent="0.3">
      <c r="A573" t="s">
        <v>594</v>
      </c>
      <c r="B573" t="s">
        <v>25</v>
      </c>
      <c r="C573" s="1">
        <v>45478</v>
      </c>
      <c r="D573" s="1">
        <v>45523</v>
      </c>
      <c r="E573" s="2">
        <v>5346.99</v>
      </c>
      <c r="F573" t="s">
        <v>19</v>
      </c>
      <c r="G573" t="s">
        <v>12</v>
      </c>
      <c r="I573" t="s">
        <v>13</v>
      </c>
      <c r="J573" t="str">
        <f>IF(ISBLANK(Table2[[#This Row],[ReceivedDate]]),"Unpaid",IF(Table2[[#This Row],[ReceivedDate]]&gt;Table2[[#This Row],[DueDate]],"Late",IF(Table2[[#This Row],[ReceivedDate]]&lt;Table2[[#This Row],[DueDate]],"Early","On Time")))</f>
        <v>Unpaid</v>
      </c>
    </row>
    <row r="574" spans="1:10" x14ac:dyDescent="0.3">
      <c r="A574" t="s">
        <v>595</v>
      </c>
      <c r="B574" t="s">
        <v>30</v>
      </c>
      <c r="C574" s="1">
        <v>45385</v>
      </c>
      <c r="D574" s="1">
        <v>45430</v>
      </c>
      <c r="E574" s="2">
        <v>2614.7199999999998</v>
      </c>
      <c r="F574" t="s">
        <v>11</v>
      </c>
      <c r="G574" t="s">
        <v>21</v>
      </c>
      <c r="H574" s="1">
        <v>45430</v>
      </c>
      <c r="I574" t="s">
        <v>13</v>
      </c>
      <c r="J574" t="str">
        <f>IF(ISBLANK(Table2[[#This Row],[ReceivedDate]]),"Unpaid",IF(Table2[[#This Row],[ReceivedDate]]&gt;Table2[[#This Row],[DueDate]],"Late",IF(Table2[[#This Row],[ReceivedDate]]&lt;Table2[[#This Row],[DueDate]],"Early","On Time")))</f>
        <v>On Time</v>
      </c>
    </row>
    <row r="575" spans="1:10" x14ac:dyDescent="0.3">
      <c r="A575" t="s">
        <v>596</v>
      </c>
      <c r="B575" t="s">
        <v>10</v>
      </c>
      <c r="C575" s="1">
        <v>45348</v>
      </c>
      <c r="D575" s="1">
        <v>45393</v>
      </c>
      <c r="E575" s="2">
        <v>332.76</v>
      </c>
      <c r="F575" t="s">
        <v>26</v>
      </c>
      <c r="G575" t="s">
        <v>12</v>
      </c>
      <c r="I575" t="s">
        <v>13</v>
      </c>
      <c r="J575" t="str">
        <f>IF(ISBLANK(Table2[[#This Row],[ReceivedDate]]),"Unpaid",IF(Table2[[#This Row],[ReceivedDate]]&gt;Table2[[#This Row],[DueDate]],"Late",IF(Table2[[#This Row],[ReceivedDate]]&lt;Table2[[#This Row],[DueDate]],"Early","On Time")))</f>
        <v>Unpaid</v>
      </c>
    </row>
    <row r="576" spans="1:10" x14ac:dyDescent="0.3">
      <c r="A576" t="s">
        <v>597</v>
      </c>
      <c r="B576" t="s">
        <v>10</v>
      </c>
      <c r="C576" s="1">
        <v>45364</v>
      </c>
      <c r="D576" s="1">
        <v>45409</v>
      </c>
      <c r="E576" s="2">
        <v>2362.15</v>
      </c>
      <c r="F576" t="s">
        <v>11</v>
      </c>
      <c r="G576" t="s">
        <v>21</v>
      </c>
      <c r="H576" s="1">
        <v>45409</v>
      </c>
      <c r="I576" t="s">
        <v>13</v>
      </c>
      <c r="J576" t="str">
        <f>IF(ISBLANK(Table2[[#This Row],[ReceivedDate]]),"Unpaid",IF(Table2[[#This Row],[ReceivedDate]]&gt;Table2[[#This Row],[DueDate]],"Late",IF(Table2[[#This Row],[ReceivedDate]]&lt;Table2[[#This Row],[DueDate]],"Early","On Time")))</f>
        <v>On Time</v>
      </c>
    </row>
    <row r="577" spans="1:10" x14ac:dyDescent="0.3">
      <c r="A577" t="s">
        <v>598</v>
      </c>
      <c r="B577" t="s">
        <v>23</v>
      </c>
      <c r="C577" s="1">
        <v>45069</v>
      </c>
      <c r="D577" s="1">
        <v>45114</v>
      </c>
      <c r="E577" s="2">
        <v>4512.25</v>
      </c>
      <c r="F577" t="s">
        <v>28</v>
      </c>
      <c r="G577" t="s">
        <v>21</v>
      </c>
      <c r="H577" s="1">
        <v>45114</v>
      </c>
      <c r="I577" t="s">
        <v>13</v>
      </c>
      <c r="J577" t="str">
        <f>IF(ISBLANK(Table2[[#This Row],[ReceivedDate]]),"Unpaid",IF(Table2[[#This Row],[ReceivedDate]]&gt;Table2[[#This Row],[DueDate]],"Late",IF(Table2[[#This Row],[ReceivedDate]]&lt;Table2[[#This Row],[DueDate]],"Early","On Time")))</f>
        <v>On Time</v>
      </c>
    </row>
    <row r="578" spans="1:10" x14ac:dyDescent="0.3">
      <c r="A578" t="s">
        <v>599</v>
      </c>
      <c r="B578" t="s">
        <v>23</v>
      </c>
      <c r="C578" s="1">
        <v>45460</v>
      </c>
      <c r="D578" s="1">
        <v>45505</v>
      </c>
      <c r="E578" s="2">
        <v>5745.66</v>
      </c>
      <c r="F578" t="s">
        <v>28</v>
      </c>
      <c r="G578" t="s">
        <v>21</v>
      </c>
      <c r="H578" s="1">
        <v>45505</v>
      </c>
      <c r="I578" t="s">
        <v>13</v>
      </c>
      <c r="J578" t="str">
        <f>IF(ISBLANK(Table2[[#This Row],[ReceivedDate]]),"Unpaid",IF(Table2[[#This Row],[ReceivedDate]]&gt;Table2[[#This Row],[DueDate]],"Late",IF(Table2[[#This Row],[ReceivedDate]]&lt;Table2[[#This Row],[DueDate]],"Early","On Time")))</f>
        <v>On Time</v>
      </c>
    </row>
    <row r="579" spans="1:10" x14ac:dyDescent="0.3">
      <c r="A579" t="s">
        <v>600</v>
      </c>
      <c r="B579" t="s">
        <v>10</v>
      </c>
      <c r="C579" s="1">
        <v>45692</v>
      </c>
      <c r="D579" s="1">
        <v>45737</v>
      </c>
      <c r="E579" s="2">
        <v>1607</v>
      </c>
      <c r="F579" t="s">
        <v>11</v>
      </c>
      <c r="G579" t="s">
        <v>17</v>
      </c>
      <c r="I579" t="s">
        <v>13</v>
      </c>
      <c r="J579" t="str">
        <f>IF(ISBLANK(Table2[[#This Row],[ReceivedDate]]),"Unpaid",IF(Table2[[#This Row],[ReceivedDate]]&gt;Table2[[#This Row],[DueDate]],"Late",IF(Table2[[#This Row],[ReceivedDate]]&lt;Table2[[#This Row],[DueDate]],"Early","On Time")))</f>
        <v>Unpaid</v>
      </c>
    </row>
    <row r="580" spans="1:10" x14ac:dyDescent="0.3">
      <c r="A580" t="s">
        <v>601</v>
      </c>
      <c r="B580" t="s">
        <v>15</v>
      </c>
      <c r="C580" s="1">
        <v>45806</v>
      </c>
      <c r="D580" s="1">
        <v>45851</v>
      </c>
      <c r="E580" s="2">
        <v>7427.79</v>
      </c>
      <c r="F580" t="s">
        <v>19</v>
      </c>
      <c r="G580" t="s">
        <v>21</v>
      </c>
      <c r="H580" s="1">
        <v>45851</v>
      </c>
      <c r="I580" t="s">
        <v>13</v>
      </c>
      <c r="J580" t="str">
        <f>IF(ISBLANK(Table2[[#This Row],[ReceivedDate]]),"Unpaid",IF(Table2[[#This Row],[ReceivedDate]]&gt;Table2[[#This Row],[DueDate]],"Late",IF(Table2[[#This Row],[ReceivedDate]]&lt;Table2[[#This Row],[DueDate]],"Early","On Time")))</f>
        <v>On Time</v>
      </c>
    </row>
    <row r="581" spans="1:10" x14ac:dyDescent="0.3">
      <c r="A581" t="s">
        <v>602</v>
      </c>
      <c r="B581" t="s">
        <v>30</v>
      </c>
      <c r="C581" s="1">
        <v>45290</v>
      </c>
      <c r="D581" s="1">
        <v>45335</v>
      </c>
      <c r="E581" s="2">
        <v>6670.94</v>
      </c>
      <c r="F581" t="s">
        <v>28</v>
      </c>
      <c r="G581" t="s">
        <v>21</v>
      </c>
      <c r="H581" s="1">
        <v>45335</v>
      </c>
      <c r="I581" t="s">
        <v>13</v>
      </c>
      <c r="J581" t="str">
        <f>IF(ISBLANK(Table2[[#This Row],[ReceivedDate]]),"Unpaid",IF(Table2[[#This Row],[ReceivedDate]]&gt;Table2[[#This Row],[DueDate]],"Late",IF(Table2[[#This Row],[ReceivedDate]]&lt;Table2[[#This Row],[DueDate]],"Early","On Time")))</f>
        <v>On Time</v>
      </c>
    </row>
    <row r="582" spans="1:10" x14ac:dyDescent="0.3">
      <c r="A582" t="s">
        <v>603</v>
      </c>
      <c r="B582" t="s">
        <v>10</v>
      </c>
      <c r="C582" s="1">
        <v>44933</v>
      </c>
      <c r="D582" s="1">
        <v>44978</v>
      </c>
      <c r="E582" s="2">
        <v>2177.16</v>
      </c>
      <c r="F582" t="s">
        <v>11</v>
      </c>
      <c r="G582" t="s">
        <v>17</v>
      </c>
      <c r="I582" t="s">
        <v>13</v>
      </c>
      <c r="J582" t="str">
        <f>IF(ISBLANK(Table2[[#This Row],[ReceivedDate]]),"Unpaid",IF(Table2[[#This Row],[ReceivedDate]]&gt;Table2[[#This Row],[DueDate]],"Late",IF(Table2[[#This Row],[ReceivedDate]]&lt;Table2[[#This Row],[DueDate]],"Early","On Time")))</f>
        <v>Unpaid</v>
      </c>
    </row>
    <row r="583" spans="1:10" x14ac:dyDescent="0.3">
      <c r="A583" t="s">
        <v>604</v>
      </c>
      <c r="B583" t="s">
        <v>25</v>
      </c>
      <c r="C583" s="1">
        <v>45143</v>
      </c>
      <c r="D583" s="1">
        <v>45188</v>
      </c>
      <c r="E583" s="2">
        <v>5300.97</v>
      </c>
      <c r="F583" t="s">
        <v>11</v>
      </c>
      <c r="G583" t="s">
        <v>21</v>
      </c>
      <c r="H583" s="1">
        <v>45188</v>
      </c>
      <c r="I583" t="s">
        <v>13</v>
      </c>
      <c r="J583" t="str">
        <f>IF(ISBLANK(Table2[[#This Row],[ReceivedDate]]),"Unpaid",IF(Table2[[#This Row],[ReceivedDate]]&gt;Table2[[#This Row],[DueDate]],"Late",IF(Table2[[#This Row],[ReceivedDate]]&lt;Table2[[#This Row],[DueDate]],"Early","On Time")))</f>
        <v>On Time</v>
      </c>
    </row>
    <row r="584" spans="1:10" x14ac:dyDescent="0.3">
      <c r="A584" t="s">
        <v>605</v>
      </c>
      <c r="B584" t="s">
        <v>23</v>
      </c>
      <c r="C584" s="1">
        <v>45761</v>
      </c>
      <c r="D584" s="1">
        <v>45806</v>
      </c>
      <c r="E584" s="2">
        <v>1242.32</v>
      </c>
      <c r="F584" t="s">
        <v>19</v>
      </c>
      <c r="G584" t="s">
        <v>12</v>
      </c>
      <c r="I584" t="s">
        <v>13</v>
      </c>
      <c r="J584" t="str">
        <f>IF(ISBLANK(Table2[[#This Row],[ReceivedDate]]),"Unpaid",IF(Table2[[#This Row],[ReceivedDate]]&gt;Table2[[#This Row],[DueDate]],"Late",IF(Table2[[#This Row],[ReceivedDate]]&lt;Table2[[#This Row],[DueDate]],"Early","On Time")))</f>
        <v>Unpaid</v>
      </c>
    </row>
    <row r="585" spans="1:10" x14ac:dyDescent="0.3">
      <c r="A585" t="s">
        <v>606</v>
      </c>
      <c r="B585" t="s">
        <v>23</v>
      </c>
      <c r="C585" s="1">
        <v>45676</v>
      </c>
      <c r="D585" s="1">
        <v>45721</v>
      </c>
      <c r="E585" s="2">
        <v>4115.6400000000003</v>
      </c>
      <c r="F585" t="s">
        <v>26</v>
      </c>
      <c r="G585" t="s">
        <v>17</v>
      </c>
      <c r="I585" t="s">
        <v>13</v>
      </c>
      <c r="J585" t="str">
        <f>IF(ISBLANK(Table2[[#This Row],[ReceivedDate]]),"Unpaid",IF(Table2[[#This Row],[ReceivedDate]]&gt;Table2[[#This Row],[DueDate]],"Late",IF(Table2[[#This Row],[ReceivedDate]]&lt;Table2[[#This Row],[DueDate]],"Early","On Time")))</f>
        <v>Unpaid</v>
      </c>
    </row>
    <row r="586" spans="1:10" x14ac:dyDescent="0.3">
      <c r="A586" t="s">
        <v>607</v>
      </c>
      <c r="B586" t="s">
        <v>15</v>
      </c>
      <c r="C586" s="1">
        <v>45605</v>
      </c>
      <c r="D586" s="1">
        <v>45650</v>
      </c>
      <c r="E586" s="2">
        <v>7260.77</v>
      </c>
      <c r="F586" t="s">
        <v>11</v>
      </c>
      <c r="G586" t="s">
        <v>12</v>
      </c>
      <c r="I586" t="s">
        <v>13</v>
      </c>
      <c r="J586" t="str">
        <f>IF(ISBLANK(Table2[[#This Row],[ReceivedDate]]),"Unpaid",IF(Table2[[#This Row],[ReceivedDate]]&gt;Table2[[#This Row],[DueDate]],"Late",IF(Table2[[#This Row],[ReceivedDate]]&lt;Table2[[#This Row],[DueDate]],"Early","On Time")))</f>
        <v>Unpaid</v>
      </c>
    </row>
    <row r="587" spans="1:10" x14ac:dyDescent="0.3">
      <c r="A587" t="s">
        <v>608</v>
      </c>
      <c r="B587" t="s">
        <v>10</v>
      </c>
      <c r="C587" s="1">
        <v>45440</v>
      </c>
      <c r="D587" s="1">
        <v>45485</v>
      </c>
      <c r="E587" s="2">
        <v>3015.47</v>
      </c>
      <c r="F587" t="s">
        <v>26</v>
      </c>
      <c r="G587" t="s">
        <v>21</v>
      </c>
      <c r="H587" s="1">
        <v>45485</v>
      </c>
      <c r="I587" t="s">
        <v>13</v>
      </c>
      <c r="J587" t="str">
        <f>IF(ISBLANK(Table2[[#This Row],[ReceivedDate]]),"Unpaid",IF(Table2[[#This Row],[ReceivedDate]]&gt;Table2[[#This Row],[DueDate]],"Late",IF(Table2[[#This Row],[ReceivedDate]]&lt;Table2[[#This Row],[DueDate]],"Early","On Time")))</f>
        <v>On Time</v>
      </c>
    </row>
    <row r="588" spans="1:10" x14ac:dyDescent="0.3">
      <c r="A588" t="s">
        <v>609</v>
      </c>
      <c r="B588" t="s">
        <v>30</v>
      </c>
      <c r="C588" s="1">
        <v>44968</v>
      </c>
      <c r="D588" s="1">
        <v>45013</v>
      </c>
      <c r="E588" s="2">
        <v>6294.93</v>
      </c>
      <c r="F588" t="s">
        <v>16</v>
      </c>
      <c r="G588" t="s">
        <v>12</v>
      </c>
      <c r="I588" t="s">
        <v>13</v>
      </c>
      <c r="J588" t="str">
        <f>IF(ISBLANK(Table2[[#This Row],[ReceivedDate]]),"Unpaid",IF(Table2[[#This Row],[ReceivedDate]]&gt;Table2[[#This Row],[DueDate]],"Late",IF(Table2[[#This Row],[ReceivedDate]]&lt;Table2[[#This Row],[DueDate]],"Early","On Time")))</f>
        <v>Unpaid</v>
      </c>
    </row>
    <row r="589" spans="1:10" x14ac:dyDescent="0.3">
      <c r="A589" t="s">
        <v>610</v>
      </c>
      <c r="B589" t="s">
        <v>15</v>
      </c>
      <c r="C589" s="1">
        <v>45253</v>
      </c>
      <c r="D589" s="1">
        <v>45298</v>
      </c>
      <c r="E589" s="2">
        <v>4468.68</v>
      </c>
      <c r="F589" t="s">
        <v>19</v>
      </c>
      <c r="G589" t="s">
        <v>17</v>
      </c>
      <c r="I589" t="s">
        <v>13</v>
      </c>
      <c r="J589" t="str">
        <f>IF(ISBLANK(Table2[[#This Row],[ReceivedDate]]),"Unpaid",IF(Table2[[#This Row],[ReceivedDate]]&gt;Table2[[#This Row],[DueDate]],"Late",IF(Table2[[#This Row],[ReceivedDate]]&lt;Table2[[#This Row],[DueDate]],"Early","On Time")))</f>
        <v>Unpaid</v>
      </c>
    </row>
    <row r="590" spans="1:10" x14ac:dyDescent="0.3">
      <c r="A590" t="s">
        <v>611</v>
      </c>
      <c r="B590" t="s">
        <v>15</v>
      </c>
      <c r="C590" s="1">
        <v>45223</v>
      </c>
      <c r="D590" s="1">
        <v>45268</v>
      </c>
      <c r="E590" s="2">
        <v>240.09</v>
      </c>
      <c r="F590" t="s">
        <v>19</v>
      </c>
      <c r="G590" t="s">
        <v>17</v>
      </c>
      <c r="I590" t="s">
        <v>13</v>
      </c>
      <c r="J590" t="str">
        <f>IF(ISBLANK(Table2[[#This Row],[ReceivedDate]]),"Unpaid",IF(Table2[[#This Row],[ReceivedDate]]&gt;Table2[[#This Row],[DueDate]],"Late",IF(Table2[[#This Row],[ReceivedDate]]&lt;Table2[[#This Row],[DueDate]],"Early","On Time")))</f>
        <v>Unpaid</v>
      </c>
    </row>
    <row r="591" spans="1:10" x14ac:dyDescent="0.3">
      <c r="A591" t="s">
        <v>612</v>
      </c>
      <c r="B591" t="s">
        <v>25</v>
      </c>
      <c r="C591" s="1">
        <v>45803</v>
      </c>
      <c r="D591" s="1">
        <v>45848</v>
      </c>
      <c r="E591" s="2">
        <v>7050.65</v>
      </c>
      <c r="F591" t="s">
        <v>28</v>
      </c>
      <c r="G591" t="s">
        <v>21</v>
      </c>
      <c r="H591" s="1">
        <v>45848</v>
      </c>
      <c r="I591" t="s">
        <v>13</v>
      </c>
      <c r="J591" t="str">
        <f>IF(ISBLANK(Table2[[#This Row],[ReceivedDate]]),"Unpaid",IF(Table2[[#This Row],[ReceivedDate]]&gt;Table2[[#This Row],[DueDate]],"Late",IF(Table2[[#This Row],[ReceivedDate]]&lt;Table2[[#This Row],[DueDate]],"Early","On Time")))</f>
        <v>On Time</v>
      </c>
    </row>
    <row r="592" spans="1:10" x14ac:dyDescent="0.3">
      <c r="A592" t="s">
        <v>613</v>
      </c>
      <c r="B592" t="s">
        <v>23</v>
      </c>
      <c r="C592" s="1">
        <v>45680</v>
      </c>
      <c r="D592" s="1">
        <v>45725</v>
      </c>
      <c r="E592" s="2">
        <v>4117.13</v>
      </c>
      <c r="F592" t="s">
        <v>26</v>
      </c>
      <c r="G592" t="s">
        <v>21</v>
      </c>
      <c r="H592" s="1">
        <v>45725</v>
      </c>
      <c r="I592" t="s">
        <v>13</v>
      </c>
      <c r="J592" t="str">
        <f>IF(ISBLANK(Table2[[#This Row],[ReceivedDate]]),"Unpaid",IF(Table2[[#This Row],[ReceivedDate]]&gt;Table2[[#This Row],[DueDate]],"Late",IF(Table2[[#This Row],[ReceivedDate]]&lt;Table2[[#This Row],[DueDate]],"Early","On Time")))</f>
        <v>On Time</v>
      </c>
    </row>
    <row r="593" spans="1:10" x14ac:dyDescent="0.3">
      <c r="A593" t="s">
        <v>614</v>
      </c>
      <c r="B593" t="s">
        <v>23</v>
      </c>
      <c r="C593" s="1">
        <v>45430</v>
      </c>
      <c r="D593" s="1">
        <v>45475</v>
      </c>
      <c r="E593" s="2">
        <v>2054.09</v>
      </c>
      <c r="F593" t="s">
        <v>28</v>
      </c>
      <c r="G593" t="s">
        <v>21</v>
      </c>
      <c r="H593" s="1">
        <v>45475</v>
      </c>
      <c r="I593" t="s">
        <v>13</v>
      </c>
      <c r="J593" t="str">
        <f>IF(ISBLANK(Table2[[#This Row],[ReceivedDate]]),"Unpaid",IF(Table2[[#This Row],[ReceivedDate]]&gt;Table2[[#This Row],[DueDate]],"Late",IF(Table2[[#This Row],[ReceivedDate]]&lt;Table2[[#This Row],[DueDate]],"Early","On Time")))</f>
        <v>On Time</v>
      </c>
    </row>
    <row r="594" spans="1:10" x14ac:dyDescent="0.3">
      <c r="A594" t="s">
        <v>615</v>
      </c>
      <c r="B594" t="s">
        <v>15</v>
      </c>
      <c r="C594" s="1">
        <v>45510</v>
      </c>
      <c r="D594" s="1">
        <v>45555</v>
      </c>
      <c r="E594" s="2">
        <v>5527.3</v>
      </c>
      <c r="F594" t="s">
        <v>16</v>
      </c>
      <c r="G594" t="s">
        <v>17</v>
      </c>
      <c r="I594" t="s">
        <v>13</v>
      </c>
      <c r="J594" t="str">
        <f>IF(ISBLANK(Table2[[#This Row],[ReceivedDate]]),"Unpaid",IF(Table2[[#This Row],[ReceivedDate]]&gt;Table2[[#This Row],[DueDate]],"Late",IF(Table2[[#This Row],[ReceivedDate]]&lt;Table2[[#This Row],[DueDate]],"Early","On Time")))</f>
        <v>Unpaid</v>
      </c>
    </row>
    <row r="595" spans="1:10" x14ac:dyDescent="0.3">
      <c r="A595" t="s">
        <v>616</v>
      </c>
      <c r="B595" t="s">
        <v>23</v>
      </c>
      <c r="C595" s="1">
        <v>45617</v>
      </c>
      <c r="D595" s="1">
        <v>45662</v>
      </c>
      <c r="E595" s="2">
        <v>3629.15</v>
      </c>
      <c r="F595" t="s">
        <v>19</v>
      </c>
      <c r="G595" t="s">
        <v>17</v>
      </c>
      <c r="I595" t="s">
        <v>13</v>
      </c>
      <c r="J595" t="str">
        <f>IF(ISBLANK(Table2[[#This Row],[ReceivedDate]]),"Unpaid",IF(Table2[[#This Row],[ReceivedDate]]&gt;Table2[[#This Row],[DueDate]],"Late",IF(Table2[[#This Row],[ReceivedDate]]&lt;Table2[[#This Row],[DueDate]],"Early","On Time")))</f>
        <v>Unpaid</v>
      </c>
    </row>
    <row r="596" spans="1:10" x14ac:dyDescent="0.3">
      <c r="A596" t="s">
        <v>617</v>
      </c>
      <c r="B596" t="s">
        <v>25</v>
      </c>
      <c r="C596" s="1">
        <v>45168</v>
      </c>
      <c r="D596" s="1">
        <v>45213</v>
      </c>
      <c r="E596" s="2">
        <v>1194.05</v>
      </c>
      <c r="F596" t="s">
        <v>26</v>
      </c>
      <c r="G596" t="s">
        <v>12</v>
      </c>
      <c r="I596" t="s">
        <v>13</v>
      </c>
      <c r="J596" t="str">
        <f>IF(ISBLANK(Table2[[#This Row],[ReceivedDate]]),"Unpaid",IF(Table2[[#This Row],[ReceivedDate]]&gt;Table2[[#This Row],[DueDate]],"Late",IF(Table2[[#This Row],[ReceivedDate]]&lt;Table2[[#This Row],[DueDate]],"Early","On Time")))</f>
        <v>Unpaid</v>
      </c>
    </row>
    <row r="597" spans="1:10" x14ac:dyDescent="0.3">
      <c r="A597" t="s">
        <v>618</v>
      </c>
      <c r="B597" t="s">
        <v>23</v>
      </c>
      <c r="C597" s="1">
        <v>45789</v>
      </c>
      <c r="D597" s="1">
        <v>45834</v>
      </c>
      <c r="E597" s="2">
        <v>1885.59</v>
      </c>
      <c r="F597" t="s">
        <v>28</v>
      </c>
      <c r="G597" t="s">
        <v>21</v>
      </c>
      <c r="H597" s="1">
        <v>45834</v>
      </c>
      <c r="I597" t="s">
        <v>13</v>
      </c>
      <c r="J597" t="str">
        <f>IF(ISBLANK(Table2[[#This Row],[ReceivedDate]]),"Unpaid",IF(Table2[[#This Row],[ReceivedDate]]&gt;Table2[[#This Row],[DueDate]],"Late",IF(Table2[[#This Row],[ReceivedDate]]&lt;Table2[[#This Row],[DueDate]],"Early","On Time")))</f>
        <v>On Time</v>
      </c>
    </row>
    <row r="598" spans="1:10" x14ac:dyDescent="0.3">
      <c r="A598" t="s">
        <v>619</v>
      </c>
      <c r="B598" t="s">
        <v>30</v>
      </c>
      <c r="C598" s="1">
        <v>45495</v>
      </c>
      <c r="D598" s="1">
        <v>45540</v>
      </c>
      <c r="E598" s="2">
        <v>5091.8900000000003</v>
      </c>
      <c r="F598" t="s">
        <v>11</v>
      </c>
      <c r="G598" t="s">
        <v>12</v>
      </c>
      <c r="I598" t="s">
        <v>13</v>
      </c>
      <c r="J598" t="str">
        <f>IF(ISBLANK(Table2[[#This Row],[ReceivedDate]]),"Unpaid",IF(Table2[[#This Row],[ReceivedDate]]&gt;Table2[[#This Row],[DueDate]],"Late",IF(Table2[[#This Row],[ReceivedDate]]&lt;Table2[[#This Row],[DueDate]],"Early","On Time")))</f>
        <v>Unpaid</v>
      </c>
    </row>
    <row r="599" spans="1:10" x14ac:dyDescent="0.3">
      <c r="A599" t="s">
        <v>620</v>
      </c>
      <c r="B599" t="s">
        <v>23</v>
      </c>
      <c r="C599" s="1">
        <v>45512</v>
      </c>
      <c r="D599" s="1">
        <v>45557</v>
      </c>
      <c r="E599" s="2">
        <v>6072.8</v>
      </c>
      <c r="F599" t="s">
        <v>28</v>
      </c>
      <c r="G599" t="s">
        <v>17</v>
      </c>
      <c r="I599" t="s">
        <v>13</v>
      </c>
      <c r="J599" t="str">
        <f>IF(ISBLANK(Table2[[#This Row],[ReceivedDate]]),"Unpaid",IF(Table2[[#This Row],[ReceivedDate]]&gt;Table2[[#This Row],[DueDate]],"Late",IF(Table2[[#This Row],[ReceivedDate]]&lt;Table2[[#This Row],[DueDate]],"Early","On Time")))</f>
        <v>Unpaid</v>
      </c>
    </row>
    <row r="600" spans="1:10" x14ac:dyDescent="0.3">
      <c r="A600" t="s">
        <v>621</v>
      </c>
      <c r="B600" t="s">
        <v>25</v>
      </c>
      <c r="C600" s="1">
        <v>45480</v>
      </c>
      <c r="D600" s="1">
        <v>45525</v>
      </c>
      <c r="E600" s="2">
        <v>4904.74</v>
      </c>
      <c r="F600" t="s">
        <v>11</v>
      </c>
      <c r="G600" t="s">
        <v>17</v>
      </c>
      <c r="I600" t="s">
        <v>13</v>
      </c>
      <c r="J600" t="str">
        <f>IF(ISBLANK(Table2[[#This Row],[ReceivedDate]]),"Unpaid",IF(Table2[[#This Row],[ReceivedDate]]&gt;Table2[[#This Row],[DueDate]],"Late",IF(Table2[[#This Row],[ReceivedDate]]&lt;Table2[[#This Row],[DueDate]],"Early","On Time")))</f>
        <v>Unpaid</v>
      </c>
    </row>
    <row r="601" spans="1:10" x14ac:dyDescent="0.3">
      <c r="A601" t="s">
        <v>622</v>
      </c>
      <c r="B601" t="s">
        <v>15</v>
      </c>
      <c r="C601" s="1">
        <v>45123</v>
      </c>
      <c r="D601" s="1">
        <v>45168</v>
      </c>
      <c r="E601" s="2">
        <v>6631.88</v>
      </c>
      <c r="F601" t="s">
        <v>16</v>
      </c>
      <c r="G601" t="s">
        <v>21</v>
      </c>
      <c r="H601" s="1">
        <v>45168</v>
      </c>
      <c r="I601" t="s">
        <v>13</v>
      </c>
      <c r="J601" t="str">
        <f>IF(ISBLANK(Table2[[#This Row],[ReceivedDate]]),"Unpaid",IF(Table2[[#This Row],[ReceivedDate]]&gt;Table2[[#This Row],[DueDate]],"Late",IF(Table2[[#This Row],[ReceivedDate]]&lt;Table2[[#This Row],[DueDate]],"Early","On Time")))</f>
        <v>On Time</v>
      </c>
    </row>
    <row r="602" spans="1:10" x14ac:dyDescent="0.3">
      <c r="A602" t="s">
        <v>623</v>
      </c>
      <c r="B602" t="s">
        <v>23</v>
      </c>
      <c r="C602" s="1">
        <v>45339</v>
      </c>
      <c r="D602" s="1">
        <v>45384</v>
      </c>
      <c r="E602" s="2">
        <v>4297.46</v>
      </c>
      <c r="F602" t="s">
        <v>11</v>
      </c>
      <c r="G602" t="s">
        <v>12</v>
      </c>
      <c r="I602" t="s">
        <v>13</v>
      </c>
      <c r="J602" t="str">
        <f>IF(ISBLANK(Table2[[#This Row],[ReceivedDate]]),"Unpaid",IF(Table2[[#This Row],[ReceivedDate]]&gt;Table2[[#This Row],[DueDate]],"Late",IF(Table2[[#This Row],[ReceivedDate]]&lt;Table2[[#This Row],[DueDate]],"Early","On Time")))</f>
        <v>Unpaid</v>
      </c>
    </row>
    <row r="603" spans="1:10" x14ac:dyDescent="0.3">
      <c r="A603" t="s">
        <v>624</v>
      </c>
      <c r="B603" t="s">
        <v>10</v>
      </c>
      <c r="C603" s="1">
        <v>45564</v>
      </c>
      <c r="D603" s="1">
        <v>45609</v>
      </c>
      <c r="E603" s="2">
        <v>6265.82</v>
      </c>
      <c r="F603" t="s">
        <v>11</v>
      </c>
      <c r="G603" t="s">
        <v>17</v>
      </c>
      <c r="I603" t="s">
        <v>13</v>
      </c>
      <c r="J603" t="str">
        <f>IF(ISBLANK(Table2[[#This Row],[ReceivedDate]]),"Unpaid",IF(Table2[[#This Row],[ReceivedDate]]&gt;Table2[[#This Row],[DueDate]],"Late",IF(Table2[[#This Row],[ReceivedDate]]&lt;Table2[[#This Row],[DueDate]],"Early","On Time")))</f>
        <v>Unpaid</v>
      </c>
    </row>
    <row r="604" spans="1:10" x14ac:dyDescent="0.3">
      <c r="A604" t="s">
        <v>625</v>
      </c>
      <c r="B604" t="s">
        <v>25</v>
      </c>
      <c r="C604" s="1">
        <v>45353</v>
      </c>
      <c r="D604" s="1">
        <v>45398</v>
      </c>
      <c r="E604" s="2">
        <v>1336.98</v>
      </c>
      <c r="F604" t="s">
        <v>16</v>
      </c>
      <c r="G604" t="s">
        <v>21</v>
      </c>
      <c r="H604" s="1">
        <v>45398</v>
      </c>
      <c r="I604" t="s">
        <v>13</v>
      </c>
      <c r="J604" t="str">
        <f>IF(ISBLANK(Table2[[#This Row],[ReceivedDate]]),"Unpaid",IF(Table2[[#This Row],[ReceivedDate]]&gt;Table2[[#This Row],[DueDate]],"Late",IF(Table2[[#This Row],[ReceivedDate]]&lt;Table2[[#This Row],[DueDate]],"Early","On Time")))</f>
        <v>On Time</v>
      </c>
    </row>
    <row r="605" spans="1:10" x14ac:dyDescent="0.3">
      <c r="A605" t="s">
        <v>626</v>
      </c>
      <c r="B605" t="s">
        <v>10</v>
      </c>
      <c r="C605" s="1">
        <v>45097</v>
      </c>
      <c r="D605" s="1">
        <v>45142</v>
      </c>
      <c r="E605" s="2">
        <v>2594.04</v>
      </c>
      <c r="F605" t="s">
        <v>11</v>
      </c>
      <c r="G605" t="s">
        <v>17</v>
      </c>
      <c r="I605" t="s">
        <v>13</v>
      </c>
      <c r="J605" t="str">
        <f>IF(ISBLANK(Table2[[#This Row],[ReceivedDate]]),"Unpaid",IF(Table2[[#This Row],[ReceivedDate]]&gt;Table2[[#This Row],[DueDate]],"Late",IF(Table2[[#This Row],[ReceivedDate]]&lt;Table2[[#This Row],[DueDate]],"Early","On Time")))</f>
        <v>Unpaid</v>
      </c>
    </row>
    <row r="606" spans="1:10" x14ac:dyDescent="0.3">
      <c r="A606" t="s">
        <v>627</v>
      </c>
      <c r="B606" t="s">
        <v>25</v>
      </c>
      <c r="C606" s="1">
        <v>45306</v>
      </c>
      <c r="D606" s="1">
        <v>45351</v>
      </c>
      <c r="E606" s="2">
        <v>3492.88</v>
      </c>
      <c r="F606" t="s">
        <v>19</v>
      </c>
      <c r="G606" t="s">
        <v>12</v>
      </c>
      <c r="I606" t="s">
        <v>13</v>
      </c>
      <c r="J606" t="str">
        <f>IF(ISBLANK(Table2[[#This Row],[ReceivedDate]]),"Unpaid",IF(Table2[[#This Row],[ReceivedDate]]&gt;Table2[[#This Row],[DueDate]],"Late",IF(Table2[[#This Row],[ReceivedDate]]&lt;Table2[[#This Row],[DueDate]],"Early","On Time")))</f>
        <v>Unpaid</v>
      </c>
    </row>
    <row r="607" spans="1:10" x14ac:dyDescent="0.3">
      <c r="A607" t="s">
        <v>628</v>
      </c>
      <c r="B607" t="s">
        <v>10</v>
      </c>
      <c r="C607" s="1">
        <v>45778</v>
      </c>
      <c r="D607" s="1">
        <v>45823</v>
      </c>
      <c r="E607" s="2">
        <v>6733.21</v>
      </c>
      <c r="F607" t="s">
        <v>16</v>
      </c>
      <c r="G607" t="s">
        <v>12</v>
      </c>
      <c r="I607" t="s">
        <v>13</v>
      </c>
      <c r="J607" t="str">
        <f>IF(ISBLANK(Table2[[#This Row],[ReceivedDate]]),"Unpaid",IF(Table2[[#This Row],[ReceivedDate]]&gt;Table2[[#This Row],[DueDate]],"Late",IF(Table2[[#This Row],[ReceivedDate]]&lt;Table2[[#This Row],[DueDate]],"Early","On Time")))</f>
        <v>Unpaid</v>
      </c>
    </row>
    <row r="608" spans="1:10" x14ac:dyDescent="0.3">
      <c r="A608" t="s">
        <v>629</v>
      </c>
      <c r="B608" t="s">
        <v>30</v>
      </c>
      <c r="C608" s="1">
        <v>45305</v>
      </c>
      <c r="D608" s="1">
        <v>45350</v>
      </c>
      <c r="E608" s="2">
        <v>392.35</v>
      </c>
      <c r="F608" t="s">
        <v>19</v>
      </c>
      <c r="G608" t="s">
        <v>12</v>
      </c>
      <c r="I608" t="s">
        <v>13</v>
      </c>
      <c r="J608" t="str">
        <f>IF(ISBLANK(Table2[[#This Row],[ReceivedDate]]),"Unpaid",IF(Table2[[#This Row],[ReceivedDate]]&gt;Table2[[#This Row],[DueDate]],"Late",IF(Table2[[#This Row],[ReceivedDate]]&lt;Table2[[#This Row],[DueDate]],"Early","On Time")))</f>
        <v>Unpaid</v>
      </c>
    </row>
    <row r="609" spans="1:10" x14ac:dyDescent="0.3">
      <c r="A609" t="s">
        <v>630</v>
      </c>
      <c r="B609" t="s">
        <v>23</v>
      </c>
      <c r="C609" s="1">
        <v>45375</v>
      </c>
      <c r="D609" s="1">
        <v>45420</v>
      </c>
      <c r="E609" s="2">
        <v>372.39</v>
      </c>
      <c r="F609" t="s">
        <v>26</v>
      </c>
      <c r="G609" t="s">
        <v>17</v>
      </c>
      <c r="I609" t="s">
        <v>13</v>
      </c>
      <c r="J609" t="str">
        <f>IF(ISBLANK(Table2[[#This Row],[ReceivedDate]]),"Unpaid",IF(Table2[[#This Row],[ReceivedDate]]&gt;Table2[[#This Row],[DueDate]],"Late",IF(Table2[[#This Row],[ReceivedDate]]&lt;Table2[[#This Row],[DueDate]],"Early","On Time")))</f>
        <v>Unpaid</v>
      </c>
    </row>
    <row r="610" spans="1:10" x14ac:dyDescent="0.3">
      <c r="A610" t="s">
        <v>631</v>
      </c>
      <c r="B610" t="s">
        <v>30</v>
      </c>
      <c r="C610" s="1">
        <v>45298</v>
      </c>
      <c r="D610" s="1">
        <v>45343</v>
      </c>
      <c r="E610" s="2">
        <v>5066.4799999999996</v>
      </c>
      <c r="F610" t="s">
        <v>19</v>
      </c>
      <c r="G610" t="s">
        <v>12</v>
      </c>
      <c r="I610" t="s">
        <v>13</v>
      </c>
      <c r="J610" t="str">
        <f>IF(ISBLANK(Table2[[#This Row],[ReceivedDate]]),"Unpaid",IF(Table2[[#This Row],[ReceivedDate]]&gt;Table2[[#This Row],[DueDate]],"Late",IF(Table2[[#This Row],[ReceivedDate]]&lt;Table2[[#This Row],[DueDate]],"Early","On Time")))</f>
        <v>Unpaid</v>
      </c>
    </row>
    <row r="611" spans="1:10" x14ac:dyDescent="0.3">
      <c r="A611" t="s">
        <v>632</v>
      </c>
      <c r="B611" t="s">
        <v>10</v>
      </c>
      <c r="C611" s="1">
        <v>45804</v>
      </c>
      <c r="D611" s="1">
        <v>45849</v>
      </c>
      <c r="E611" s="2">
        <v>2397.25</v>
      </c>
      <c r="F611" t="s">
        <v>26</v>
      </c>
      <c r="G611" t="s">
        <v>17</v>
      </c>
      <c r="I611" t="s">
        <v>13</v>
      </c>
      <c r="J611" t="str">
        <f>IF(ISBLANK(Table2[[#This Row],[ReceivedDate]]),"Unpaid",IF(Table2[[#This Row],[ReceivedDate]]&gt;Table2[[#This Row],[DueDate]],"Late",IF(Table2[[#This Row],[ReceivedDate]]&lt;Table2[[#This Row],[DueDate]],"Early","On Time")))</f>
        <v>Unpaid</v>
      </c>
    </row>
    <row r="612" spans="1:10" x14ac:dyDescent="0.3">
      <c r="A612" t="s">
        <v>633</v>
      </c>
      <c r="B612" t="s">
        <v>15</v>
      </c>
      <c r="C612" s="1">
        <v>45120</v>
      </c>
      <c r="D612" s="1">
        <v>45165</v>
      </c>
      <c r="E612" s="2">
        <v>1999.63</v>
      </c>
      <c r="F612" t="s">
        <v>16</v>
      </c>
      <c r="G612" t="s">
        <v>17</v>
      </c>
      <c r="I612" t="s">
        <v>13</v>
      </c>
      <c r="J612" t="str">
        <f>IF(ISBLANK(Table2[[#This Row],[ReceivedDate]]),"Unpaid",IF(Table2[[#This Row],[ReceivedDate]]&gt;Table2[[#This Row],[DueDate]],"Late",IF(Table2[[#This Row],[ReceivedDate]]&lt;Table2[[#This Row],[DueDate]],"Early","On Time")))</f>
        <v>Unpaid</v>
      </c>
    </row>
    <row r="613" spans="1:10" x14ac:dyDescent="0.3">
      <c r="A613" t="s">
        <v>634</v>
      </c>
      <c r="B613" t="s">
        <v>30</v>
      </c>
      <c r="C613" s="1">
        <v>45634</v>
      </c>
      <c r="D613" s="1">
        <v>45679</v>
      </c>
      <c r="E613" s="2">
        <v>1154.49</v>
      </c>
      <c r="F613" t="s">
        <v>11</v>
      </c>
      <c r="G613" t="s">
        <v>21</v>
      </c>
      <c r="H613" s="1">
        <v>45679</v>
      </c>
      <c r="I613" t="s">
        <v>13</v>
      </c>
      <c r="J613" t="str">
        <f>IF(ISBLANK(Table2[[#This Row],[ReceivedDate]]),"Unpaid",IF(Table2[[#This Row],[ReceivedDate]]&gt;Table2[[#This Row],[DueDate]],"Late",IF(Table2[[#This Row],[ReceivedDate]]&lt;Table2[[#This Row],[DueDate]],"Early","On Time")))</f>
        <v>On Time</v>
      </c>
    </row>
    <row r="614" spans="1:10" x14ac:dyDescent="0.3">
      <c r="A614" t="s">
        <v>635</v>
      </c>
      <c r="B614" t="s">
        <v>23</v>
      </c>
      <c r="C614" s="1">
        <v>45036</v>
      </c>
      <c r="D614" s="1">
        <v>45081</v>
      </c>
      <c r="E614" s="2">
        <v>594.48</v>
      </c>
      <c r="F614" t="s">
        <v>11</v>
      </c>
      <c r="G614" t="s">
        <v>17</v>
      </c>
      <c r="I614" t="s">
        <v>13</v>
      </c>
      <c r="J614" t="str">
        <f>IF(ISBLANK(Table2[[#This Row],[ReceivedDate]]),"Unpaid",IF(Table2[[#This Row],[ReceivedDate]]&gt;Table2[[#This Row],[DueDate]],"Late",IF(Table2[[#This Row],[ReceivedDate]]&lt;Table2[[#This Row],[DueDate]],"Early","On Time")))</f>
        <v>Unpaid</v>
      </c>
    </row>
    <row r="615" spans="1:10" x14ac:dyDescent="0.3">
      <c r="A615" t="s">
        <v>636</v>
      </c>
      <c r="B615" t="s">
        <v>15</v>
      </c>
      <c r="C615" s="1">
        <v>45181</v>
      </c>
      <c r="D615" s="1">
        <v>45226</v>
      </c>
      <c r="E615" s="2">
        <v>6539.17</v>
      </c>
      <c r="F615" t="s">
        <v>28</v>
      </c>
      <c r="G615" t="s">
        <v>12</v>
      </c>
      <c r="I615" t="s">
        <v>13</v>
      </c>
      <c r="J615" t="str">
        <f>IF(ISBLANK(Table2[[#This Row],[ReceivedDate]]),"Unpaid",IF(Table2[[#This Row],[ReceivedDate]]&gt;Table2[[#This Row],[DueDate]],"Late",IF(Table2[[#This Row],[ReceivedDate]]&lt;Table2[[#This Row],[DueDate]],"Early","On Time")))</f>
        <v>Unpaid</v>
      </c>
    </row>
    <row r="616" spans="1:10" x14ac:dyDescent="0.3">
      <c r="A616" t="s">
        <v>637</v>
      </c>
      <c r="B616" t="s">
        <v>15</v>
      </c>
      <c r="C616" s="1">
        <v>45384</v>
      </c>
      <c r="D616" s="1">
        <v>45429</v>
      </c>
      <c r="E616" s="2">
        <v>6898.03</v>
      </c>
      <c r="F616" t="s">
        <v>19</v>
      </c>
      <c r="G616" t="s">
        <v>17</v>
      </c>
      <c r="I616" t="s">
        <v>13</v>
      </c>
      <c r="J616" t="str">
        <f>IF(ISBLANK(Table2[[#This Row],[ReceivedDate]]),"Unpaid",IF(Table2[[#This Row],[ReceivedDate]]&gt;Table2[[#This Row],[DueDate]],"Late",IF(Table2[[#This Row],[ReceivedDate]]&lt;Table2[[#This Row],[DueDate]],"Early","On Time")))</f>
        <v>Unpaid</v>
      </c>
    </row>
    <row r="617" spans="1:10" x14ac:dyDescent="0.3">
      <c r="A617" t="s">
        <v>638</v>
      </c>
      <c r="B617" t="s">
        <v>10</v>
      </c>
      <c r="C617" s="1">
        <v>45304</v>
      </c>
      <c r="D617" s="1">
        <v>45349</v>
      </c>
      <c r="E617" s="2">
        <v>1278.8699999999999</v>
      </c>
      <c r="F617" t="s">
        <v>11</v>
      </c>
      <c r="G617" t="s">
        <v>17</v>
      </c>
      <c r="I617" t="s">
        <v>13</v>
      </c>
      <c r="J617" t="str">
        <f>IF(ISBLANK(Table2[[#This Row],[ReceivedDate]]),"Unpaid",IF(Table2[[#This Row],[ReceivedDate]]&gt;Table2[[#This Row],[DueDate]],"Late",IF(Table2[[#This Row],[ReceivedDate]]&lt;Table2[[#This Row],[DueDate]],"Early","On Time")))</f>
        <v>Unpaid</v>
      </c>
    </row>
    <row r="618" spans="1:10" x14ac:dyDescent="0.3">
      <c r="A618" t="s">
        <v>639</v>
      </c>
      <c r="B618" t="s">
        <v>10</v>
      </c>
      <c r="C618" s="1">
        <v>45765</v>
      </c>
      <c r="D618" s="1">
        <v>45810</v>
      </c>
      <c r="E618" s="2">
        <v>2943.85</v>
      </c>
      <c r="F618" t="s">
        <v>16</v>
      </c>
      <c r="G618" t="s">
        <v>21</v>
      </c>
      <c r="H618" s="1">
        <v>45810</v>
      </c>
      <c r="I618" t="s">
        <v>13</v>
      </c>
      <c r="J618" t="str">
        <f>IF(ISBLANK(Table2[[#This Row],[ReceivedDate]]),"Unpaid",IF(Table2[[#This Row],[ReceivedDate]]&gt;Table2[[#This Row],[DueDate]],"Late",IF(Table2[[#This Row],[ReceivedDate]]&lt;Table2[[#This Row],[DueDate]],"Early","On Time")))</f>
        <v>On Time</v>
      </c>
    </row>
    <row r="619" spans="1:10" x14ac:dyDescent="0.3">
      <c r="A619" t="s">
        <v>640</v>
      </c>
      <c r="B619" t="s">
        <v>10</v>
      </c>
      <c r="C619" s="1">
        <v>45220</v>
      </c>
      <c r="D619" s="1">
        <v>45265</v>
      </c>
      <c r="E619" s="2">
        <v>2262.88</v>
      </c>
      <c r="F619" t="s">
        <v>16</v>
      </c>
      <c r="G619" t="s">
        <v>12</v>
      </c>
      <c r="I619" t="s">
        <v>13</v>
      </c>
      <c r="J619" t="str">
        <f>IF(ISBLANK(Table2[[#This Row],[ReceivedDate]]),"Unpaid",IF(Table2[[#This Row],[ReceivedDate]]&gt;Table2[[#This Row],[DueDate]],"Late",IF(Table2[[#This Row],[ReceivedDate]]&lt;Table2[[#This Row],[DueDate]],"Early","On Time")))</f>
        <v>Unpaid</v>
      </c>
    </row>
    <row r="620" spans="1:10" x14ac:dyDescent="0.3">
      <c r="A620" t="s">
        <v>641</v>
      </c>
      <c r="B620" t="s">
        <v>25</v>
      </c>
      <c r="C620" s="1">
        <v>45463</v>
      </c>
      <c r="D620" s="1">
        <v>45508</v>
      </c>
      <c r="E620" s="2">
        <v>839.79</v>
      </c>
      <c r="F620" t="s">
        <v>19</v>
      </c>
      <c r="G620" t="s">
        <v>12</v>
      </c>
      <c r="I620" t="s">
        <v>13</v>
      </c>
      <c r="J620" t="str">
        <f>IF(ISBLANK(Table2[[#This Row],[ReceivedDate]]),"Unpaid",IF(Table2[[#This Row],[ReceivedDate]]&gt;Table2[[#This Row],[DueDate]],"Late",IF(Table2[[#This Row],[ReceivedDate]]&lt;Table2[[#This Row],[DueDate]],"Early","On Time")))</f>
        <v>Unpaid</v>
      </c>
    </row>
    <row r="621" spans="1:10" x14ac:dyDescent="0.3">
      <c r="A621" t="s">
        <v>642</v>
      </c>
      <c r="B621" t="s">
        <v>30</v>
      </c>
      <c r="C621" s="1">
        <v>45208</v>
      </c>
      <c r="D621" s="1">
        <v>45253</v>
      </c>
      <c r="E621" s="2">
        <v>1981.78</v>
      </c>
      <c r="F621" t="s">
        <v>26</v>
      </c>
      <c r="G621" t="s">
        <v>17</v>
      </c>
      <c r="I621" t="s">
        <v>13</v>
      </c>
      <c r="J621" t="str">
        <f>IF(ISBLANK(Table2[[#This Row],[ReceivedDate]]),"Unpaid",IF(Table2[[#This Row],[ReceivedDate]]&gt;Table2[[#This Row],[DueDate]],"Late",IF(Table2[[#This Row],[ReceivedDate]]&lt;Table2[[#This Row],[DueDate]],"Early","On Time")))</f>
        <v>Unpaid</v>
      </c>
    </row>
    <row r="622" spans="1:10" x14ac:dyDescent="0.3">
      <c r="A622" t="s">
        <v>643</v>
      </c>
      <c r="B622" t="s">
        <v>25</v>
      </c>
      <c r="C622" s="1">
        <v>45461</v>
      </c>
      <c r="D622" s="1">
        <v>45506</v>
      </c>
      <c r="E622" s="2">
        <v>7993.22</v>
      </c>
      <c r="F622" t="s">
        <v>11</v>
      </c>
      <c r="G622" t="s">
        <v>21</v>
      </c>
      <c r="H622" s="1">
        <v>45506</v>
      </c>
      <c r="I622" t="s">
        <v>13</v>
      </c>
      <c r="J622" t="str">
        <f>IF(ISBLANK(Table2[[#This Row],[ReceivedDate]]),"Unpaid",IF(Table2[[#This Row],[ReceivedDate]]&gt;Table2[[#This Row],[DueDate]],"Late",IF(Table2[[#This Row],[ReceivedDate]]&lt;Table2[[#This Row],[DueDate]],"Early","On Time")))</f>
        <v>On Time</v>
      </c>
    </row>
    <row r="623" spans="1:10" x14ac:dyDescent="0.3">
      <c r="A623" t="s">
        <v>644</v>
      </c>
      <c r="B623" t="s">
        <v>30</v>
      </c>
      <c r="C623" s="1">
        <v>45577</v>
      </c>
      <c r="D623" s="1">
        <v>45622</v>
      </c>
      <c r="E623" s="2">
        <v>505.41</v>
      </c>
      <c r="F623" t="s">
        <v>19</v>
      </c>
      <c r="G623" t="s">
        <v>21</v>
      </c>
      <c r="H623" s="1">
        <v>45622</v>
      </c>
      <c r="I623" t="s">
        <v>13</v>
      </c>
      <c r="J623" t="str">
        <f>IF(ISBLANK(Table2[[#This Row],[ReceivedDate]]),"Unpaid",IF(Table2[[#This Row],[ReceivedDate]]&gt;Table2[[#This Row],[DueDate]],"Late",IF(Table2[[#This Row],[ReceivedDate]]&lt;Table2[[#This Row],[DueDate]],"Early","On Time")))</f>
        <v>On Time</v>
      </c>
    </row>
    <row r="624" spans="1:10" x14ac:dyDescent="0.3">
      <c r="A624" t="s">
        <v>645</v>
      </c>
      <c r="B624" t="s">
        <v>10</v>
      </c>
      <c r="C624" s="1">
        <v>45414</v>
      </c>
      <c r="D624" s="1">
        <v>45459</v>
      </c>
      <c r="E624" s="2">
        <v>1214.1099999999999</v>
      </c>
      <c r="F624" t="s">
        <v>11</v>
      </c>
      <c r="G624" t="s">
        <v>17</v>
      </c>
      <c r="I624" t="s">
        <v>13</v>
      </c>
      <c r="J624" t="str">
        <f>IF(ISBLANK(Table2[[#This Row],[ReceivedDate]]),"Unpaid",IF(Table2[[#This Row],[ReceivedDate]]&gt;Table2[[#This Row],[DueDate]],"Late",IF(Table2[[#This Row],[ReceivedDate]]&lt;Table2[[#This Row],[DueDate]],"Early","On Time")))</f>
        <v>Unpaid</v>
      </c>
    </row>
    <row r="625" spans="1:10" x14ac:dyDescent="0.3">
      <c r="A625" t="s">
        <v>646</v>
      </c>
      <c r="B625" t="s">
        <v>30</v>
      </c>
      <c r="C625" s="1">
        <v>45768</v>
      </c>
      <c r="D625" s="1">
        <v>45813</v>
      </c>
      <c r="E625" s="2">
        <v>2924.58</v>
      </c>
      <c r="F625" t="s">
        <v>26</v>
      </c>
      <c r="G625" t="s">
        <v>21</v>
      </c>
      <c r="H625" s="1">
        <v>45813</v>
      </c>
      <c r="I625" t="s">
        <v>13</v>
      </c>
      <c r="J625" t="str">
        <f>IF(ISBLANK(Table2[[#This Row],[ReceivedDate]]),"Unpaid",IF(Table2[[#This Row],[ReceivedDate]]&gt;Table2[[#This Row],[DueDate]],"Late",IF(Table2[[#This Row],[ReceivedDate]]&lt;Table2[[#This Row],[DueDate]],"Early","On Time")))</f>
        <v>On Time</v>
      </c>
    </row>
    <row r="626" spans="1:10" x14ac:dyDescent="0.3">
      <c r="A626" t="s">
        <v>647</v>
      </c>
      <c r="B626" t="s">
        <v>23</v>
      </c>
      <c r="C626" s="1">
        <v>45243</v>
      </c>
      <c r="D626" s="1">
        <v>45288</v>
      </c>
      <c r="E626" s="2">
        <v>7029.41</v>
      </c>
      <c r="F626" t="s">
        <v>19</v>
      </c>
      <c r="G626" t="s">
        <v>12</v>
      </c>
      <c r="I626" t="s">
        <v>13</v>
      </c>
      <c r="J626" t="str">
        <f>IF(ISBLANK(Table2[[#This Row],[ReceivedDate]]),"Unpaid",IF(Table2[[#This Row],[ReceivedDate]]&gt;Table2[[#This Row],[DueDate]],"Late",IF(Table2[[#This Row],[ReceivedDate]]&lt;Table2[[#This Row],[DueDate]],"Early","On Time")))</f>
        <v>Unpaid</v>
      </c>
    </row>
    <row r="627" spans="1:10" x14ac:dyDescent="0.3">
      <c r="A627" t="s">
        <v>648</v>
      </c>
      <c r="B627" t="s">
        <v>10</v>
      </c>
      <c r="C627" s="1">
        <v>45540</v>
      </c>
      <c r="D627" s="1">
        <v>45585</v>
      </c>
      <c r="E627" s="2">
        <v>4527.1099999999997</v>
      </c>
      <c r="F627" t="s">
        <v>16</v>
      </c>
      <c r="G627" t="s">
        <v>17</v>
      </c>
      <c r="I627" t="s">
        <v>13</v>
      </c>
      <c r="J627" t="str">
        <f>IF(ISBLANK(Table2[[#This Row],[ReceivedDate]]),"Unpaid",IF(Table2[[#This Row],[ReceivedDate]]&gt;Table2[[#This Row],[DueDate]],"Late",IF(Table2[[#This Row],[ReceivedDate]]&lt;Table2[[#This Row],[DueDate]],"Early","On Time")))</f>
        <v>Unpaid</v>
      </c>
    </row>
    <row r="628" spans="1:10" x14ac:dyDescent="0.3">
      <c r="A628" t="s">
        <v>649</v>
      </c>
      <c r="B628" t="s">
        <v>15</v>
      </c>
      <c r="C628" s="1">
        <v>45057</v>
      </c>
      <c r="D628" s="1">
        <v>45102</v>
      </c>
      <c r="E628" s="2">
        <v>6525.23</v>
      </c>
      <c r="F628" t="s">
        <v>28</v>
      </c>
      <c r="G628" t="s">
        <v>17</v>
      </c>
      <c r="I628" t="s">
        <v>13</v>
      </c>
      <c r="J628" t="str">
        <f>IF(ISBLANK(Table2[[#This Row],[ReceivedDate]]),"Unpaid",IF(Table2[[#This Row],[ReceivedDate]]&gt;Table2[[#This Row],[DueDate]],"Late",IF(Table2[[#This Row],[ReceivedDate]]&lt;Table2[[#This Row],[DueDate]],"Early","On Time")))</f>
        <v>Unpaid</v>
      </c>
    </row>
    <row r="629" spans="1:10" x14ac:dyDescent="0.3">
      <c r="A629" t="s">
        <v>650</v>
      </c>
      <c r="B629" t="s">
        <v>25</v>
      </c>
      <c r="C629" s="1">
        <v>45829</v>
      </c>
      <c r="D629" s="1">
        <v>45874</v>
      </c>
      <c r="E629" s="2">
        <v>3824.97</v>
      </c>
      <c r="F629" t="s">
        <v>11</v>
      </c>
      <c r="G629" t="s">
        <v>21</v>
      </c>
      <c r="H629" s="1">
        <v>45874</v>
      </c>
      <c r="I629" t="s">
        <v>13</v>
      </c>
      <c r="J629" t="str">
        <f>IF(ISBLANK(Table2[[#This Row],[ReceivedDate]]),"Unpaid",IF(Table2[[#This Row],[ReceivedDate]]&gt;Table2[[#This Row],[DueDate]],"Late",IF(Table2[[#This Row],[ReceivedDate]]&lt;Table2[[#This Row],[DueDate]],"Early","On Time")))</f>
        <v>On Time</v>
      </c>
    </row>
    <row r="630" spans="1:10" x14ac:dyDescent="0.3">
      <c r="A630" t="s">
        <v>651</v>
      </c>
      <c r="B630" t="s">
        <v>30</v>
      </c>
      <c r="C630" s="1">
        <v>45707</v>
      </c>
      <c r="D630" s="1">
        <v>45752</v>
      </c>
      <c r="E630" s="2">
        <v>1942.51</v>
      </c>
      <c r="F630" t="s">
        <v>28</v>
      </c>
      <c r="G630" t="s">
        <v>12</v>
      </c>
      <c r="I630" t="s">
        <v>13</v>
      </c>
      <c r="J630" t="str">
        <f>IF(ISBLANK(Table2[[#This Row],[ReceivedDate]]),"Unpaid",IF(Table2[[#This Row],[ReceivedDate]]&gt;Table2[[#This Row],[DueDate]],"Late",IF(Table2[[#This Row],[ReceivedDate]]&lt;Table2[[#This Row],[DueDate]],"Early","On Time")))</f>
        <v>Unpaid</v>
      </c>
    </row>
    <row r="631" spans="1:10" x14ac:dyDescent="0.3">
      <c r="A631" t="s">
        <v>652</v>
      </c>
      <c r="B631" t="s">
        <v>10</v>
      </c>
      <c r="C631" s="1">
        <v>45241</v>
      </c>
      <c r="D631" s="1">
        <v>45286</v>
      </c>
      <c r="E631" s="2">
        <v>5154.78</v>
      </c>
      <c r="F631" t="s">
        <v>16</v>
      </c>
      <c r="G631" t="s">
        <v>12</v>
      </c>
      <c r="I631" t="s">
        <v>13</v>
      </c>
      <c r="J631" t="str">
        <f>IF(ISBLANK(Table2[[#This Row],[ReceivedDate]]),"Unpaid",IF(Table2[[#This Row],[ReceivedDate]]&gt;Table2[[#This Row],[DueDate]],"Late",IF(Table2[[#This Row],[ReceivedDate]]&lt;Table2[[#This Row],[DueDate]],"Early","On Time")))</f>
        <v>Unpaid</v>
      </c>
    </row>
    <row r="632" spans="1:10" x14ac:dyDescent="0.3">
      <c r="A632" t="s">
        <v>653</v>
      </c>
      <c r="B632" t="s">
        <v>23</v>
      </c>
      <c r="C632" s="1">
        <v>45126</v>
      </c>
      <c r="D632" s="1">
        <v>45171</v>
      </c>
      <c r="E632" s="2">
        <v>2001.78</v>
      </c>
      <c r="F632" t="s">
        <v>28</v>
      </c>
      <c r="G632" t="s">
        <v>12</v>
      </c>
      <c r="I632" t="s">
        <v>13</v>
      </c>
      <c r="J632" t="str">
        <f>IF(ISBLANK(Table2[[#This Row],[ReceivedDate]]),"Unpaid",IF(Table2[[#This Row],[ReceivedDate]]&gt;Table2[[#This Row],[DueDate]],"Late",IF(Table2[[#This Row],[ReceivedDate]]&lt;Table2[[#This Row],[DueDate]],"Early","On Time")))</f>
        <v>Unpaid</v>
      </c>
    </row>
    <row r="633" spans="1:10" x14ac:dyDescent="0.3">
      <c r="A633" t="s">
        <v>654</v>
      </c>
      <c r="B633" t="s">
        <v>10</v>
      </c>
      <c r="C633" s="1">
        <v>45592</v>
      </c>
      <c r="D633" s="1">
        <v>45637</v>
      </c>
      <c r="E633" s="2">
        <v>2090.41</v>
      </c>
      <c r="F633" t="s">
        <v>16</v>
      </c>
      <c r="G633" t="s">
        <v>17</v>
      </c>
      <c r="I633" t="s">
        <v>13</v>
      </c>
      <c r="J633" t="str">
        <f>IF(ISBLANK(Table2[[#This Row],[ReceivedDate]]),"Unpaid",IF(Table2[[#This Row],[ReceivedDate]]&gt;Table2[[#This Row],[DueDate]],"Late",IF(Table2[[#This Row],[ReceivedDate]]&lt;Table2[[#This Row],[DueDate]],"Early","On Time")))</f>
        <v>Unpaid</v>
      </c>
    </row>
    <row r="634" spans="1:10" x14ac:dyDescent="0.3">
      <c r="A634" t="s">
        <v>655</v>
      </c>
      <c r="B634" t="s">
        <v>25</v>
      </c>
      <c r="C634" s="1">
        <v>45190</v>
      </c>
      <c r="D634" s="1">
        <v>45235</v>
      </c>
      <c r="E634" s="2">
        <v>2713.38</v>
      </c>
      <c r="F634" t="s">
        <v>11</v>
      </c>
      <c r="G634" t="s">
        <v>21</v>
      </c>
      <c r="H634" s="1">
        <v>45235</v>
      </c>
      <c r="I634" t="s">
        <v>13</v>
      </c>
      <c r="J634" t="str">
        <f>IF(ISBLANK(Table2[[#This Row],[ReceivedDate]]),"Unpaid",IF(Table2[[#This Row],[ReceivedDate]]&gt;Table2[[#This Row],[DueDate]],"Late",IF(Table2[[#This Row],[ReceivedDate]]&lt;Table2[[#This Row],[DueDate]],"Early","On Time")))</f>
        <v>On Time</v>
      </c>
    </row>
    <row r="635" spans="1:10" x14ac:dyDescent="0.3">
      <c r="A635" t="s">
        <v>656</v>
      </c>
      <c r="B635" t="s">
        <v>23</v>
      </c>
      <c r="C635" s="1">
        <v>45009</v>
      </c>
      <c r="D635" s="1">
        <v>45054</v>
      </c>
      <c r="E635" s="2">
        <v>1688.41</v>
      </c>
      <c r="F635" t="s">
        <v>11</v>
      </c>
      <c r="G635" t="s">
        <v>21</v>
      </c>
      <c r="H635" s="1">
        <v>45054</v>
      </c>
      <c r="I635" t="s">
        <v>13</v>
      </c>
      <c r="J635" t="str">
        <f>IF(ISBLANK(Table2[[#This Row],[ReceivedDate]]),"Unpaid",IF(Table2[[#This Row],[ReceivedDate]]&gt;Table2[[#This Row],[DueDate]],"Late",IF(Table2[[#This Row],[ReceivedDate]]&lt;Table2[[#This Row],[DueDate]],"Early","On Time")))</f>
        <v>On Time</v>
      </c>
    </row>
    <row r="636" spans="1:10" x14ac:dyDescent="0.3">
      <c r="A636" t="s">
        <v>657</v>
      </c>
      <c r="B636" t="s">
        <v>30</v>
      </c>
      <c r="C636" s="1">
        <v>45108</v>
      </c>
      <c r="D636" s="1">
        <v>45153</v>
      </c>
      <c r="E636" s="2">
        <v>7964.05</v>
      </c>
      <c r="F636" t="s">
        <v>28</v>
      </c>
      <c r="G636" t="s">
        <v>12</v>
      </c>
      <c r="I636" t="s">
        <v>13</v>
      </c>
      <c r="J636" t="str">
        <f>IF(ISBLANK(Table2[[#This Row],[ReceivedDate]]),"Unpaid",IF(Table2[[#This Row],[ReceivedDate]]&gt;Table2[[#This Row],[DueDate]],"Late",IF(Table2[[#This Row],[ReceivedDate]]&lt;Table2[[#This Row],[DueDate]],"Early","On Time")))</f>
        <v>Unpaid</v>
      </c>
    </row>
    <row r="637" spans="1:10" x14ac:dyDescent="0.3">
      <c r="A637" t="s">
        <v>658</v>
      </c>
      <c r="B637" t="s">
        <v>23</v>
      </c>
      <c r="C637" s="1">
        <v>45760</v>
      </c>
      <c r="D637" s="1">
        <v>45805</v>
      </c>
      <c r="E637" s="2">
        <v>1540.79</v>
      </c>
      <c r="F637" t="s">
        <v>11</v>
      </c>
      <c r="G637" t="s">
        <v>17</v>
      </c>
      <c r="I637" t="s">
        <v>13</v>
      </c>
      <c r="J637" t="str">
        <f>IF(ISBLANK(Table2[[#This Row],[ReceivedDate]]),"Unpaid",IF(Table2[[#This Row],[ReceivedDate]]&gt;Table2[[#This Row],[DueDate]],"Late",IF(Table2[[#This Row],[ReceivedDate]]&lt;Table2[[#This Row],[DueDate]],"Early","On Time")))</f>
        <v>Unpaid</v>
      </c>
    </row>
    <row r="638" spans="1:10" x14ac:dyDescent="0.3">
      <c r="A638" t="s">
        <v>659</v>
      </c>
      <c r="B638" t="s">
        <v>25</v>
      </c>
      <c r="C638" s="1">
        <v>45768</v>
      </c>
      <c r="D638" s="1">
        <v>45813</v>
      </c>
      <c r="E638" s="2">
        <v>1933.33</v>
      </c>
      <c r="F638" t="s">
        <v>11</v>
      </c>
      <c r="G638" t="s">
        <v>17</v>
      </c>
      <c r="I638" t="s">
        <v>13</v>
      </c>
      <c r="J638" t="str">
        <f>IF(ISBLANK(Table2[[#This Row],[ReceivedDate]]),"Unpaid",IF(Table2[[#This Row],[ReceivedDate]]&gt;Table2[[#This Row],[DueDate]],"Late",IF(Table2[[#This Row],[ReceivedDate]]&lt;Table2[[#This Row],[DueDate]],"Early","On Time")))</f>
        <v>Unpaid</v>
      </c>
    </row>
    <row r="639" spans="1:10" x14ac:dyDescent="0.3">
      <c r="A639" t="s">
        <v>660</v>
      </c>
      <c r="B639" t="s">
        <v>15</v>
      </c>
      <c r="C639" s="1">
        <v>45171</v>
      </c>
      <c r="D639" s="1">
        <v>45216</v>
      </c>
      <c r="E639" s="2">
        <v>458.58</v>
      </c>
      <c r="F639" t="s">
        <v>19</v>
      </c>
      <c r="G639" t="s">
        <v>17</v>
      </c>
      <c r="I639" t="s">
        <v>13</v>
      </c>
      <c r="J639" t="str">
        <f>IF(ISBLANK(Table2[[#This Row],[ReceivedDate]]),"Unpaid",IF(Table2[[#This Row],[ReceivedDate]]&gt;Table2[[#This Row],[DueDate]],"Late",IF(Table2[[#This Row],[ReceivedDate]]&lt;Table2[[#This Row],[DueDate]],"Early","On Time")))</f>
        <v>Unpaid</v>
      </c>
    </row>
    <row r="640" spans="1:10" x14ac:dyDescent="0.3">
      <c r="A640" t="s">
        <v>661</v>
      </c>
      <c r="B640" t="s">
        <v>25</v>
      </c>
      <c r="C640" s="1">
        <v>45837</v>
      </c>
      <c r="D640" s="1">
        <v>45882</v>
      </c>
      <c r="E640" s="2">
        <v>5760.56</v>
      </c>
      <c r="F640" t="s">
        <v>11</v>
      </c>
      <c r="G640" t="s">
        <v>12</v>
      </c>
      <c r="I640" t="s">
        <v>13</v>
      </c>
      <c r="J640" t="str">
        <f>IF(ISBLANK(Table2[[#This Row],[ReceivedDate]]),"Unpaid",IF(Table2[[#This Row],[ReceivedDate]]&gt;Table2[[#This Row],[DueDate]],"Late",IF(Table2[[#This Row],[ReceivedDate]]&lt;Table2[[#This Row],[DueDate]],"Early","On Time")))</f>
        <v>Unpaid</v>
      </c>
    </row>
    <row r="641" spans="1:10" x14ac:dyDescent="0.3">
      <c r="A641" t="s">
        <v>662</v>
      </c>
      <c r="B641" t="s">
        <v>15</v>
      </c>
      <c r="C641" s="1">
        <v>45817</v>
      </c>
      <c r="D641" s="1">
        <v>45862</v>
      </c>
      <c r="E641" s="2">
        <v>1719.86</v>
      </c>
      <c r="F641" t="s">
        <v>16</v>
      </c>
      <c r="G641" t="s">
        <v>12</v>
      </c>
      <c r="I641" t="s">
        <v>13</v>
      </c>
      <c r="J641" t="str">
        <f>IF(ISBLANK(Table2[[#This Row],[ReceivedDate]]),"Unpaid",IF(Table2[[#This Row],[ReceivedDate]]&gt;Table2[[#This Row],[DueDate]],"Late",IF(Table2[[#This Row],[ReceivedDate]]&lt;Table2[[#This Row],[DueDate]],"Early","On Time")))</f>
        <v>Unpaid</v>
      </c>
    </row>
    <row r="642" spans="1:10" x14ac:dyDescent="0.3">
      <c r="A642" t="s">
        <v>663</v>
      </c>
      <c r="B642" t="s">
        <v>25</v>
      </c>
      <c r="C642" s="1">
        <v>45725</v>
      </c>
      <c r="D642" s="1">
        <v>45770</v>
      </c>
      <c r="E642" s="2">
        <v>6756.99</v>
      </c>
      <c r="F642" t="s">
        <v>16</v>
      </c>
      <c r="G642" t="s">
        <v>12</v>
      </c>
      <c r="I642" t="s">
        <v>13</v>
      </c>
      <c r="J642" t="str">
        <f>IF(ISBLANK(Table2[[#This Row],[ReceivedDate]]),"Unpaid",IF(Table2[[#This Row],[ReceivedDate]]&gt;Table2[[#This Row],[DueDate]],"Late",IF(Table2[[#This Row],[ReceivedDate]]&lt;Table2[[#This Row],[DueDate]],"Early","On Time")))</f>
        <v>Unpaid</v>
      </c>
    </row>
    <row r="643" spans="1:10" x14ac:dyDescent="0.3">
      <c r="A643" t="s">
        <v>664</v>
      </c>
      <c r="B643" t="s">
        <v>10</v>
      </c>
      <c r="C643" s="1">
        <v>45606</v>
      </c>
      <c r="D643" s="1">
        <v>45651</v>
      </c>
      <c r="E643" s="2">
        <v>4654.32</v>
      </c>
      <c r="F643" t="s">
        <v>26</v>
      </c>
      <c r="G643" t="s">
        <v>17</v>
      </c>
      <c r="I643" t="s">
        <v>13</v>
      </c>
      <c r="J643" t="str">
        <f>IF(ISBLANK(Table2[[#This Row],[ReceivedDate]]),"Unpaid",IF(Table2[[#This Row],[ReceivedDate]]&gt;Table2[[#This Row],[DueDate]],"Late",IF(Table2[[#This Row],[ReceivedDate]]&lt;Table2[[#This Row],[DueDate]],"Early","On Time")))</f>
        <v>Unpaid</v>
      </c>
    </row>
    <row r="644" spans="1:10" x14ac:dyDescent="0.3">
      <c r="A644" t="s">
        <v>665</v>
      </c>
      <c r="B644" t="s">
        <v>25</v>
      </c>
      <c r="C644" s="1">
        <v>45571</v>
      </c>
      <c r="D644" s="1">
        <v>45616</v>
      </c>
      <c r="E644" s="2">
        <v>3915.77</v>
      </c>
      <c r="F644" t="s">
        <v>11</v>
      </c>
      <c r="G644" t="s">
        <v>17</v>
      </c>
      <c r="I644" t="s">
        <v>13</v>
      </c>
      <c r="J644" t="str">
        <f>IF(ISBLANK(Table2[[#This Row],[ReceivedDate]]),"Unpaid",IF(Table2[[#This Row],[ReceivedDate]]&gt;Table2[[#This Row],[DueDate]],"Late",IF(Table2[[#This Row],[ReceivedDate]]&lt;Table2[[#This Row],[DueDate]],"Early","On Time")))</f>
        <v>Unpaid</v>
      </c>
    </row>
    <row r="645" spans="1:10" x14ac:dyDescent="0.3">
      <c r="A645" t="s">
        <v>666</v>
      </c>
      <c r="B645" t="s">
        <v>30</v>
      </c>
      <c r="C645" s="1">
        <v>45800</v>
      </c>
      <c r="D645" s="1">
        <v>45845</v>
      </c>
      <c r="E645" s="2">
        <v>1446.12</v>
      </c>
      <c r="F645" t="s">
        <v>11</v>
      </c>
      <c r="G645" t="s">
        <v>21</v>
      </c>
      <c r="H645" s="1">
        <v>45845</v>
      </c>
      <c r="I645" t="s">
        <v>13</v>
      </c>
      <c r="J645" t="str">
        <f>IF(ISBLANK(Table2[[#This Row],[ReceivedDate]]),"Unpaid",IF(Table2[[#This Row],[ReceivedDate]]&gt;Table2[[#This Row],[DueDate]],"Late",IF(Table2[[#This Row],[ReceivedDate]]&lt;Table2[[#This Row],[DueDate]],"Early","On Time")))</f>
        <v>On Time</v>
      </c>
    </row>
    <row r="646" spans="1:10" x14ac:dyDescent="0.3">
      <c r="A646" t="s">
        <v>667</v>
      </c>
      <c r="B646" t="s">
        <v>30</v>
      </c>
      <c r="C646" s="1">
        <v>45454</v>
      </c>
      <c r="D646" s="1">
        <v>45499</v>
      </c>
      <c r="E646" s="2">
        <v>3333.72</v>
      </c>
      <c r="F646" t="s">
        <v>26</v>
      </c>
      <c r="G646" t="s">
        <v>21</v>
      </c>
      <c r="H646" s="1">
        <v>45499</v>
      </c>
      <c r="I646" t="s">
        <v>13</v>
      </c>
      <c r="J646" t="str">
        <f>IF(ISBLANK(Table2[[#This Row],[ReceivedDate]]),"Unpaid",IF(Table2[[#This Row],[ReceivedDate]]&gt;Table2[[#This Row],[DueDate]],"Late",IF(Table2[[#This Row],[ReceivedDate]]&lt;Table2[[#This Row],[DueDate]],"Early","On Time")))</f>
        <v>On Time</v>
      </c>
    </row>
    <row r="647" spans="1:10" x14ac:dyDescent="0.3">
      <c r="A647" t="s">
        <v>668</v>
      </c>
      <c r="B647" t="s">
        <v>30</v>
      </c>
      <c r="C647" s="1">
        <v>45062</v>
      </c>
      <c r="D647" s="1">
        <v>45107</v>
      </c>
      <c r="E647" s="2">
        <v>6396.64</v>
      </c>
      <c r="F647" t="s">
        <v>11</v>
      </c>
      <c r="G647" t="s">
        <v>21</v>
      </c>
      <c r="H647" s="1">
        <v>45107</v>
      </c>
      <c r="I647" t="s">
        <v>13</v>
      </c>
      <c r="J647" t="str">
        <f>IF(ISBLANK(Table2[[#This Row],[ReceivedDate]]),"Unpaid",IF(Table2[[#This Row],[ReceivedDate]]&gt;Table2[[#This Row],[DueDate]],"Late",IF(Table2[[#This Row],[ReceivedDate]]&lt;Table2[[#This Row],[DueDate]],"Early","On Time")))</f>
        <v>On Time</v>
      </c>
    </row>
    <row r="648" spans="1:10" x14ac:dyDescent="0.3">
      <c r="A648" t="s">
        <v>669</v>
      </c>
      <c r="B648" t="s">
        <v>25</v>
      </c>
      <c r="C648" s="1">
        <v>45524</v>
      </c>
      <c r="D648" s="1">
        <v>45569</v>
      </c>
      <c r="E648" s="2">
        <v>745.71</v>
      </c>
      <c r="F648" t="s">
        <v>19</v>
      </c>
      <c r="G648" t="s">
        <v>17</v>
      </c>
      <c r="I648" t="s">
        <v>13</v>
      </c>
      <c r="J648" t="str">
        <f>IF(ISBLANK(Table2[[#This Row],[ReceivedDate]]),"Unpaid",IF(Table2[[#This Row],[ReceivedDate]]&gt;Table2[[#This Row],[DueDate]],"Late",IF(Table2[[#This Row],[ReceivedDate]]&lt;Table2[[#This Row],[DueDate]],"Early","On Time")))</f>
        <v>Unpaid</v>
      </c>
    </row>
    <row r="649" spans="1:10" x14ac:dyDescent="0.3">
      <c r="A649" t="s">
        <v>670</v>
      </c>
      <c r="B649" t="s">
        <v>25</v>
      </c>
      <c r="C649" s="1">
        <v>45503</v>
      </c>
      <c r="D649" s="1">
        <v>45548</v>
      </c>
      <c r="E649" s="2">
        <v>2882.56</v>
      </c>
      <c r="F649" t="s">
        <v>19</v>
      </c>
      <c r="G649" t="s">
        <v>21</v>
      </c>
      <c r="H649" s="1">
        <v>45548</v>
      </c>
      <c r="I649" t="s">
        <v>13</v>
      </c>
      <c r="J649" t="str">
        <f>IF(ISBLANK(Table2[[#This Row],[ReceivedDate]]),"Unpaid",IF(Table2[[#This Row],[ReceivedDate]]&gt;Table2[[#This Row],[DueDate]],"Late",IF(Table2[[#This Row],[ReceivedDate]]&lt;Table2[[#This Row],[DueDate]],"Early","On Time")))</f>
        <v>On Time</v>
      </c>
    </row>
    <row r="650" spans="1:10" x14ac:dyDescent="0.3">
      <c r="A650" t="s">
        <v>671</v>
      </c>
      <c r="B650" t="s">
        <v>10</v>
      </c>
      <c r="C650" s="1">
        <v>45186</v>
      </c>
      <c r="D650" s="1">
        <v>45231</v>
      </c>
      <c r="E650" s="2">
        <v>4831.9799999999996</v>
      </c>
      <c r="F650" t="s">
        <v>11</v>
      </c>
      <c r="G650" t="s">
        <v>17</v>
      </c>
      <c r="I650" t="s">
        <v>13</v>
      </c>
      <c r="J650" t="str">
        <f>IF(ISBLANK(Table2[[#This Row],[ReceivedDate]]),"Unpaid",IF(Table2[[#This Row],[ReceivedDate]]&gt;Table2[[#This Row],[DueDate]],"Late",IF(Table2[[#This Row],[ReceivedDate]]&lt;Table2[[#This Row],[DueDate]],"Early","On Time")))</f>
        <v>Unpaid</v>
      </c>
    </row>
    <row r="651" spans="1:10" x14ac:dyDescent="0.3">
      <c r="A651" t="s">
        <v>672</v>
      </c>
      <c r="B651" t="s">
        <v>15</v>
      </c>
      <c r="C651" s="1">
        <v>44929</v>
      </c>
      <c r="D651" s="1">
        <v>44974</v>
      </c>
      <c r="E651" s="2">
        <v>1606.99</v>
      </c>
      <c r="F651" t="s">
        <v>19</v>
      </c>
      <c r="G651" t="s">
        <v>17</v>
      </c>
      <c r="I651" t="s">
        <v>13</v>
      </c>
      <c r="J651" t="str">
        <f>IF(ISBLANK(Table2[[#This Row],[ReceivedDate]]),"Unpaid",IF(Table2[[#This Row],[ReceivedDate]]&gt;Table2[[#This Row],[DueDate]],"Late",IF(Table2[[#This Row],[ReceivedDate]]&lt;Table2[[#This Row],[DueDate]],"Early","On Time")))</f>
        <v>Unpaid</v>
      </c>
    </row>
    <row r="652" spans="1:10" x14ac:dyDescent="0.3">
      <c r="A652" t="s">
        <v>673</v>
      </c>
      <c r="B652" t="s">
        <v>25</v>
      </c>
      <c r="C652" s="1">
        <v>44933</v>
      </c>
      <c r="D652" s="1">
        <v>44978</v>
      </c>
      <c r="E652" s="2">
        <v>243.81</v>
      </c>
      <c r="F652" t="s">
        <v>19</v>
      </c>
      <c r="G652" t="s">
        <v>17</v>
      </c>
      <c r="I652" t="s">
        <v>13</v>
      </c>
      <c r="J652" t="str">
        <f>IF(ISBLANK(Table2[[#This Row],[ReceivedDate]]),"Unpaid",IF(Table2[[#This Row],[ReceivedDate]]&gt;Table2[[#This Row],[DueDate]],"Late",IF(Table2[[#This Row],[ReceivedDate]]&lt;Table2[[#This Row],[DueDate]],"Early","On Time")))</f>
        <v>Unpaid</v>
      </c>
    </row>
    <row r="653" spans="1:10" x14ac:dyDescent="0.3">
      <c r="A653" t="s">
        <v>674</v>
      </c>
      <c r="B653" t="s">
        <v>15</v>
      </c>
      <c r="C653" s="1">
        <v>45741</v>
      </c>
      <c r="D653" s="1">
        <v>45786</v>
      </c>
      <c r="E653" s="2">
        <v>3008.8</v>
      </c>
      <c r="F653" t="s">
        <v>26</v>
      </c>
      <c r="G653" t="s">
        <v>21</v>
      </c>
      <c r="H653" s="1">
        <v>45786</v>
      </c>
      <c r="I653" t="s">
        <v>13</v>
      </c>
      <c r="J653" t="str">
        <f>IF(ISBLANK(Table2[[#This Row],[ReceivedDate]]),"Unpaid",IF(Table2[[#This Row],[ReceivedDate]]&gt;Table2[[#This Row],[DueDate]],"Late",IF(Table2[[#This Row],[ReceivedDate]]&lt;Table2[[#This Row],[DueDate]],"Early","On Time")))</f>
        <v>On Time</v>
      </c>
    </row>
    <row r="654" spans="1:10" x14ac:dyDescent="0.3">
      <c r="A654" t="s">
        <v>675</v>
      </c>
      <c r="B654" t="s">
        <v>30</v>
      </c>
      <c r="C654" s="1">
        <v>44957</v>
      </c>
      <c r="D654" s="1">
        <v>45002</v>
      </c>
      <c r="E654" s="2">
        <v>6453.32</v>
      </c>
      <c r="F654" t="s">
        <v>26</v>
      </c>
      <c r="G654" t="s">
        <v>21</v>
      </c>
      <c r="H654" s="1">
        <v>45002</v>
      </c>
      <c r="I654" t="s">
        <v>13</v>
      </c>
      <c r="J654" t="str">
        <f>IF(ISBLANK(Table2[[#This Row],[ReceivedDate]]),"Unpaid",IF(Table2[[#This Row],[ReceivedDate]]&gt;Table2[[#This Row],[DueDate]],"Late",IF(Table2[[#This Row],[ReceivedDate]]&lt;Table2[[#This Row],[DueDate]],"Early","On Time")))</f>
        <v>On Time</v>
      </c>
    </row>
    <row r="655" spans="1:10" x14ac:dyDescent="0.3">
      <c r="A655" t="s">
        <v>676</v>
      </c>
      <c r="B655" t="s">
        <v>30</v>
      </c>
      <c r="C655" s="1">
        <v>45528</v>
      </c>
      <c r="D655" s="1">
        <v>45573</v>
      </c>
      <c r="E655" s="2">
        <v>6816.1</v>
      </c>
      <c r="F655" t="s">
        <v>19</v>
      </c>
      <c r="G655" t="s">
        <v>12</v>
      </c>
      <c r="I655" t="s">
        <v>13</v>
      </c>
      <c r="J655" t="str">
        <f>IF(ISBLANK(Table2[[#This Row],[ReceivedDate]]),"Unpaid",IF(Table2[[#This Row],[ReceivedDate]]&gt;Table2[[#This Row],[DueDate]],"Late",IF(Table2[[#This Row],[ReceivedDate]]&lt;Table2[[#This Row],[DueDate]],"Early","On Time")))</f>
        <v>Unpaid</v>
      </c>
    </row>
    <row r="656" spans="1:10" x14ac:dyDescent="0.3">
      <c r="A656" t="s">
        <v>677</v>
      </c>
      <c r="B656" t="s">
        <v>10</v>
      </c>
      <c r="C656" s="1">
        <v>45140</v>
      </c>
      <c r="D656" s="1">
        <v>45185</v>
      </c>
      <c r="E656" s="2">
        <v>3940.19</v>
      </c>
      <c r="F656" t="s">
        <v>28</v>
      </c>
      <c r="G656" t="s">
        <v>17</v>
      </c>
      <c r="I656" t="s">
        <v>13</v>
      </c>
      <c r="J656" t="str">
        <f>IF(ISBLANK(Table2[[#This Row],[ReceivedDate]]),"Unpaid",IF(Table2[[#This Row],[ReceivedDate]]&gt;Table2[[#This Row],[DueDate]],"Late",IF(Table2[[#This Row],[ReceivedDate]]&lt;Table2[[#This Row],[DueDate]],"Early","On Time")))</f>
        <v>Unpaid</v>
      </c>
    </row>
    <row r="657" spans="1:10" x14ac:dyDescent="0.3">
      <c r="A657" t="s">
        <v>678</v>
      </c>
      <c r="B657" t="s">
        <v>30</v>
      </c>
      <c r="C657" s="1">
        <v>45091</v>
      </c>
      <c r="D657" s="1">
        <v>45136</v>
      </c>
      <c r="E657" s="2">
        <v>3595.35</v>
      </c>
      <c r="F657" t="s">
        <v>19</v>
      </c>
      <c r="G657" t="s">
        <v>17</v>
      </c>
      <c r="I657" t="s">
        <v>13</v>
      </c>
      <c r="J657" t="str">
        <f>IF(ISBLANK(Table2[[#This Row],[ReceivedDate]]),"Unpaid",IF(Table2[[#This Row],[ReceivedDate]]&gt;Table2[[#This Row],[DueDate]],"Late",IF(Table2[[#This Row],[ReceivedDate]]&lt;Table2[[#This Row],[DueDate]],"Early","On Time")))</f>
        <v>Unpaid</v>
      </c>
    </row>
    <row r="658" spans="1:10" x14ac:dyDescent="0.3">
      <c r="A658" t="s">
        <v>679</v>
      </c>
      <c r="B658" t="s">
        <v>10</v>
      </c>
      <c r="C658" s="1">
        <v>45427</v>
      </c>
      <c r="D658" s="1">
        <v>45472</v>
      </c>
      <c r="E658" s="2">
        <v>3077.11</v>
      </c>
      <c r="F658" t="s">
        <v>26</v>
      </c>
      <c r="G658" t="s">
        <v>17</v>
      </c>
      <c r="I658" t="s">
        <v>13</v>
      </c>
      <c r="J658" t="str">
        <f>IF(ISBLANK(Table2[[#This Row],[ReceivedDate]]),"Unpaid",IF(Table2[[#This Row],[ReceivedDate]]&gt;Table2[[#This Row],[DueDate]],"Late",IF(Table2[[#This Row],[ReceivedDate]]&lt;Table2[[#This Row],[DueDate]],"Early","On Time")))</f>
        <v>Unpaid</v>
      </c>
    </row>
    <row r="659" spans="1:10" x14ac:dyDescent="0.3">
      <c r="A659" t="s">
        <v>680</v>
      </c>
      <c r="B659" t="s">
        <v>10</v>
      </c>
      <c r="C659" s="1">
        <v>45705</v>
      </c>
      <c r="D659" s="1">
        <v>45750</v>
      </c>
      <c r="E659" s="2">
        <v>5124.7</v>
      </c>
      <c r="F659" t="s">
        <v>19</v>
      </c>
      <c r="G659" t="s">
        <v>12</v>
      </c>
      <c r="I659" t="s">
        <v>13</v>
      </c>
      <c r="J659" t="str">
        <f>IF(ISBLANK(Table2[[#This Row],[ReceivedDate]]),"Unpaid",IF(Table2[[#This Row],[ReceivedDate]]&gt;Table2[[#This Row],[DueDate]],"Late",IF(Table2[[#This Row],[ReceivedDate]]&lt;Table2[[#This Row],[DueDate]],"Early","On Time")))</f>
        <v>Unpaid</v>
      </c>
    </row>
    <row r="660" spans="1:10" x14ac:dyDescent="0.3">
      <c r="A660" t="s">
        <v>681</v>
      </c>
      <c r="B660" t="s">
        <v>10</v>
      </c>
      <c r="C660" s="1">
        <v>45092</v>
      </c>
      <c r="D660" s="1">
        <v>45137</v>
      </c>
      <c r="E660" s="2">
        <v>7013.17</v>
      </c>
      <c r="F660" t="s">
        <v>19</v>
      </c>
      <c r="G660" t="s">
        <v>12</v>
      </c>
      <c r="I660" t="s">
        <v>13</v>
      </c>
      <c r="J660" t="str">
        <f>IF(ISBLANK(Table2[[#This Row],[ReceivedDate]]),"Unpaid",IF(Table2[[#This Row],[ReceivedDate]]&gt;Table2[[#This Row],[DueDate]],"Late",IF(Table2[[#This Row],[ReceivedDate]]&lt;Table2[[#This Row],[DueDate]],"Early","On Time")))</f>
        <v>Unpaid</v>
      </c>
    </row>
    <row r="661" spans="1:10" x14ac:dyDescent="0.3">
      <c r="A661" t="s">
        <v>682</v>
      </c>
      <c r="B661" t="s">
        <v>25</v>
      </c>
      <c r="C661" s="1">
        <v>44964</v>
      </c>
      <c r="D661" s="1">
        <v>45009</v>
      </c>
      <c r="E661" s="2">
        <v>6328.76</v>
      </c>
      <c r="F661" t="s">
        <v>19</v>
      </c>
      <c r="G661" t="s">
        <v>17</v>
      </c>
      <c r="I661" t="s">
        <v>13</v>
      </c>
      <c r="J661" t="str">
        <f>IF(ISBLANK(Table2[[#This Row],[ReceivedDate]]),"Unpaid",IF(Table2[[#This Row],[ReceivedDate]]&gt;Table2[[#This Row],[DueDate]],"Late",IF(Table2[[#This Row],[ReceivedDate]]&lt;Table2[[#This Row],[DueDate]],"Early","On Time")))</f>
        <v>Unpaid</v>
      </c>
    </row>
    <row r="662" spans="1:10" x14ac:dyDescent="0.3">
      <c r="A662" t="s">
        <v>683</v>
      </c>
      <c r="B662" t="s">
        <v>30</v>
      </c>
      <c r="C662" s="1">
        <v>45020</v>
      </c>
      <c r="D662" s="1">
        <v>45065</v>
      </c>
      <c r="E662" s="2">
        <v>4370.75</v>
      </c>
      <c r="F662" t="s">
        <v>16</v>
      </c>
      <c r="G662" t="s">
        <v>21</v>
      </c>
      <c r="H662" s="1">
        <v>45065</v>
      </c>
      <c r="I662" t="s">
        <v>13</v>
      </c>
      <c r="J662" t="str">
        <f>IF(ISBLANK(Table2[[#This Row],[ReceivedDate]]),"Unpaid",IF(Table2[[#This Row],[ReceivedDate]]&gt;Table2[[#This Row],[DueDate]],"Late",IF(Table2[[#This Row],[ReceivedDate]]&lt;Table2[[#This Row],[DueDate]],"Early","On Time")))</f>
        <v>On Time</v>
      </c>
    </row>
    <row r="663" spans="1:10" x14ac:dyDescent="0.3">
      <c r="A663" t="s">
        <v>684</v>
      </c>
      <c r="B663" t="s">
        <v>23</v>
      </c>
      <c r="C663" s="1">
        <v>45247</v>
      </c>
      <c r="D663" s="1">
        <v>45292</v>
      </c>
      <c r="E663" s="2">
        <v>1197.19</v>
      </c>
      <c r="F663" t="s">
        <v>19</v>
      </c>
      <c r="G663" t="s">
        <v>21</v>
      </c>
      <c r="H663" s="1">
        <v>45292</v>
      </c>
      <c r="I663" t="s">
        <v>13</v>
      </c>
      <c r="J663" t="str">
        <f>IF(ISBLANK(Table2[[#This Row],[ReceivedDate]]),"Unpaid",IF(Table2[[#This Row],[ReceivedDate]]&gt;Table2[[#This Row],[DueDate]],"Late",IF(Table2[[#This Row],[ReceivedDate]]&lt;Table2[[#This Row],[DueDate]],"Early","On Time")))</f>
        <v>On Time</v>
      </c>
    </row>
    <row r="664" spans="1:10" x14ac:dyDescent="0.3">
      <c r="A664" t="s">
        <v>685</v>
      </c>
      <c r="B664" t="s">
        <v>15</v>
      </c>
      <c r="C664" s="1">
        <v>45544</v>
      </c>
      <c r="D664" s="1">
        <v>45589</v>
      </c>
      <c r="E664" s="2">
        <v>1237.3499999999999</v>
      </c>
      <c r="F664" t="s">
        <v>16</v>
      </c>
      <c r="G664" t="s">
        <v>21</v>
      </c>
      <c r="H664" s="1">
        <v>45589</v>
      </c>
      <c r="I664" t="s">
        <v>13</v>
      </c>
      <c r="J664" t="str">
        <f>IF(ISBLANK(Table2[[#This Row],[ReceivedDate]]),"Unpaid",IF(Table2[[#This Row],[ReceivedDate]]&gt;Table2[[#This Row],[DueDate]],"Late",IF(Table2[[#This Row],[ReceivedDate]]&lt;Table2[[#This Row],[DueDate]],"Early","On Time")))</f>
        <v>On Time</v>
      </c>
    </row>
    <row r="665" spans="1:10" x14ac:dyDescent="0.3">
      <c r="A665" t="s">
        <v>686</v>
      </c>
      <c r="B665" t="s">
        <v>15</v>
      </c>
      <c r="C665" s="1">
        <v>45066</v>
      </c>
      <c r="D665" s="1">
        <v>45111</v>
      </c>
      <c r="E665" s="2">
        <v>1158.5999999999999</v>
      </c>
      <c r="F665" t="s">
        <v>11</v>
      </c>
      <c r="G665" t="s">
        <v>21</v>
      </c>
      <c r="H665" s="1">
        <v>45111</v>
      </c>
      <c r="I665" t="s">
        <v>13</v>
      </c>
      <c r="J665" t="str">
        <f>IF(ISBLANK(Table2[[#This Row],[ReceivedDate]]),"Unpaid",IF(Table2[[#This Row],[ReceivedDate]]&gt;Table2[[#This Row],[DueDate]],"Late",IF(Table2[[#This Row],[ReceivedDate]]&lt;Table2[[#This Row],[DueDate]],"Early","On Time")))</f>
        <v>On Time</v>
      </c>
    </row>
    <row r="666" spans="1:10" x14ac:dyDescent="0.3">
      <c r="A666" t="s">
        <v>687</v>
      </c>
      <c r="B666" t="s">
        <v>15</v>
      </c>
      <c r="C666" s="1">
        <v>45540</v>
      </c>
      <c r="D666" s="1">
        <v>45585</v>
      </c>
      <c r="E666" s="2">
        <v>902.03</v>
      </c>
      <c r="F666" t="s">
        <v>16</v>
      </c>
      <c r="G666" t="s">
        <v>12</v>
      </c>
      <c r="I666" t="s">
        <v>13</v>
      </c>
      <c r="J666" t="str">
        <f>IF(ISBLANK(Table2[[#This Row],[ReceivedDate]]),"Unpaid",IF(Table2[[#This Row],[ReceivedDate]]&gt;Table2[[#This Row],[DueDate]],"Late",IF(Table2[[#This Row],[ReceivedDate]]&lt;Table2[[#This Row],[DueDate]],"Early","On Time")))</f>
        <v>Unpaid</v>
      </c>
    </row>
    <row r="667" spans="1:10" x14ac:dyDescent="0.3">
      <c r="A667" t="s">
        <v>688</v>
      </c>
      <c r="B667" t="s">
        <v>23</v>
      </c>
      <c r="C667" s="1">
        <v>45727</v>
      </c>
      <c r="D667" s="1">
        <v>45772</v>
      </c>
      <c r="E667" s="2">
        <v>5343.75</v>
      </c>
      <c r="F667" t="s">
        <v>26</v>
      </c>
      <c r="G667" t="s">
        <v>17</v>
      </c>
      <c r="I667" t="s">
        <v>13</v>
      </c>
      <c r="J667" t="str">
        <f>IF(ISBLANK(Table2[[#This Row],[ReceivedDate]]),"Unpaid",IF(Table2[[#This Row],[ReceivedDate]]&gt;Table2[[#This Row],[DueDate]],"Late",IF(Table2[[#This Row],[ReceivedDate]]&lt;Table2[[#This Row],[DueDate]],"Early","On Time")))</f>
        <v>Unpaid</v>
      </c>
    </row>
    <row r="668" spans="1:10" x14ac:dyDescent="0.3">
      <c r="A668" t="s">
        <v>689</v>
      </c>
      <c r="B668" t="s">
        <v>15</v>
      </c>
      <c r="C668" s="1">
        <v>45612</v>
      </c>
      <c r="D668" s="1">
        <v>45657</v>
      </c>
      <c r="E668" s="2">
        <v>7948.89</v>
      </c>
      <c r="F668" t="s">
        <v>26</v>
      </c>
      <c r="G668" t="s">
        <v>12</v>
      </c>
      <c r="I668" t="s">
        <v>13</v>
      </c>
      <c r="J668" t="str">
        <f>IF(ISBLANK(Table2[[#This Row],[ReceivedDate]]),"Unpaid",IF(Table2[[#This Row],[ReceivedDate]]&gt;Table2[[#This Row],[DueDate]],"Late",IF(Table2[[#This Row],[ReceivedDate]]&lt;Table2[[#This Row],[DueDate]],"Early","On Time")))</f>
        <v>Unpaid</v>
      </c>
    </row>
    <row r="669" spans="1:10" x14ac:dyDescent="0.3">
      <c r="A669" t="s">
        <v>690</v>
      </c>
      <c r="B669" t="s">
        <v>15</v>
      </c>
      <c r="C669" s="1">
        <v>45569</v>
      </c>
      <c r="D669" s="1">
        <v>45614</v>
      </c>
      <c r="E669" s="2">
        <v>7072.26</v>
      </c>
      <c r="F669" t="s">
        <v>16</v>
      </c>
      <c r="G669" t="s">
        <v>21</v>
      </c>
      <c r="H669" s="1">
        <v>45614</v>
      </c>
      <c r="I669" t="s">
        <v>13</v>
      </c>
      <c r="J669" t="str">
        <f>IF(ISBLANK(Table2[[#This Row],[ReceivedDate]]),"Unpaid",IF(Table2[[#This Row],[ReceivedDate]]&gt;Table2[[#This Row],[DueDate]],"Late",IF(Table2[[#This Row],[ReceivedDate]]&lt;Table2[[#This Row],[DueDate]],"Early","On Time")))</f>
        <v>On Time</v>
      </c>
    </row>
    <row r="670" spans="1:10" x14ac:dyDescent="0.3">
      <c r="A670" t="s">
        <v>691</v>
      </c>
      <c r="B670" t="s">
        <v>15</v>
      </c>
      <c r="C670" s="1">
        <v>45128</v>
      </c>
      <c r="D670" s="1">
        <v>45173</v>
      </c>
      <c r="E670" s="2">
        <v>4905.33</v>
      </c>
      <c r="F670" t="s">
        <v>11</v>
      </c>
      <c r="G670" t="s">
        <v>12</v>
      </c>
      <c r="I670" t="s">
        <v>13</v>
      </c>
      <c r="J670" t="str">
        <f>IF(ISBLANK(Table2[[#This Row],[ReceivedDate]]),"Unpaid",IF(Table2[[#This Row],[ReceivedDate]]&gt;Table2[[#This Row],[DueDate]],"Late",IF(Table2[[#This Row],[ReceivedDate]]&lt;Table2[[#This Row],[DueDate]],"Early","On Time")))</f>
        <v>Unpaid</v>
      </c>
    </row>
    <row r="671" spans="1:10" x14ac:dyDescent="0.3">
      <c r="A671" t="s">
        <v>692</v>
      </c>
      <c r="B671" t="s">
        <v>23</v>
      </c>
      <c r="C671" s="1">
        <v>45024</v>
      </c>
      <c r="D671" s="1">
        <v>45069</v>
      </c>
      <c r="E671" s="2">
        <v>1063.05</v>
      </c>
      <c r="F671" t="s">
        <v>11</v>
      </c>
      <c r="G671" t="s">
        <v>21</v>
      </c>
      <c r="H671" s="1">
        <v>45069</v>
      </c>
      <c r="I671" t="s">
        <v>13</v>
      </c>
      <c r="J671" t="str">
        <f>IF(ISBLANK(Table2[[#This Row],[ReceivedDate]]),"Unpaid",IF(Table2[[#This Row],[ReceivedDate]]&gt;Table2[[#This Row],[DueDate]],"Late",IF(Table2[[#This Row],[ReceivedDate]]&lt;Table2[[#This Row],[DueDate]],"Early","On Time")))</f>
        <v>On Time</v>
      </c>
    </row>
    <row r="672" spans="1:10" x14ac:dyDescent="0.3">
      <c r="A672" t="s">
        <v>693</v>
      </c>
      <c r="B672" t="s">
        <v>23</v>
      </c>
      <c r="C672" s="1">
        <v>45697</v>
      </c>
      <c r="D672" s="1">
        <v>45742</v>
      </c>
      <c r="E672" s="2">
        <v>4173.51</v>
      </c>
      <c r="F672" t="s">
        <v>16</v>
      </c>
      <c r="G672" t="s">
        <v>21</v>
      </c>
      <c r="H672" s="1">
        <v>45742</v>
      </c>
      <c r="I672" t="s">
        <v>13</v>
      </c>
      <c r="J672" t="str">
        <f>IF(ISBLANK(Table2[[#This Row],[ReceivedDate]]),"Unpaid",IF(Table2[[#This Row],[ReceivedDate]]&gt;Table2[[#This Row],[DueDate]],"Late",IF(Table2[[#This Row],[ReceivedDate]]&lt;Table2[[#This Row],[DueDate]],"Early","On Time")))</f>
        <v>On Time</v>
      </c>
    </row>
    <row r="673" spans="1:10" x14ac:dyDescent="0.3">
      <c r="A673" t="s">
        <v>694</v>
      </c>
      <c r="B673" t="s">
        <v>23</v>
      </c>
      <c r="C673" s="1">
        <v>44980</v>
      </c>
      <c r="D673" s="1">
        <v>45025</v>
      </c>
      <c r="E673" s="2">
        <v>5531.26</v>
      </c>
      <c r="F673" t="s">
        <v>11</v>
      </c>
      <c r="G673" t="s">
        <v>17</v>
      </c>
      <c r="I673" t="s">
        <v>13</v>
      </c>
      <c r="J673" t="str">
        <f>IF(ISBLANK(Table2[[#This Row],[ReceivedDate]]),"Unpaid",IF(Table2[[#This Row],[ReceivedDate]]&gt;Table2[[#This Row],[DueDate]],"Late",IF(Table2[[#This Row],[ReceivedDate]]&lt;Table2[[#This Row],[DueDate]],"Early","On Time")))</f>
        <v>Unpaid</v>
      </c>
    </row>
    <row r="674" spans="1:10" x14ac:dyDescent="0.3">
      <c r="A674" t="s">
        <v>695</v>
      </c>
      <c r="B674" t="s">
        <v>25</v>
      </c>
      <c r="C674" s="1">
        <v>45747</v>
      </c>
      <c r="D674" s="1">
        <v>45792</v>
      </c>
      <c r="E674" s="2">
        <v>696.31</v>
      </c>
      <c r="F674" t="s">
        <v>11</v>
      </c>
      <c r="G674" t="s">
        <v>17</v>
      </c>
      <c r="I674" t="s">
        <v>13</v>
      </c>
      <c r="J674" t="str">
        <f>IF(ISBLANK(Table2[[#This Row],[ReceivedDate]]),"Unpaid",IF(Table2[[#This Row],[ReceivedDate]]&gt;Table2[[#This Row],[DueDate]],"Late",IF(Table2[[#This Row],[ReceivedDate]]&lt;Table2[[#This Row],[DueDate]],"Early","On Time")))</f>
        <v>Unpaid</v>
      </c>
    </row>
    <row r="675" spans="1:10" x14ac:dyDescent="0.3">
      <c r="A675" t="s">
        <v>696</v>
      </c>
      <c r="B675" t="s">
        <v>25</v>
      </c>
      <c r="C675" s="1">
        <v>45804</v>
      </c>
      <c r="D675" s="1">
        <v>45849</v>
      </c>
      <c r="E675" s="2">
        <v>4219.1899999999996</v>
      </c>
      <c r="F675" t="s">
        <v>16</v>
      </c>
      <c r="G675" t="s">
        <v>17</v>
      </c>
      <c r="I675" t="s">
        <v>13</v>
      </c>
      <c r="J675" t="str">
        <f>IF(ISBLANK(Table2[[#This Row],[ReceivedDate]]),"Unpaid",IF(Table2[[#This Row],[ReceivedDate]]&gt;Table2[[#This Row],[DueDate]],"Late",IF(Table2[[#This Row],[ReceivedDate]]&lt;Table2[[#This Row],[DueDate]],"Early","On Time")))</f>
        <v>Unpaid</v>
      </c>
    </row>
    <row r="676" spans="1:10" x14ac:dyDescent="0.3">
      <c r="A676" t="s">
        <v>697</v>
      </c>
      <c r="B676" t="s">
        <v>10</v>
      </c>
      <c r="C676" s="1">
        <v>45323</v>
      </c>
      <c r="D676" s="1">
        <v>45368</v>
      </c>
      <c r="E676" s="2">
        <v>6754.63</v>
      </c>
      <c r="F676" t="s">
        <v>16</v>
      </c>
      <c r="G676" t="s">
        <v>17</v>
      </c>
      <c r="I676" t="s">
        <v>13</v>
      </c>
      <c r="J676" t="str">
        <f>IF(ISBLANK(Table2[[#This Row],[ReceivedDate]]),"Unpaid",IF(Table2[[#This Row],[ReceivedDate]]&gt;Table2[[#This Row],[DueDate]],"Late",IF(Table2[[#This Row],[ReceivedDate]]&lt;Table2[[#This Row],[DueDate]],"Early","On Time")))</f>
        <v>Unpaid</v>
      </c>
    </row>
    <row r="677" spans="1:10" x14ac:dyDescent="0.3">
      <c r="A677" t="s">
        <v>698</v>
      </c>
      <c r="B677" t="s">
        <v>15</v>
      </c>
      <c r="C677" s="1">
        <v>45386</v>
      </c>
      <c r="D677" s="1">
        <v>45431</v>
      </c>
      <c r="E677" s="2">
        <v>4258.29</v>
      </c>
      <c r="F677" t="s">
        <v>11</v>
      </c>
      <c r="G677" t="s">
        <v>21</v>
      </c>
      <c r="H677" s="1">
        <v>45431</v>
      </c>
      <c r="I677" t="s">
        <v>13</v>
      </c>
      <c r="J677" t="str">
        <f>IF(ISBLANK(Table2[[#This Row],[ReceivedDate]]),"Unpaid",IF(Table2[[#This Row],[ReceivedDate]]&gt;Table2[[#This Row],[DueDate]],"Late",IF(Table2[[#This Row],[ReceivedDate]]&lt;Table2[[#This Row],[DueDate]],"Early","On Time")))</f>
        <v>On Time</v>
      </c>
    </row>
    <row r="678" spans="1:10" x14ac:dyDescent="0.3">
      <c r="A678" t="s">
        <v>699</v>
      </c>
      <c r="B678" t="s">
        <v>30</v>
      </c>
      <c r="C678" s="1">
        <v>45081</v>
      </c>
      <c r="D678" s="1">
        <v>45126</v>
      </c>
      <c r="E678" s="2">
        <v>5986.21</v>
      </c>
      <c r="F678" t="s">
        <v>16</v>
      </c>
      <c r="G678" t="s">
        <v>12</v>
      </c>
      <c r="I678" t="s">
        <v>13</v>
      </c>
      <c r="J678" t="str">
        <f>IF(ISBLANK(Table2[[#This Row],[ReceivedDate]]),"Unpaid",IF(Table2[[#This Row],[ReceivedDate]]&gt;Table2[[#This Row],[DueDate]],"Late",IF(Table2[[#This Row],[ReceivedDate]]&lt;Table2[[#This Row],[DueDate]],"Early","On Time")))</f>
        <v>Unpaid</v>
      </c>
    </row>
    <row r="679" spans="1:10" x14ac:dyDescent="0.3">
      <c r="A679" t="s">
        <v>700</v>
      </c>
      <c r="B679" t="s">
        <v>10</v>
      </c>
      <c r="C679" s="1">
        <v>45112</v>
      </c>
      <c r="D679" s="1">
        <v>45157</v>
      </c>
      <c r="E679" s="2">
        <v>6093.81</v>
      </c>
      <c r="F679" t="s">
        <v>11</v>
      </c>
      <c r="G679" t="s">
        <v>21</v>
      </c>
      <c r="H679" s="1">
        <v>45157</v>
      </c>
      <c r="I679" t="s">
        <v>13</v>
      </c>
      <c r="J679" t="str">
        <f>IF(ISBLANK(Table2[[#This Row],[ReceivedDate]]),"Unpaid",IF(Table2[[#This Row],[ReceivedDate]]&gt;Table2[[#This Row],[DueDate]],"Late",IF(Table2[[#This Row],[ReceivedDate]]&lt;Table2[[#This Row],[DueDate]],"Early","On Time")))</f>
        <v>On Time</v>
      </c>
    </row>
    <row r="680" spans="1:10" x14ac:dyDescent="0.3">
      <c r="A680" t="s">
        <v>701</v>
      </c>
      <c r="B680" t="s">
        <v>25</v>
      </c>
      <c r="C680" s="1">
        <v>45538</v>
      </c>
      <c r="D680" s="1">
        <v>45583</v>
      </c>
      <c r="E680" s="2">
        <v>3906.09</v>
      </c>
      <c r="F680" t="s">
        <v>11</v>
      </c>
      <c r="G680" t="s">
        <v>21</v>
      </c>
      <c r="H680" s="1">
        <v>45583</v>
      </c>
      <c r="I680" t="s">
        <v>13</v>
      </c>
      <c r="J680" t="str">
        <f>IF(ISBLANK(Table2[[#This Row],[ReceivedDate]]),"Unpaid",IF(Table2[[#This Row],[ReceivedDate]]&gt;Table2[[#This Row],[DueDate]],"Late",IF(Table2[[#This Row],[ReceivedDate]]&lt;Table2[[#This Row],[DueDate]],"Early","On Time")))</f>
        <v>On Time</v>
      </c>
    </row>
    <row r="681" spans="1:10" x14ac:dyDescent="0.3">
      <c r="A681" t="s">
        <v>702</v>
      </c>
      <c r="B681" t="s">
        <v>15</v>
      </c>
      <c r="C681" s="1">
        <v>45623</v>
      </c>
      <c r="D681" s="1">
        <v>45668</v>
      </c>
      <c r="E681" s="2">
        <v>4948.45</v>
      </c>
      <c r="F681" t="s">
        <v>19</v>
      </c>
      <c r="G681" t="s">
        <v>17</v>
      </c>
      <c r="I681" t="s">
        <v>13</v>
      </c>
      <c r="J681" t="str">
        <f>IF(ISBLANK(Table2[[#This Row],[ReceivedDate]]),"Unpaid",IF(Table2[[#This Row],[ReceivedDate]]&gt;Table2[[#This Row],[DueDate]],"Late",IF(Table2[[#This Row],[ReceivedDate]]&lt;Table2[[#This Row],[DueDate]],"Early","On Time")))</f>
        <v>Unpaid</v>
      </c>
    </row>
    <row r="682" spans="1:10" x14ac:dyDescent="0.3">
      <c r="A682" t="s">
        <v>703</v>
      </c>
      <c r="B682" t="s">
        <v>30</v>
      </c>
      <c r="C682" s="1">
        <v>45006</v>
      </c>
      <c r="D682" s="1">
        <v>45051</v>
      </c>
      <c r="E682" s="2">
        <v>3111.12</v>
      </c>
      <c r="F682" t="s">
        <v>16</v>
      </c>
      <c r="G682" t="s">
        <v>17</v>
      </c>
      <c r="I682" t="s">
        <v>13</v>
      </c>
      <c r="J682" t="str">
        <f>IF(ISBLANK(Table2[[#This Row],[ReceivedDate]]),"Unpaid",IF(Table2[[#This Row],[ReceivedDate]]&gt;Table2[[#This Row],[DueDate]],"Late",IF(Table2[[#This Row],[ReceivedDate]]&lt;Table2[[#This Row],[DueDate]],"Early","On Time")))</f>
        <v>Unpaid</v>
      </c>
    </row>
    <row r="683" spans="1:10" x14ac:dyDescent="0.3">
      <c r="A683" t="s">
        <v>704</v>
      </c>
      <c r="B683" t="s">
        <v>15</v>
      </c>
      <c r="C683" s="1">
        <v>45824</v>
      </c>
      <c r="D683" s="1">
        <v>45869</v>
      </c>
      <c r="E683" s="2">
        <v>4171.1000000000004</v>
      </c>
      <c r="F683" t="s">
        <v>26</v>
      </c>
      <c r="G683" t="s">
        <v>12</v>
      </c>
      <c r="I683" t="s">
        <v>13</v>
      </c>
      <c r="J683" t="str">
        <f>IF(ISBLANK(Table2[[#This Row],[ReceivedDate]]),"Unpaid",IF(Table2[[#This Row],[ReceivedDate]]&gt;Table2[[#This Row],[DueDate]],"Late",IF(Table2[[#This Row],[ReceivedDate]]&lt;Table2[[#This Row],[DueDate]],"Early","On Time")))</f>
        <v>Unpaid</v>
      </c>
    </row>
    <row r="684" spans="1:10" x14ac:dyDescent="0.3">
      <c r="A684" t="s">
        <v>705</v>
      </c>
      <c r="B684" t="s">
        <v>15</v>
      </c>
      <c r="C684" s="1">
        <v>45796</v>
      </c>
      <c r="D684" s="1">
        <v>45841</v>
      </c>
      <c r="E684" s="2">
        <v>3794.84</v>
      </c>
      <c r="F684" t="s">
        <v>19</v>
      </c>
      <c r="G684" t="s">
        <v>21</v>
      </c>
      <c r="H684" s="1">
        <v>45841</v>
      </c>
      <c r="I684" t="s">
        <v>13</v>
      </c>
      <c r="J684" t="str">
        <f>IF(ISBLANK(Table2[[#This Row],[ReceivedDate]]),"Unpaid",IF(Table2[[#This Row],[ReceivedDate]]&gt;Table2[[#This Row],[DueDate]],"Late",IF(Table2[[#This Row],[ReceivedDate]]&lt;Table2[[#This Row],[DueDate]],"Early","On Time")))</f>
        <v>On Time</v>
      </c>
    </row>
    <row r="685" spans="1:10" x14ac:dyDescent="0.3">
      <c r="A685" t="s">
        <v>706</v>
      </c>
      <c r="B685" t="s">
        <v>10</v>
      </c>
      <c r="C685" s="1">
        <v>45076</v>
      </c>
      <c r="D685" s="1">
        <v>45121</v>
      </c>
      <c r="E685" s="2">
        <v>778.03</v>
      </c>
      <c r="F685" t="s">
        <v>28</v>
      </c>
      <c r="G685" t="s">
        <v>21</v>
      </c>
      <c r="H685" s="1">
        <v>45121</v>
      </c>
      <c r="I685" t="s">
        <v>13</v>
      </c>
      <c r="J685" t="str">
        <f>IF(ISBLANK(Table2[[#This Row],[ReceivedDate]]),"Unpaid",IF(Table2[[#This Row],[ReceivedDate]]&gt;Table2[[#This Row],[DueDate]],"Late",IF(Table2[[#This Row],[ReceivedDate]]&lt;Table2[[#This Row],[DueDate]],"Early","On Time")))</f>
        <v>On Time</v>
      </c>
    </row>
    <row r="686" spans="1:10" x14ac:dyDescent="0.3">
      <c r="A686" t="s">
        <v>707</v>
      </c>
      <c r="B686" t="s">
        <v>10</v>
      </c>
      <c r="C686" s="1">
        <v>45203</v>
      </c>
      <c r="D686" s="1">
        <v>45248</v>
      </c>
      <c r="E686" s="2">
        <v>6025.55</v>
      </c>
      <c r="F686" t="s">
        <v>11</v>
      </c>
      <c r="G686" t="s">
        <v>12</v>
      </c>
      <c r="I686" t="s">
        <v>13</v>
      </c>
      <c r="J686" t="str">
        <f>IF(ISBLANK(Table2[[#This Row],[ReceivedDate]]),"Unpaid",IF(Table2[[#This Row],[ReceivedDate]]&gt;Table2[[#This Row],[DueDate]],"Late",IF(Table2[[#This Row],[ReceivedDate]]&lt;Table2[[#This Row],[DueDate]],"Early","On Time")))</f>
        <v>Unpaid</v>
      </c>
    </row>
    <row r="687" spans="1:10" x14ac:dyDescent="0.3">
      <c r="A687" t="s">
        <v>708</v>
      </c>
      <c r="B687" t="s">
        <v>23</v>
      </c>
      <c r="C687" s="1">
        <v>45346</v>
      </c>
      <c r="D687" s="1">
        <v>45391</v>
      </c>
      <c r="E687" s="2">
        <v>4483.34</v>
      </c>
      <c r="F687" t="s">
        <v>28</v>
      </c>
      <c r="G687" t="s">
        <v>12</v>
      </c>
      <c r="I687" t="s">
        <v>13</v>
      </c>
      <c r="J687" t="str">
        <f>IF(ISBLANK(Table2[[#This Row],[ReceivedDate]]),"Unpaid",IF(Table2[[#This Row],[ReceivedDate]]&gt;Table2[[#This Row],[DueDate]],"Late",IF(Table2[[#This Row],[ReceivedDate]]&lt;Table2[[#This Row],[DueDate]],"Early","On Time")))</f>
        <v>Unpaid</v>
      </c>
    </row>
    <row r="688" spans="1:10" x14ac:dyDescent="0.3">
      <c r="A688" t="s">
        <v>709</v>
      </c>
      <c r="B688" t="s">
        <v>25</v>
      </c>
      <c r="C688" s="1">
        <v>45796</v>
      </c>
      <c r="D688" s="1">
        <v>45841</v>
      </c>
      <c r="E688" s="2">
        <v>1864.5</v>
      </c>
      <c r="F688" t="s">
        <v>19</v>
      </c>
      <c r="G688" t="s">
        <v>17</v>
      </c>
      <c r="I688" t="s">
        <v>13</v>
      </c>
      <c r="J688" t="str">
        <f>IF(ISBLANK(Table2[[#This Row],[ReceivedDate]]),"Unpaid",IF(Table2[[#This Row],[ReceivedDate]]&gt;Table2[[#This Row],[DueDate]],"Late",IF(Table2[[#This Row],[ReceivedDate]]&lt;Table2[[#This Row],[DueDate]],"Early","On Time")))</f>
        <v>Unpaid</v>
      </c>
    </row>
    <row r="689" spans="1:10" x14ac:dyDescent="0.3">
      <c r="A689" t="s">
        <v>710</v>
      </c>
      <c r="B689" t="s">
        <v>25</v>
      </c>
      <c r="C689" s="1">
        <v>45235</v>
      </c>
      <c r="D689" s="1">
        <v>45280</v>
      </c>
      <c r="E689" s="2">
        <v>3805.4</v>
      </c>
      <c r="F689" t="s">
        <v>26</v>
      </c>
      <c r="G689" t="s">
        <v>17</v>
      </c>
      <c r="I689" t="s">
        <v>13</v>
      </c>
      <c r="J689" t="str">
        <f>IF(ISBLANK(Table2[[#This Row],[ReceivedDate]]),"Unpaid",IF(Table2[[#This Row],[ReceivedDate]]&gt;Table2[[#This Row],[DueDate]],"Late",IF(Table2[[#This Row],[ReceivedDate]]&lt;Table2[[#This Row],[DueDate]],"Early","On Time")))</f>
        <v>Unpaid</v>
      </c>
    </row>
    <row r="690" spans="1:10" x14ac:dyDescent="0.3">
      <c r="A690" t="s">
        <v>711</v>
      </c>
      <c r="B690" t="s">
        <v>25</v>
      </c>
      <c r="C690" s="1">
        <v>45091</v>
      </c>
      <c r="D690" s="1">
        <v>45136</v>
      </c>
      <c r="E690" s="2">
        <v>3548.95</v>
      </c>
      <c r="F690" t="s">
        <v>19</v>
      </c>
      <c r="G690" t="s">
        <v>17</v>
      </c>
      <c r="I690" t="s">
        <v>13</v>
      </c>
      <c r="J690" t="str">
        <f>IF(ISBLANK(Table2[[#This Row],[ReceivedDate]]),"Unpaid",IF(Table2[[#This Row],[ReceivedDate]]&gt;Table2[[#This Row],[DueDate]],"Late",IF(Table2[[#This Row],[ReceivedDate]]&lt;Table2[[#This Row],[DueDate]],"Early","On Time")))</f>
        <v>Unpaid</v>
      </c>
    </row>
    <row r="691" spans="1:10" x14ac:dyDescent="0.3">
      <c r="A691" t="s">
        <v>712</v>
      </c>
      <c r="B691" t="s">
        <v>10</v>
      </c>
      <c r="C691" s="1">
        <v>45621</v>
      </c>
      <c r="D691" s="1">
        <v>45666</v>
      </c>
      <c r="E691" s="2">
        <v>283.44</v>
      </c>
      <c r="F691" t="s">
        <v>19</v>
      </c>
      <c r="G691" t="s">
        <v>17</v>
      </c>
      <c r="I691" t="s">
        <v>13</v>
      </c>
      <c r="J691" t="str">
        <f>IF(ISBLANK(Table2[[#This Row],[ReceivedDate]]),"Unpaid",IF(Table2[[#This Row],[ReceivedDate]]&gt;Table2[[#This Row],[DueDate]],"Late",IF(Table2[[#This Row],[ReceivedDate]]&lt;Table2[[#This Row],[DueDate]],"Early","On Time")))</f>
        <v>Unpaid</v>
      </c>
    </row>
    <row r="692" spans="1:10" x14ac:dyDescent="0.3">
      <c r="A692" t="s">
        <v>713</v>
      </c>
      <c r="B692" t="s">
        <v>30</v>
      </c>
      <c r="C692" s="1">
        <v>45075</v>
      </c>
      <c r="D692" s="1">
        <v>45120</v>
      </c>
      <c r="E692" s="2">
        <v>3193.11</v>
      </c>
      <c r="F692" t="s">
        <v>19</v>
      </c>
      <c r="G692" t="s">
        <v>17</v>
      </c>
      <c r="I692" t="s">
        <v>13</v>
      </c>
      <c r="J692" t="str">
        <f>IF(ISBLANK(Table2[[#This Row],[ReceivedDate]]),"Unpaid",IF(Table2[[#This Row],[ReceivedDate]]&gt;Table2[[#This Row],[DueDate]],"Late",IF(Table2[[#This Row],[ReceivedDate]]&lt;Table2[[#This Row],[DueDate]],"Early","On Time")))</f>
        <v>Unpaid</v>
      </c>
    </row>
    <row r="693" spans="1:10" x14ac:dyDescent="0.3">
      <c r="A693" t="s">
        <v>714</v>
      </c>
      <c r="B693" t="s">
        <v>15</v>
      </c>
      <c r="C693" s="1">
        <v>44946</v>
      </c>
      <c r="D693" s="1">
        <v>44991</v>
      </c>
      <c r="E693" s="2">
        <v>2760.66</v>
      </c>
      <c r="F693" t="s">
        <v>28</v>
      </c>
      <c r="G693" t="s">
        <v>12</v>
      </c>
      <c r="I693" t="s">
        <v>13</v>
      </c>
      <c r="J693" t="str">
        <f>IF(ISBLANK(Table2[[#This Row],[ReceivedDate]]),"Unpaid",IF(Table2[[#This Row],[ReceivedDate]]&gt;Table2[[#This Row],[DueDate]],"Late",IF(Table2[[#This Row],[ReceivedDate]]&lt;Table2[[#This Row],[DueDate]],"Early","On Time")))</f>
        <v>Unpaid</v>
      </c>
    </row>
    <row r="694" spans="1:10" x14ac:dyDescent="0.3">
      <c r="A694" t="s">
        <v>715</v>
      </c>
      <c r="B694" t="s">
        <v>30</v>
      </c>
      <c r="C694" s="1">
        <v>45450</v>
      </c>
      <c r="D694" s="1">
        <v>45495</v>
      </c>
      <c r="E694" s="2">
        <v>5320.56</v>
      </c>
      <c r="F694" t="s">
        <v>28</v>
      </c>
      <c r="G694" t="s">
        <v>21</v>
      </c>
      <c r="H694" s="1">
        <v>45495</v>
      </c>
      <c r="I694" t="s">
        <v>13</v>
      </c>
      <c r="J694" t="str">
        <f>IF(ISBLANK(Table2[[#This Row],[ReceivedDate]]),"Unpaid",IF(Table2[[#This Row],[ReceivedDate]]&gt;Table2[[#This Row],[DueDate]],"Late",IF(Table2[[#This Row],[ReceivedDate]]&lt;Table2[[#This Row],[DueDate]],"Early","On Time")))</f>
        <v>On Time</v>
      </c>
    </row>
    <row r="695" spans="1:10" x14ac:dyDescent="0.3">
      <c r="A695" t="s">
        <v>716</v>
      </c>
      <c r="B695" t="s">
        <v>23</v>
      </c>
      <c r="C695" s="1">
        <v>44947</v>
      </c>
      <c r="D695" s="1">
        <v>44992</v>
      </c>
      <c r="E695" s="2">
        <v>4442.5200000000004</v>
      </c>
      <c r="F695" t="s">
        <v>19</v>
      </c>
      <c r="G695" t="s">
        <v>12</v>
      </c>
      <c r="I695" t="s">
        <v>13</v>
      </c>
      <c r="J695" t="str">
        <f>IF(ISBLANK(Table2[[#This Row],[ReceivedDate]]),"Unpaid",IF(Table2[[#This Row],[ReceivedDate]]&gt;Table2[[#This Row],[DueDate]],"Late",IF(Table2[[#This Row],[ReceivedDate]]&lt;Table2[[#This Row],[DueDate]],"Early","On Time")))</f>
        <v>Unpaid</v>
      </c>
    </row>
    <row r="696" spans="1:10" x14ac:dyDescent="0.3">
      <c r="A696" t="s">
        <v>717</v>
      </c>
      <c r="B696" t="s">
        <v>25</v>
      </c>
      <c r="C696" s="1">
        <v>45200</v>
      </c>
      <c r="D696" s="1">
        <v>45245</v>
      </c>
      <c r="E696" s="2">
        <v>6614.86</v>
      </c>
      <c r="F696" t="s">
        <v>16</v>
      </c>
      <c r="G696" t="s">
        <v>12</v>
      </c>
      <c r="I696" t="s">
        <v>13</v>
      </c>
      <c r="J696" t="str">
        <f>IF(ISBLANK(Table2[[#This Row],[ReceivedDate]]),"Unpaid",IF(Table2[[#This Row],[ReceivedDate]]&gt;Table2[[#This Row],[DueDate]],"Late",IF(Table2[[#This Row],[ReceivedDate]]&lt;Table2[[#This Row],[DueDate]],"Early","On Time")))</f>
        <v>Unpaid</v>
      </c>
    </row>
    <row r="697" spans="1:10" x14ac:dyDescent="0.3">
      <c r="A697" t="s">
        <v>718</v>
      </c>
      <c r="B697" t="s">
        <v>25</v>
      </c>
      <c r="C697" s="1">
        <v>45607</v>
      </c>
      <c r="D697" s="1">
        <v>45652</v>
      </c>
      <c r="E697" s="2">
        <v>2556.04</v>
      </c>
      <c r="F697" t="s">
        <v>11</v>
      </c>
      <c r="G697" t="s">
        <v>12</v>
      </c>
      <c r="I697" t="s">
        <v>13</v>
      </c>
      <c r="J697" t="str">
        <f>IF(ISBLANK(Table2[[#This Row],[ReceivedDate]]),"Unpaid",IF(Table2[[#This Row],[ReceivedDate]]&gt;Table2[[#This Row],[DueDate]],"Late",IF(Table2[[#This Row],[ReceivedDate]]&lt;Table2[[#This Row],[DueDate]],"Early","On Time")))</f>
        <v>Unpaid</v>
      </c>
    </row>
    <row r="698" spans="1:10" x14ac:dyDescent="0.3">
      <c r="A698" t="s">
        <v>719</v>
      </c>
      <c r="B698" t="s">
        <v>10</v>
      </c>
      <c r="C698" s="1">
        <v>45523</v>
      </c>
      <c r="D698" s="1">
        <v>45568</v>
      </c>
      <c r="E698" s="2">
        <v>2111.52</v>
      </c>
      <c r="F698" t="s">
        <v>28</v>
      </c>
      <c r="G698" t="s">
        <v>17</v>
      </c>
      <c r="I698" t="s">
        <v>13</v>
      </c>
      <c r="J698" t="str">
        <f>IF(ISBLANK(Table2[[#This Row],[ReceivedDate]]),"Unpaid",IF(Table2[[#This Row],[ReceivedDate]]&gt;Table2[[#This Row],[DueDate]],"Late",IF(Table2[[#This Row],[ReceivedDate]]&lt;Table2[[#This Row],[DueDate]],"Early","On Time")))</f>
        <v>Unpaid</v>
      </c>
    </row>
    <row r="699" spans="1:10" x14ac:dyDescent="0.3">
      <c r="A699" t="s">
        <v>720</v>
      </c>
      <c r="B699" t="s">
        <v>23</v>
      </c>
      <c r="C699" s="1">
        <v>45372</v>
      </c>
      <c r="D699" s="1">
        <v>45417</v>
      </c>
      <c r="E699" s="2">
        <v>982.36</v>
      </c>
      <c r="F699" t="s">
        <v>16</v>
      </c>
      <c r="G699" t="s">
        <v>12</v>
      </c>
      <c r="I699" t="s">
        <v>13</v>
      </c>
      <c r="J699" t="str">
        <f>IF(ISBLANK(Table2[[#This Row],[ReceivedDate]]),"Unpaid",IF(Table2[[#This Row],[ReceivedDate]]&gt;Table2[[#This Row],[DueDate]],"Late",IF(Table2[[#This Row],[ReceivedDate]]&lt;Table2[[#This Row],[DueDate]],"Early","On Time")))</f>
        <v>Unpaid</v>
      </c>
    </row>
    <row r="700" spans="1:10" x14ac:dyDescent="0.3">
      <c r="A700" t="s">
        <v>721</v>
      </c>
      <c r="B700" t="s">
        <v>25</v>
      </c>
      <c r="C700" s="1">
        <v>45362</v>
      </c>
      <c r="D700" s="1">
        <v>45407</v>
      </c>
      <c r="E700" s="2">
        <v>5662.81</v>
      </c>
      <c r="F700" t="s">
        <v>16</v>
      </c>
      <c r="G700" t="s">
        <v>12</v>
      </c>
      <c r="I700" t="s">
        <v>13</v>
      </c>
      <c r="J700" t="str">
        <f>IF(ISBLANK(Table2[[#This Row],[ReceivedDate]]),"Unpaid",IF(Table2[[#This Row],[ReceivedDate]]&gt;Table2[[#This Row],[DueDate]],"Late",IF(Table2[[#This Row],[ReceivedDate]]&lt;Table2[[#This Row],[DueDate]],"Early","On Time")))</f>
        <v>Unpaid</v>
      </c>
    </row>
    <row r="701" spans="1:10" x14ac:dyDescent="0.3">
      <c r="A701" t="s">
        <v>722</v>
      </c>
      <c r="B701" t="s">
        <v>10</v>
      </c>
      <c r="C701" s="1">
        <v>45441</v>
      </c>
      <c r="D701" s="1">
        <v>45486</v>
      </c>
      <c r="E701" s="2">
        <v>5466.25</v>
      </c>
      <c r="F701" t="s">
        <v>16</v>
      </c>
      <c r="G701" t="s">
        <v>12</v>
      </c>
      <c r="I701" t="s">
        <v>13</v>
      </c>
      <c r="J701" t="str">
        <f>IF(ISBLANK(Table2[[#This Row],[ReceivedDate]]),"Unpaid",IF(Table2[[#This Row],[ReceivedDate]]&gt;Table2[[#This Row],[DueDate]],"Late",IF(Table2[[#This Row],[ReceivedDate]]&lt;Table2[[#This Row],[DueDate]],"Early","On Time")))</f>
        <v>Unpaid</v>
      </c>
    </row>
    <row r="702" spans="1:10" x14ac:dyDescent="0.3">
      <c r="A702" t="s">
        <v>723</v>
      </c>
      <c r="B702" t="s">
        <v>10</v>
      </c>
      <c r="C702" s="1">
        <v>45354</v>
      </c>
      <c r="D702" s="1">
        <v>45399</v>
      </c>
      <c r="E702" s="2">
        <v>5790.42</v>
      </c>
      <c r="F702" t="s">
        <v>16</v>
      </c>
      <c r="G702" t="s">
        <v>12</v>
      </c>
      <c r="I702" t="s">
        <v>13</v>
      </c>
      <c r="J702" t="str">
        <f>IF(ISBLANK(Table2[[#This Row],[ReceivedDate]]),"Unpaid",IF(Table2[[#This Row],[ReceivedDate]]&gt;Table2[[#This Row],[DueDate]],"Late",IF(Table2[[#This Row],[ReceivedDate]]&lt;Table2[[#This Row],[DueDate]],"Early","On Time")))</f>
        <v>Unpaid</v>
      </c>
    </row>
    <row r="703" spans="1:10" x14ac:dyDescent="0.3">
      <c r="A703" t="s">
        <v>724</v>
      </c>
      <c r="B703" t="s">
        <v>23</v>
      </c>
      <c r="C703" s="1">
        <v>45268</v>
      </c>
      <c r="D703" s="1">
        <v>45313</v>
      </c>
      <c r="E703" s="2">
        <v>5414.66</v>
      </c>
      <c r="F703" t="s">
        <v>16</v>
      </c>
      <c r="G703" t="s">
        <v>21</v>
      </c>
      <c r="H703" s="1">
        <v>45313</v>
      </c>
      <c r="I703" t="s">
        <v>13</v>
      </c>
      <c r="J703" t="str">
        <f>IF(ISBLANK(Table2[[#This Row],[ReceivedDate]]),"Unpaid",IF(Table2[[#This Row],[ReceivedDate]]&gt;Table2[[#This Row],[DueDate]],"Late",IF(Table2[[#This Row],[ReceivedDate]]&lt;Table2[[#This Row],[DueDate]],"Early","On Time")))</f>
        <v>On Time</v>
      </c>
    </row>
    <row r="704" spans="1:10" x14ac:dyDescent="0.3">
      <c r="A704" t="s">
        <v>725</v>
      </c>
      <c r="B704" t="s">
        <v>30</v>
      </c>
      <c r="C704" s="1">
        <v>45179</v>
      </c>
      <c r="D704" s="1">
        <v>45224</v>
      </c>
      <c r="E704" s="2">
        <v>3252.33</v>
      </c>
      <c r="F704" t="s">
        <v>19</v>
      </c>
      <c r="G704" t="s">
        <v>17</v>
      </c>
      <c r="I704" t="s">
        <v>13</v>
      </c>
      <c r="J704" t="str">
        <f>IF(ISBLANK(Table2[[#This Row],[ReceivedDate]]),"Unpaid",IF(Table2[[#This Row],[ReceivedDate]]&gt;Table2[[#This Row],[DueDate]],"Late",IF(Table2[[#This Row],[ReceivedDate]]&lt;Table2[[#This Row],[DueDate]],"Early","On Time")))</f>
        <v>Unpaid</v>
      </c>
    </row>
    <row r="705" spans="1:10" x14ac:dyDescent="0.3">
      <c r="A705" t="s">
        <v>726</v>
      </c>
      <c r="B705" t="s">
        <v>25</v>
      </c>
      <c r="C705" s="1">
        <v>45318</v>
      </c>
      <c r="D705" s="1">
        <v>45363</v>
      </c>
      <c r="E705" s="2">
        <v>4304.96</v>
      </c>
      <c r="F705" t="s">
        <v>11</v>
      </c>
      <c r="G705" t="s">
        <v>21</v>
      </c>
      <c r="H705" s="1">
        <v>45363</v>
      </c>
      <c r="I705" t="s">
        <v>13</v>
      </c>
      <c r="J705" t="str">
        <f>IF(ISBLANK(Table2[[#This Row],[ReceivedDate]]),"Unpaid",IF(Table2[[#This Row],[ReceivedDate]]&gt;Table2[[#This Row],[DueDate]],"Late",IF(Table2[[#This Row],[ReceivedDate]]&lt;Table2[[#This Row],[DueDate]],"Early","On Time")))</f>
        <v>On Time</v>
      </c>
    </row>
    <row r="706" spans="1:10" x14ac:dyDescent="0.3">
      <c r="A706" t="s">
        <v>727</v>
      </c>
      <c r="B706" t="s">
        <v>25</v>
      </c>
      <c r="C706" s="1">
        <v>45817</v>
      </c>
      <c r="D706" s="1">
        <v>45862</v>
      </c>
      <c r="E706" s="2">
        <v>1447.17</v>
      </c>
      <c r="F706" t="s">
        <v>26</v>
      </c>
      <c r="G706" t="s">
        <v>12</v>
      </c>
      <c r="I706" t="s">
        <v>13</v>
      </c>
      <c r="J706" t="str">
        <f>IF(ISBLANK(Table2[[#This Row],[ReceivedDate]]),"Unpaid",IF(Table2[[#This Row],[ReceivedDate]]&gt;Table2[[#This Row],[DueDate]],"Late",IF(Table2[[#This Row],[ReceivedDate]]&lt;Table2[[#This Row],[DueDate]],"Early","On Time")))</f>
        <v>Unpaid</v>
      </c>
    </row>
    <row r="707" spans="1:10" x14ac:dyDescent="0.3">
      <c r="A707" t="s">
        <v>728</v>
      </c>
      <c r="B707" t="s">
        <v>10</v>
      </c>
      <c r="C707" s="1">
        <v>45509</v>
      </c>
      <c r="D707" s="1">
        <v>45554</v>
      </c>
      <c r="E707" s="2">
        <v>7506.22</v>
      </c>
      <c r="F707" t="s">
        <v>28</v>
      </c>
      <c r="G707" t="s">
        <v>17</v>
      </c>
      <c r="I707" t="s">
        <v>13</v>
      </c>
      <c r="J707" t="str">
        <f>IF(ISBLANK(Table2[[#This Row],[ReceivedDate]]),"Unpaid",IF(Table2[[#This Row],[ReceivedDate]]&gt;Table2[[#This Row],[DueDate]],"Late",IF(Table2[[#This Row],[ReceivedDate]]&lt;Table2[[#This Row],[DueDate]],"Early","On Time")))</f>
        <v>Unpaid</v>
      </c>
    </row>
    <row r="708" spans="1:10" x14ac:dyDescent="0.3">
      <c r="A708" t="s">
        <v>729</v>
      </c>
      <c r="B708" t="s">
        <v>25</v>
      </c>
      <c r="C708" s="1">
        <v>45761</v>
      </c>
      <c r="D708" s="1">
        <v>45806</v>
      </c>
      <c r="E708" s="2">
        <v>7912.6</v>
      </c>
      <c r="F708" t="s">
        <v>11</v>
      </c>
      <c r="G708" t="s">
        <v>12</v>
      </c>
      <c r="I708" t="s">
        <v>13</v>
      </c>
      <c r="J708" t="str">
        <f>IF(ISBLANK(Table2[[#This Row],[ReceivedDate]]),"Unpaid",IF(Table2[[#This Row],[ReceivedDate]]&gt;Table2[[#This Row],[DueDate]],"Late",IF(Table2[[#This Row],[ReceivedDate]]&lt;Table2[[#This Row],[DueDate]],"Early","On Time")))</f>
        <v>Unpaid</v>
      </c>
    </row>
    <row r="709" spans="1:10" x14ac:dyDescent="0.3">
      <c r="A709" t="s">
        <v>730</v>
      </c>
      <c r="B709" t="s">
        <v>25</v>
      </c>
      <c r="C709" s="1">
        <v>45146</v>
      </c>
      <c r="D709" s="1">
        <v>45191</v>
      </c>
      <c r="E709" s="2">
        <v>4014.31</v>
      </c>
      <c r="F709" t="s">
        <v>26</v>
      </c>
      <c r="G709" t="s">
        <v>21</v>
      </c>
      <c r="H709" s="1">
        <v>45191</v>
      </c>
      <c r="I709" t="s">
        <v>13</v>
      </c>
      <c r="J709" t="str">
        <f>IF(ISBLANK(Table2[[#This Row],[ReceivedDate]]),"Unpaid",IF(Table2[[#This Row],[ReceivedDate]]&gt;Table2[[#This Row],[DueDate]],"Late",IF(Table2[[#This Row],[ReceivedDate]]&lt;Table2[[#This Row],[DueDate]],"Early","On Time")))</f>
        <v>On Time</v>
      </c>
    </row>
    <row r="710" spans="1:10" x14ac:dyDescent="0.3">
      <c r="A710" t="s">
        <v>731</v>
      </c>
      <c r="B710" t="s">
        <v>30</v>
      </c>
      <c r="C710" s="1">
        <v>44982</v>
      </c>
      <c r="D710" s="1">
        <v>45027</v>
      </c>
      <c r="E710" s="2">
        <v>6682.82</v>
      </c>
      <c r="F710" t="s">
        <v>16</v>
      </c>
      <c r="G710" t="s">
        <v>17</v>
      </c>
      <c r="I710" t="s">
        <v>13</v>
      </c>
      <c r="J710" t="str">
        <f>IF(ISBLANK(Table2[[#This Row],[ReceivedDate]]),"Unpaid",IF(Table2[[#This Row],[ReceivedDate]]&gt;Table2[[#This Row],[DueDate]],"Late",IF(Table2[[#This Row],[ReceivedDate]]&lt;Table2[[#This Row],[DueDate]],"Early","On Time")))</f>
        <v>Unpaid</v>
      </c>
    </row>
    <row r="711" spans="1:10" x14ac:dyDescent="0.3">
      <c r="A711" t="s">
        <v>732</v>
      </c>
      <c r="B711" t="s">
        <v>30</v>
      </c>
      <c r="C711" s="1">
        <v>45594</v>
      </c>
      <c r="D711" s="1">
        <v>45639</v>
      </c>
      <c r="E711" s="2">
        <v>4718.18</v>
      </c>
      <c r="F711" t="s">
        <v>19</v>
      </c>
      <c r="G711" t="s">
        <v>12</v>
      </c>
      <c r="I711" t="s">
        <v>13</v>
      </c>
      <c r="J711" t="str">
        <f>IF(ISBLANK(Table2[[#This Row],[ReceivedDate]]),"Unpaid",IF(Table2[[#This Row],[ReceivedDate]]&gt;Table2[[#This Row],[DueDate]],"Late",IF(Table2[[#This Row],[ReceivedDate]]&lt;Table2[[#This Row],[DueDate]],"Early","On Time")))</f>
        <v>Unpaid</v>
      </c>
    </row>
    <row r="712" spans="1:10" x14ac:dyDescent="0.3">
      <c r="A712" t="s">
        <v>733</v>
      </c>
      <c r="B712" t="s">
        <v>10</v>
      </c>
      <c r="C712" s="1">
        <v>45753</v>
      </c>
      <c r="D712" s="1">
        <v>45798</v>
      </c>
      <c r="E712" s="2">
        <v>5413.68</v>
      </c>
      <c r="F712" t="s">
        <v>19</v>
      </c>
      <c r="G712" t="s">
        <v>12</v>
      </c>
      <c r="I712" t="s">
        <v>13</v>
      </c>
      <c r="J712" t="str">
        <f>IF(ISBLANK(Table2[[#This Row],[ReceivedDate]]),"Unpaid",IF(Table2[[#This Row],[ReceivedDate]]&gt;Table2[[#This Row],[DueDate]],"Late",IF(Table2[[#This Row],[ReceivedDate]]&lt;Table2[[#This Row],[DueDate]],"Early","On Time")))</f>
        <v>Unpaid</v>
      </c>
    </row>
    <row r="713" spans="1:10" x14ac:dyDescent="0.3">
      <c r="A713" t="s">
        <v>734</v>
      </c>
      <c r="B713" t="s">
        <v>25</v>
      </c>
      <c r="C713" s="1">
        <v>45736</v>
      </c>
      <c r="D713" s="1">
        <v>45781</v>
      </c>
      <c r="E713" s="2">
        <v>5711.55</v>
      </c>
      <c r="F713" t="s">
        <v>19</v>
      </c>
      <c r="G713" t="s">
        <v>21</v>
      </c>
      <c r="H713" s="1">
        <v>45781</v>
      </c>
      <c r="I713" t="s">
        <v>13</v>
      </c>
      <c r="J713" t="str">
        <f>IF(ISBLANK(Table2[[#This Row],[ReceivedDate]]),"Unpaid",IF(Table2[[#This Row],[ReceivedDate]]&gt;Table2[[#This Row],[DueDate]],"Late",IF(Table2[[#This Row],[ReceivedDate]]&lt;Table2[[#This Row],[DueDate]],"Early","On Time")))</f>
        <v>On Time</v>
      </c>
    </row>
    <row r="714" spans="1:10" x14ac:dyDescent="0.3">
      <c r="A714" t="s">
        <v>735</v>
      </c>
      <c r="B714" t="s">
        <v>15</v>
      </c>
      <c r="C714" s="1">
        <v>45767</v>
      </c>
      <c r="D714" s="1">
        <v>45812</v>
      </c>
      <c r="E714" s="2">
        <v>1016.83</v>
      </c>
      <c r="F714" t="s">
        <v>28</v>
      </c>
      <c r="G714" t="s">
        <v>17</v>
      </c>
      <c r="I714" t="s">
        <v>13</v>
      </c>
      <c r="J714" t="str">
        <f>IF(ISBLANK(Table2[[#This Row],[ReceivedDate]]),"Unpaid",IF(Table2[[#This Row],[ReceivedDate]]&gt;Table2[[#This Row],[DueDate]],"Late",IF(Table2[[#This Row],[ReceivedDate]]&lt;Table2[[#This Row],[DueDate]],"Early","On Time")))</f>
        <v>Unpaid</v>
      </c>
    </row>
    <row r="715" spans="1:10" x14ac:dyDescent="0.3">
      <c r="A715" t="s">
        <v>736</v>
      </c>
      <c r="B715" t="s">
        <v>25</v>
      </c>
      <c r="C715" s="1">
        <v>45067</v>
      </c>
      <c r="D715" s="1">
        <v>45112</v>
      </c>
      <c r="E715" s="2">
        <v>4967.9399999999996</v>
      </c>
      <c r="F715" t="s">
        <v>16</v>
      </c>
      <c r="G715" t="s">
        <v>12</v>
      </c>
      <c r="I715" t="s">
        <v>13</v>
      </c>
      <c r="J715" t="str">
        <f>IF(ISBLANK(Table2[[#This Row],[ReceivedDate]]),"Unpaid",IF(Table2[[#This Row],[ReceivedDate]]&gt;Table2[[#This Row],[DueDate]],"Late",IF(Table2[[#This Row],[ReceivedDate]]&lt;Table2[[#This Row],[DueDate]],"Early","On Time")))</f>
        <v>Unpaid</v>
      </c>
    </row>
    <row r="716" spans="1:10" x14ac:dyDescent="0.3">
      <c r="A716" t="s">
        <v>737</v>
      </c>
      <c r="B716" t="s">
        <v>23</v>
      </c>
      <c r="C716" s="1">
        <v>44965</v>
      </c>
      <c r="D716" s="1">
        <v>45010</v>
      </c>
      <c r="E716" s="2">
        <v>1921.94</v>
      </c>
      <c r="F716" t="s">
        <v>26</v>
      </c>
      <c r="G716" t="s">
        <v>21</v>
      </c>
      <c r="H716" s="1">
        <v>45010</v>
      </c>
      <c r="I716" t="s">
        <v>13</v>
      </c>
      <c r="J716" t="str">
        <f>IF(ISBLANK(Table2[[#This Row],[ReceivedDate]]),"Unpaid",IF(Table2[[#This Row],[ReceivedDate]]&gt;Table2[[#This Row],[DueDate]],"Late",IF(Table2[[#This Row],[ReceivedDate]]&lt;Table2[[#This Row],[DueDate]],"Early","On Time")))</f>
        <v>On Time</v>
      </c>
    </row>
    <row r="717" spans="1:10" x14ac:dyDescent="0.3">
      <c r="A717" t="s">
        <v>738</v>
      </c>
      <c r="B717" t="s">
        <v>10</v>
      </c>
      <c r="C717" s="1">
        <v>45749</v>
      </c>
      <c r="D717" s="1">
        <v>45794</v>
      </c>
      <c r="E717" s="2">
        <v>2725.11</v>
      </c>
      <c r="F717" t="s">
        <v>26</v>
      </c>
      <c r="G717" t="s">
        <v>17</v>
      </c>
      <c r="I717" t="s">
        <v>13</v>
      </c>
      <c r="J717" t="str">
        <f>IF(ISBLANK(Table2[[#This Row],[ReceivedDate]]),"Unpaid",IF(Table2[[#This Row],[ReceivedDate]]&gt;Table2[[#This Row],[DueDate]],"Late",IF(Table2[[#This Row],[ReceivedDate]]&lt;Table2[[#This Row],[DueDate]],"Early","On Time")))</f>
        <v>Unpaid</v>
      </c>
    </row>
    <row r="718" spans="1:10" x14ac:dyDescent="0.3">
      <c r="A718" t="s">
        <v>739</v>
      </c>
      <c r="B718" t="s">
        <v>23</v>
      </c>
      <c r="C718" s="1">
        <v>45066</v>
      </c>
      <c r="D718" s="1">
        <v>45111</v>
      </c>
      <c r="E718" s="2">
        <v>7384.94</v>
      </c>
      <c r="F718" t="s">
        <v>28</v>
      </c>
      <c r="G718" t="s">
        <v>21</v>
      </c>
      <c r="H718" s="1">
        <v>45111</v>
      </c>
      <c r="I718" t="s">
        <v>13</v>
      </c>
      <c r="J718" t="str">
        <f>IF(ISBLANK(Table2[[#This Row],[ReceivedDate]]),"Unpaid",IF(Table2[[#This Row],[ReceivedDate]]&gt;Table2[[#This Row],[DueDate]],"Late",IF(Table2[[#This Row],[ReceivedDate]]&lt;Table2[[#This Row],[DueDate]],"Early","On Time")))</f>
        <v>On Time</v>
      </c>
    </row>
    <row r="719" spans="1:10" x14ac:dyDescent="0.3">
      <c r="A719" t="s">
        <v>740</v>
      </c>
      <c r="B719" t="s">
        <v>30</v>
      </c>
      <c r="C719" s="1">
        <v>45541</v>
      </c>
      <c r="D719" s="1">
        <v>45586</v>
      </c>
      <c r="E719" s="2">
        <v>379.48</v>
      </c>
      <c r="F719" t="s">
        <v>16</v>
      </c>
      <c r="G719" t="s">
        <v>12</v>
      </c>
      <c r="I719" t="s">
        <v>13</v>
      </c>
      <c r="J719" t="str">
        <f>IF(ISBLANK(Table2[[#This Row],[ReceivedDate]]),"Unpaid",IF(Table2[[#This Row],[ReceivedDate]]&gt;Table2[[#This Row],[DueDate]],"Late",IF(Table2[[#This Row],[ReceivedDate]]&lt;Table2[[#This Row],[DueDate]],"Early","On Time")))</f>
        <v>Unpaid</v>
      </c>
    </row>
    <row r="720" spans="1:10" x14ac:dyDescent="0.3">
      <c r="A720" t="s">
        <v>741</v>
      </c>
      <c r="B720" t="s">
        <v>30</v>
      </c>
      <c r="C720" s="1">
        <v>45393</v>
      </c>
      <c r="D720" s="1">
        <v>45438</v>
      </c>
      <c r="E720" s="2">
        <v>7372.24</v>
      </c>
      <c r="F720" t="s">
        <v>11</v>
      </c>
      <c r="G720" t="s">
        <v>17</v>
      </c>
      <c r="I720" t="s">
        <v>13</v>
      </c>
      <c r="J720" t="str">
        <f>IF(ISBLANK(Table2[[#This Row],[ReceivedDate]]),"Unpaid",IF(Table2[[#This Row],[ReceivedDate]]&gt;Table2[[#This Row],[DueDate]],"Late",IF(Table2[[#This Row],[ReceivedDate]]&lt;Table2[[#This Row],[DueDate]],"Early","On Time")))</f>
        <v>Unpaid</v>
      </c>
    </row>
    <row r="721" spans="1:10" x14ac:dyDescent="0.3">
      <c r="A721" t="s">
        <v>742</v>
      </c>
      <c r="B721" t="s">
        <v>30</v>
      </c>
      <c r="C721" s="1">
        <v>45024</v>
      </c>
      <c r="D721" s="1">
        <v>45069</v>
      </c>
      <c r="E721" s="2">
        <v>4620.79</v>
      </c>
      <c r="F721" t="s">
        <v>19</v>
      </c>
      <c r="G721" t="s">
        <v>21</v>
      </c>
      <c r="H721" s="1">
        <v>45069</v>
      </c>
      <c r="I721" t="s">
        <v>13</v>
      </c>
      <c r="J721" t="str">
        <f>IF(ISBLANK(Table2[[#This Row],[ReceivedDate]]),"Unpaid",IF(Table2[[#This Row],[ReceivedDate]]&gt;Table2[[#This Row],[DueDate]],"Late",IF(Table2[[#This Row],[ReceivedDate]]&lt;Table2[[#This Row],[DueDate]],"Early","On Time")))</f>
        <v>On Time</v>
      </c>
    </row>
    <row r="722" spans="1:10" x14ac:dyDescent="0.3">
      <c r="A722" t="s">
        <v>743</v>
      </c>
      <c r="B722" t="s">
        <v>25</v>
      </c>
      <c r="C722" s="1">
        <v>45062</v>
      </c>
      <c r="D722" s="1">
        <v>45107</v>
      </c>
      <c r="E722" s="2">
        <v>528.38</v>
      </c>
      <c r="F722" t="s">
        <v>11</v>
      </c>
      <c r="G722" t="s">
        <v>17</v>
      </c>
      <c r="I722" t="s">
        <v>13</v>
      </c>
      <c r="J722" t="str">
        <f>IF(ISBLANK(Table2[[#This Row],[ReceivedDate]]),"Unpaid",IF(Table2[[#This Row],[ReceivedDate]]&gt;Table2[[#This Row],[DueDate]],"Late",IF(Table2[[#This Row],[ReceivedDate]]&lt;Table2[[#This Row],[DueDate]],"Early","On Time")))</f>
        <v>Unpaid</v>
      </c>
    </row>
    <row r="723" spans="1:10" x14ac:dyDescent="0.3">
      <c r="A723" t="s">
        <v>744</v>
      </c>
      <c r="B723" t="s">
        <v>23</v>
      </c>
      <c r="C723" s="1">
        <v>45515</v>
      </c>
      <c r="D723" s="1">
        <v>45560</v>
      </c>
      <c r="E723" s="2">
        <v>6586.87</v>
      </c>
      <c r="F723" t="s">
        <v>19</v>
      </c>
      <c r="G723" t="s">
        <v>12</v>
      </c>
      <c r="I723" t="s">
        <v>13</v>
      </c>
      <c r="J723" t="str">
        <f>IF(ISBLANK(Table2[[#This Row],[ReceivedDate]]),"Unpaid",IF(Table2[[#This Row],[ReceivedDate]]&gt;Table2[[#This Row],[DueDate]],"Late",IF(Table2[[#This Row],[ReceivedDate]]&lt;Table2[[#This Row],[DueDate]],"Early","On Time")))</f>
        <v>Unpaid</v>
      </c>
    </row>
    <row r="724" spans="1:10" x14ac:dyDescent="0.3">
      <c r="A724" t="s">
        <v>745</v>
      </c>
      <c r="B724" t="s">
        <v>15</v>
      </c>
      <c r="C724" s="1">
        <v>45749</v>
      </c>
      <c r="D724" s="1">
        <v>45794</v>
      </c>
      <c r="E724" s="2">
        <v>1050.93</v>
      </c>
      <c r="F724" t="s">
        <v>16</v>
      </c>
      <c r="G724" t="s">
        <v>12</v>
      </c>
      <c r="I724" t="s">
        <v>13</v>
      </c>
      <c r="J724" t="str">
        <f>IF(ISBLANK(Table2[[#This Row],[ReceivedDate]]),"Unpaid",IF(Table2[[#This Row],[ReceivedDate]]&gt;Table2[[#This Row],[DueDate]],"Late",IF(Table2[[#This Row],[ReceivedDate]]&lt;Table2[[#This Row],[DueDate]],"Early","On Time")))</f>
        <v>Unpaid</v>
      </c>
    </row>
    <row r="725" spans="1:10" x14ac:dyDescent="0.3">
      <c r="A725" t="s">
        <v>746</v>
      </c>
      <c r="B725" t="s">
        <v>10</v>
      </c>
      <c r="C725" s="1">
        <v>45548</v>
      </c>
      <c r="D725" s="1">
        <v>45593</v>
      </c>
      <c r="E725" s="2">
        <v>3679.18</v>
      </c>
      <c r="F725" t="s">
        <v>26</v>
      </c>
      <c r="G725" t="s">
        <v>21</v>
      </c>
      <c r="H725" s="1">
        <v>45593</v>
      </c>
      <c r="I725" t="s">
        <v>13</v>
      </c>
      <c r="J725" t="str">
        <f>IF(ISBLANK(Table2[[#This Row],[ReceivedDate]]),"Unpaid",IF(Table2[[#This Row],[ReceivedDate]]&gt;Table2[[#This Row],[DueDate]],"Late",IF(Table2[[#This Row],[ReceivedDate]]&lt;Table2[[#This Row],[DueDate]],"Early","On Time")))</f>
        <v>On Time</v>
      </c>
    </row>
    <row r="726" spans="1:10" x14ac:dyDescent="0.3">
      <c r="A726" t="s">
        <v>747</v>
      </c>
      <c r="B726" t="s">
        <v>15</v>
      </c>
      <c r="C726" s="1">
        <v>45410</v>
      </c>
      <c r="D726" s="1">
        <v>45455</v>
      </c>
      <c r="E726" s="2">
        <v>7286.86</v>
      </c>
      <c r="F726" t="s">
        <v>11</v>
      </c>
      <c r="G726" t="s">
        <v>21</v>
      </c>
      <c r="H726" s="1">
        <v>45455</v>
      </c>
      <c r="I726" t="s">
        <v>13</v>
      </c>
      <c r="J726" t="str">
        <f>IF(ISBLANK(Table2[[#This Row],[ReceivedDate]]),"Unpaid",IF(Table2[[#This Row],[ReceivedDate]]&gt;Table2[[#This Row],[DueDate]],"Late",IF(Table2[[#This Row],[ReceivedDate]]&lt;Table2[[#This Row],[DueDate]],"Early","On Time")))</f>
        <v>On Time</v>
      </c>
    </row>
    <row r="727" spans="1:10" x14ac:dyDescent="0.3">
      <c r="A727" t="s">
        <v>748</v>
      </c>
      <c r="B727" t="s">
        <v>10</v>
      </c>
      <c r="C727" s="1">
        <v>45336</v>
      </c>
      <c r="D727" s="1">
        <v>45381</v>
      </c>
      <c r="E727" s="2">
        <v>2238.7600000000002</v>
      </c>
      <c r="F727" t="s">
        <v>28</v>
      </c>
      <c r="G727" t="s">
        <v>12</v>
      </c>
      <c r="I727" t="s">
        <v>13</v>
      </c>
      <c r="J727" t="str">
        <f>IF(ISBLANK(Table2[[#This Row],[ReceivedDate]]),"Unpaid",IF(Table2[[#This Row],[ReceivedDate]]&gt;Table2[[#This Row],[DueDate]],"Late",IF(Table2[[#This Row],[ReceivedDate]]&lt;Table2[[#This Row],[DueDate]],"Early","On Time")))</f>
        <v>Unpaid</v>
      </c>
    </row>
    <row r="728" spans="1:10" x14ac:dyDescent="0.3">
      <c r="A728" t="s">
        <v>749</v>
      </c>
      <c r="B728" t="s">
        <v>15</v>
      </c>
      <c r="C728" s="1">
        <v>45371</v>
      </c>
      <c r="D728" s="1">
        <v>45416</v>
      </c>
      <c r="E728" s="2">
        <v>6394.62</v>
      </c>
      <c r="F728" t="s">
        <v>28</v>
      </c>
      <c r="G728" t="s">
        <v>12</v>
      </c>
      <c r="I728" t="s">
        <v>13</v>
      </c>
      <c r="J728" t="str">
        <f>IF(ISBLANK(Table2[[#This Row],[ReceivedDate]]),"Unpaid",IF(Table2[[#This Row],[ReceivedDate]]&gt;Table2[[#This Row],[DueDate]],"Late",IF(Table2[[#This Row],[ReceivedDate]]&lt;Table2[[#This Row],[DueDate]],"Early","On Time")))</f>
        <v>Unpaid</v>
      </c>
    </row>
    <row r="729" spans="1:10" x14ac:dyDescent="0.3">
      <c r="A729" t="s">
        <v>750</v>
      </c>
      <c r="B729" t="s">
        <v>25</v>
      </c>
      <c r="C729" s="1">
        <v>45080</v>
      </c>
      <c r="D729" s="1">
        <v>45125</v>
      </c>
      <c r="E729" s="2">
        <v>7492.09</v>
      </c>
      <c r="F729" t="s">
        <v>26</v>
      </c>
      <c r="G729" t="s">
        <v>17</v>
      </c>
      <c r="I729" t="s">
        <v>13</v>
      </c>
      <c r="J729" t="str">
        <f>IF(ISBLANK(Table2[[#This Row],[ReceivedDate]]),"Unpaid",IF(Table2[[#This Row],[ReceivedDate]]&gt;Table2[[#This Row],[DueDate]],"Late",IF(Table2[[#This Row],[ReceivedDate]]&lt;Table2[[#This Row],[DueDate]],"Early","On Time")))</f>
        <v>Unpaid</v>
      </c>
    </row>
    <row r="730" spans="1:10" x14ac:dyDescent="0.3">
      <c r="A730" t="s">
        <v>751</v>
      </c>
      <c r="B730" t="s">
        <v>10</v>
      </c>
      <c r="C730" s="1">
        <v>45733</v>
      </c>
      <c r="D730" s="1">
        <v>45778</v>
      </c>
      <c r="E730" s="2">
        <v>4830.54</v>
      </c>
      <c r="F730" t="s">
        <v>16</v>
      </c>
      <c r="G730" t="s">
        <v>12</v>
      </c>
      <c r="I730" t="s">
        <v>13</v>
      </c>
      <c r="J730" t="str">
        <f>IF(ISBLANK(Table2[[#This Row],[ReceivedDate]]),"Unpaid",IF(Table2[[#This Row],[ReceivedDate]]&gt;Table2[[#This Row],[DueDate]],"Late",IF(Table2[[#This Row],[ReceivedDate]]&lt;Table2[[#This Row],[DueDate]],"Early","On Time")))</f>
        <v>Unpaid</v>
      </c>
    </row>
    <row r="731" spans="1:10" x14ac:dyDescent="0.3">
      <c r="A731" t="s">
        <v>752</v>
      </c>
      <c r="B731" t="s">
        <v>15</v>
      </c>
      <c r="C731" s="1">
        <v>45819</v>
      </c>
      <c r="D731" s="1">
        <v>45864</v>
      </c>
      <c r="E731" s="2">
        <v>4670.08</v>
      </c>
      <c r="F731" t="s">
        <v>19</v>
      </c>
      <c r="G731" t="s">
        <v>12</v>
      </c>
      <c r="I731" t="s">
        <v>13</v>
      </c>
      <c r="J731" t="str">
        <f>IF(ISBLANK(Table2[[#This Row],[ReceivedDate]]),"Unpaid",IF(Table2[[#This Row],[ReceivedDate]]&gt;Table2[[#This Row],[DueDate]],"Late",IF(Table2[[#This Row],[ReceivedDate]]&lt;Table2[[#This Row],[DueDate]],"Early","On Time")))</f>
        <v>Unpaid</v>
      </c>
    </row>
    <row r="732" spans="1:10" x14ac:dyDescent="0.3">
      <c r="A732" t="s">
        <v>753</v>
      </c>
      <c r="B732" t="s">
        <v>10</v>
      </c>
      <c r="C732" s="1">
        <v>45666</v>
      </c>
      <c r="D732" s="1">
        <v>45711</v>
      </c>
      <c r="E732" s="2">
        <v>6954.16</v>
      </c>
      <c r="F732" t="s">
        <v>19</v>
      </c>
      <c r="G732" t="s">
        <v>21</v>
      </c>
      <c r="H732" s="1">
        <v>45711</v>
      </c>
      <c r="I732" t="s">
        <v>13</v>
      </c>
      <c r="J732" t="str">
        <f>IF(ISBLANK(Table2[[#This Row],[ReceivedDate]]),"Unpaid",IF(Table2[[#This Row],[ReceivedDate]]&gt;Table2[[#This Row],[DueDate]],"Late",IF(Table2[[#This Row],[ReceivedDate]]&lt;Table2[[#This Row],[DueDate]],"Early","On Time")))</f>
        <v>On Time</v>
      </c>
    </row>
    <row r="733" spans="1:10" x14ac:dyDescent="0.3">
      <c r="A733" t="s">
        <v>754</v>
      </c>
      <c r="B733" t="s">
        <v>15</v>
      </c>
      <c r="C733" s="1">
        <v>45000</v>
      </c>
      <c r="D733" s="1">
        <v>45045</v>
      </c>
      <c r="E733" s="2">
        <v>4219.6099999999997</v>
      </c>
      <c r="F733" t="s">
        <v>16</v>
      </c>
      <c r="G733" t="s">
        <v>12</v>
      </c>
      <c r="I733" t="s">
        <v>13</v>
      </c>
      <c r="J733" t="str">
        <f>IF(ISBLANK(Table2[[#This Row],[ReceivedDate]]),"Unpaid",IF(Table2[[#This Row],[ReceivedDate]]&gt;Table2[[#This Row],[DueDate]],"Late",IF(Table2[[#This Row],[ReceivedDate]]&lt;Table2[[#This Row],[DueDate]],"Early","On Time")))</f>
        <v>Unpaid</v>
      </c>
    </row>
    <row r="734" spans="1:10" x14ac:dyDescent="0.3">
      <c r="A734" t="s">
        <v>755</v>
      </c>
      <c r="B734" t="s">
        <v>30</v>
      </c>
      <c r="C734" s="1">
        <v>45334</v>
      </c>
      <c r="D734" s="1">
        <v>45379</v>
      </c>
      <c r="E734" s="2">
        <v>7672.81</v>
      </c>
      <c r="F734" t="s">
        <v>19</v>
      </c>
      <c r="G734" t="s">
        <v>21</v>
      </c>
      <c r="H734" s="1">
        <v>45379</v>
      </c>
      <c r="I734" t="s">
        <v>13</v>
      </c>
      <c r="J734" t="str">
        <f>IF(ISBLANK(Table2[[#This Row],[ReceivedDate]]),"Unpaid",IF(Table2[[#This Row],[ReceivedDate]]&gt;Table2[[#This Row],[DueDate]],"Late",IF(Table2[[#This Row],[ReceivedDate]]&lt;Table2[[#This Row],[DueDate]],"Early","On Time")))</f>
        <v>On Time</v>
      </c>
    </row>
    <row r="735" spans="1:10" x14ac:dyDescent="0.3">
      <c r="A735" t="s">
        <v>756</v>
      </c>
      <c r="B735" t="s">
        <v>25</v>
      </c>
      <c r="C735" s="1">
        <v>45747</v>
      </c>
      <c r="D735" s="1">
        <v>45792</v>
      </c>
      <c r="E735" s="2">
        <v>3127.27</v>
      </c>
      <c r="F735" t="s">
        <v>28</v>
      </c>
      <c r="G735" t="s">
        <v>12</v>
      </c>
      <c r="I735" t="s">
        <v>13</v>
      </c>
      <c r="J735" t="str">
        <f>IF(ISBLANK(Table2[[#This Row],[ReceivedDate]]),"Unpaid",IF(Table2[[#This Row],[ReceivedDate]]&gt;Table2[[#This Row],[DueDate]],"Late",IF(Table2[[#This Row],[ReceivedDate]]&lt;Table2[[#This Row],[DueDate]],"Early","On Time")))</f>
        <v>Unpaid</v>
      </c>
    </row>
    <row r="736" spans="1:10" x14ac:dyDescent="0.3">
      <c r="A736" t="s">
        <v>757</v>
      </c>
      <c r="B736" t="s">
        <v>25</v>
      </c>
      <c r="C736" s="1">
        <v>45566</v>
      </c>
      <c r="D736" s="1">
        <v>45611</v>
      </c>
      <c r="E736" s="2">
        <v>2341.1999999999998</v>
      </c>
      <c r="F736" t="s">
        <v>11</v>
      </c>
      <c r="G736" t="s">
        <v>21</v>
      </c>
      <c r="H736" s="1">
        <v>45611</v>
      </c>
      <c r="I736" t="s">
        <v>13</v>
      </c>
      <c r="J736" t="str">
        <f>IF(ISBLANK(Table2[[#This Row],[ReceivedDate]]),"Unpaid",IF(Table2[[#This Row],[ReceivedDate]]&gt;Table2[[#This Row],[DueDate]],"Late",IF(Table2[[#This Row],[ReceivedDate]]&lt;Table2[[#This Row],[DueDate]],"Early","On Time")))</f>
        <v>On Time</v>
      </c>
    </row>
    <row r="737" spans="1:10" x14ac:dyDescent="0.3">
      <c r="A737" t="s">
        <v>758</v>
      </c>
      <c r="B737" t="s">
        <v>15</v>
      </c>
      <c r="C737" s="1">
        <v>45595</v>
      </c>
      <c r="D737" s="1">
        <v>45640</v>
      </c>
      <c r="E737" s="2">
        <v>5614.34</v>
      </c>
      <c r="F737" t="s">
        <v>11</v>
      </c>
      <c r="G737" t="s">
        <v>12</v>
      </c>
      <c r="I737" t="s">
        <v>13</v>
      </c>
      <c r="J737" t="str">
        <f>IF(ISBLANK(Table2[[#This Row],[ReceivedDate]]),"Unpaid",IF(Table2[[#This Row],[ReceivedDate]]&gt;Table2[[#This Row],[DueDate]],"Late",IF(Table2[[#This Row],[ReceivedDate]]&lt;Table2[[#This Row],[DueDate]],"Early","On Time")))</f>
        <v>Unpaid</v>
      </c>
    </row>
    <row r="738" spans="1:10" x14ac:dyDescent="0.3">
      <c r="A738" t="s">
        <v>759</v>
      </c>
      <c r="B738" t="s">
        <v>30</v>
      </c>
      <c r="C738" s="1">
        <v>44956</v>
      </c>
      <c r="D738" s="1">
        <v>45001</v>
      </c>
      <c r="E738" s="2">
        <v>7144.44</v>
      </c>
      <c r="F738" t="s">
        <v>16</v>
      </c>
      <c r="G738" t="s">
        <v>12</v>
      </c>
      <c r="I738" t="s">
        <v>13</v>
      </c>
      <c r="J738" t="str">
        <f>IF(ISBLANK(Table2[[#This Row],[ReceivedDate]]),"Unpaid",IF(Table2[[#This Row],[ReceivedDate]]&gt;Table2[[#This Row],[DueDate]],"Late",IF(Table2[[#This Row],[ReceivedDate]]&lt;Table2[[#This Row],[DueDate]],"Early","On Time")))</f>
        <v>Unpaid</v>
      </c>
    </row>
    <row r="739" spans="1:10" x14ac:dyDescent="0.3">
      <c r="A739" t="s">
        <v>760</v>
      </c>
      <c r="B739" t="s">
        <v>30</v>
      </c>
      <c r="C739" s="1">
        <v>45136</v>
      </c>
      <c r="D739" s="1">
        <v>45181</v>
      </c>
      <c r="E739" s="2">
        <v>5084.83</v>
      </c>
      <c r="F739" t="s">
        <v>26</v>
      </c>
      <c r="G739" t="s">
        <v>21</v>
      </c>
      <c r="H739" s="1">
        <v>45181</v>
      </c>
      <c r="I739" t="s">
        <v>13</v>
      </c>
      <c r="J739" t="str">
        <f>IF(ISBLANK(Table2[[#This Row],[ReceivedDate]]),"Unpaid",IF(Table2[[#This Row],[ReceivedDate]]&gt;Table2[[#This Row],[DueDate]],"Late",IF(Table2[[#This Row],[ReceivedDate]]&lt;Table2[[#This Row],[DueDate]],"Early","On Time")))</f>
        <v>On Time</v>
      </c>
    </row>
    <row r="740" spans="1:10" x14ac:dyDescent="0.3">
      <c r="A740" t="s">
        <v>761</v>
      </c>
      <c r="B740" t="s">
        <v>23</v>
      </c>
      <c r="C740" s="1">
        <v>45790</v>
      </c>
      <c r="D740" s="1">
        <v>45835</v>
      </c>
      <c r="E740" s="2">
        <v>4558.47</v>
      </c>
      <c r="F740" t="s">
        <v>11</v>
      </c>
      <c r="G740" t="s">
        <v>17</v>
      </c>
      <c r="I740" t="s">
        <v>13</v>
      </c>
      <c r="J740" t="str">
        <f>IF(ISBLANK(Table2[[#This Row],[ReceivedDate]]),"Unpaid",IF(Table2[[#This Row],[ReceivedDate]]&gt;Table2[[#This Row],[DueDate]],"Late",IF(Table2[[#This Row],[ReceivedDate]]&lt;Table2[[#This Row],[DueDate]],"Early","On Time")))</f>
        <v>Unpaid</v>
      </c>
    </row>
    <row r="741" spans="1:10" x14ac:dyDescent="0.3">
      <c r="A741" t="s">
        <v>762</v>
      </c>
      <c r="B741" t="s">
        <v>25</v>
      </c>
      <c r="C741" s="1">
        <v>45180</v>
      </c>
      <c r="D741" s="1">
        <v>45225</v>
      </c>
      <c r="E741" s="2">
        <v>7477.62</v>
      </c>
      <c r="F741" t="s">
        <v>26</v>
      </c>
      <c r="G741" t="s">
        <v>21</v>
      </c>
      <c r="H741" s="1">
        <v>45225</v>
      </c>
      <c r="I741" t="s">
        <v>13</v>
      </c>
      <c r="J741" t="str">
        <f>IF(ISBLANK(Table2[[#This Row],[ReceivedDate]]),"Unpaid",IF(Table2[[#This Row],[ReceivedDate]]&gt;Table2[[#This Row],[DueDate]],"Late",IF(Table2[[#This Row],[ReceivedDate]]&lt;Table2[[#This Row],[DueDate]],"Early","On Time")))</f>
        <v>On Time</v>
      </c>
    </row>
    <row r="742" spans="1:10" x14ac:dyDescent="0.3">
      <c r="A742" t="s">
        <v>763</v>
      </c>
      <c r="B742" t="s">
        <v>15</v>
      </c>
      <c r="C742" s="1">
        <v>45372</v>
      </c>
      <c r="D742" s="1">
        <v>45417</v>
      </c>
      <c r="E742" s="2">
        <v>2809.92</v>
      </c>
      <c r="F742" t="s">
        <v>19</v>
      </c>
      <c r="G742" t="s">
        <v>21</v>
      </c>
      <c r="H742" s="1">
        <v>45417</v>
      </c>
      <c r="I742" t="s">
        <v>13</v>
      </c>
      <c r="J742" t="str">
        <f>IF(ISBLANK(Table2[[#This Row],[ReceivedDate]]),"Unpaid",IF(Table2[[#This Row],[ReceivedDate]]&gt;Table2[[#This Row],[DueDate]],"Late",IF(Table2[[#This Row],[ReceivedDate]]&lt;Table2[[#This Row],[DueDate]],"Early","On Time")))</f>
        <v>On Time</v>
      </c>
    </row>
    <row r="743" spans="1:10" x14ac:dyDescent="0.3">
      <c r="A743" t="s">
        <v>764</v>
      </c>
      <c r="B743" t="s">
        <v>15</v>
      </c>
      <c r="C743" s="1">
        <v>44948</v>
      </c>
      <c r="D743" s="1">
        <v>44993</v>
      </c>
      <c r="E743" s="2">
        <v>1528</v>
      </c>
      <c r="F743" t="s">
        <v>11</v>
      </c>
      <c r="G743" t="s">
        <v>12</v>
      </c>
      <c r="I743" t="s">
        <v>13</v>
      </c>
      <c r="J743" t="str">
        <f>IF(ISBLANK(Table2[[#This Row],[ReceivedDate]]),"Unpaid",IF(Table2[[#This Row],[ReceivedDate]]&gt;Table2[[#This Row],[DueDate]],"Late",IF(Table2[[#This Row],[ReceivedDate]]&lt;Table2[[#This Row],[DueDate]],"Early","On Time")))</f>
        <v>Unpaid</v>
      </c>
    </row>
    <row r="744" spans="1:10" x14ac:dyDescent="0.3">
      <c r="A744" t="s">
        <v>765</v>
      </c>
      <c r="B744" t="s">
        <v>10</v>
      </c>
      <c r="C744" s="1">
        <v>45034</v>
      </c>
      <c r="D744" s="1">
        <v>45079</v>
      </c>
      <c r="E744" s="2">
        <v>6314.46</v>
      </c>
      <c r="F744" t="s">
        <v>28</v>
      </c>
      <c r="G744" t="s">
        <v>21</v>
      </c>
      <c r="H744" s="1">
        <v>45079</v>
      </c>
      <c r="I744" t="s">
        <v>13</v>
      </c>
      <c r="J744" t="str">
        <f>IF(ISBLANK(Table2[[#This Row],[ReceivedDate]]),"Unpaid",IF(Table2[[#This Row],[ReceivedDate]]&gt;Table2[[#This Row],[DueDate]],"Late",IF(Table2[[#This Row],[ReceivedDate]]&lt;Table2[[#This Row],[DueDate]],"Early","On Time")))</f>
        <v>On Time</v>
      </c>
    </row>
    <row r="745" spans="1:10" x14ac:dyDescent="0.3">
      <c r="A745" t="s">
        <v>766</v>
      </c>
      <c r="B745" t="s">
        <v>15</v>
      </c>
      <c r="C745" s="1">
        <v>45015</v>
      </c>
      <c r="D745" s="1">
        <v>45060</v>
      </c>
      <c r="E745" s="2">
        <v>4757.3900000000003</v>
      </c>
      <c r="F745" t="s">
        <v>19</v>
      </c>
      <c r="G745" t="s">
        <v>17</v>
      </c>
      <c r="I745" t="s">
        <v>13</v>
      </c>
      <c r="J745" t="str">
        <f>IF(ISBLANK(Table2[[#This Row],[ReceivedDate]]),"Unpaid",IF(Table2[[#This Row],[ReceivedDate]]&gt;Table2[[#This Row],[DueDate]],"Late",IF(Table2[[#This Row],[ReceivedDate]]&lt;Table2[[#This Row],[DueDate]],"Early","On Time")))</f>
        <v>Unpaid</v>
      </c>
    </row>
    <row r="746" spans="1:10" x14ac:dyDescent="0.3">
      <c r="A746" t="s">
        <v>767</v>
      </c>
      <c r="B746" t="s">
        <v>15</v>
      </c>
      <c r="C746" s="1">
        <v>45080</v>
      </c>
      <c r="D746" s="1">
        <v>45125</v>
      </c>
      <c r="E746" s="2">
        <v>4061.27</v>
      </c>
      <c r="F746" t="s">
        <v>26</v>
      </c>
      <c r="G746" t="s">
        <v>21</v>
      </c>
      <c r="H746" s="1">
        <v>45125</v>
      </c>
      <c r="I746" t="s">
        <v>13</v>
      </c>
      <c r="J746" t="str">
        <f>IF(ISBLANK(Table2[[#This Row],[ReceivedDate]]),"Unpaid",IF(Table2[[#This Row],[ReceivedDate]]&gt;Table2[[#This Row],[DueDate]],"Late",IF(Table2[[#This Row],[ReceivedDate]]&lt;Table2[[#This Row],[DueDate]],"Early","On Time")))</f>
        <v>On Time</v>
      </c>
    </row>
    <row r="747" spans="1:10" x14ac:dyDescent="0.3">
      <c r="A747" t="s">
        <v>768</v>
      </c>
      <c r="B747" t="s">
        <v>30</v>
      </c>
      <c r="C747" s="1">
        <v>45733</v>
      </c>
      <c r="D747" s="1">
        <v>45778</v>
      </c>
      <c r="E747" s="2">
        <v>1445.59</v>
      </c>
      <c r="F747" t="s">
        <v>11</v>
      </c>
      <c r="G747" t="s">
        <v>12</v>
      </c>
      <c r="I747" t="s">
        <v>13</v>
      </c>
      <c r="J747" t="str">
        <f>IF(ISBLANK(Table2[[#This Row],[ReceivedDate]]),"Unpaid",IF(Table2[[#This Row],[ReceivedDate]]&gt;Table2[[#This Row],[DueDate]],"Late",IF(Table2[[#This Row],[ReceivedDate]]&lt;Table2[[#This Row],[DueDate]],"Early","On Time")))</f>
        <v>Unpaid</v>
      </c>
    </row>
    <row r="748" spans="1:10" x14ac:dyDescent="0.3">
      <c r="A748" t="s">
        <v>769</v>
      </c>
      <c r="B748" t="s">
        <v>25</v>
      </c>
      <c r="C748" s="1">
        <v>45487</v>
      </c>
      <c r="D748" s="1">
        <v>45532</v>
      </c>
      <c r="E748" s="2">
        <v>4549.8999999999996</v>
      </c>
      <c r="F748" t="s">
        <v>26</v>
      </c>
      <c r="G748" t="s">
        <v>21</v>
      </c>
      <c r="H748" s="1">
        <v>45532</v>
      </c>
      <c r="I748" t="s">
        <v>13</v>
      </c>
      <c r="J748" t="str">
        <f>IF(ISBLANK(Table2[[#This Row],[ReceivedDate]]),"Unpaid",IF(Table2[[#This Row],[ReceivedDate]]&gt;Table2[[#This Row],[DueDate]],"Late",IF(Table2[[#This Row],[ReceivedDate]]&lt;Table2[[#This Row],[DueDate]],"Early","On Time")))</f>
        <v>On Time</v>
      </c>
    </row>
    <row r="749" spans="1:10" x14ac:dyDescent="0.3">
      <c r="A749" t="s">
        <v>770</v>
      </c>
      <c r="B749" t="s">
        <v>25</v>
      </c>
      <c r="C749" s="1">
        <v>45372</v>
      </c>
      <c r="D749" s="1">
        <v>45417</v>
      </c>
      <c r="E749" s="2">
        <v>5530.33</v>
      </c>
      <c r="F749" t="s">
        <v>11</v>
      </c>
      <c r="G749" t="s">
        <v>17</v>
      </c>
      <c r="I749" t="s">
        <v>13</v>
      </c>
      <c r="J749" t="str">
        <f>IF(ISBLANK(Table2[[#This Row],[ReceivedDate]]),"Unpaid",IF(Table2[[#This Row],[ReceivedDate]]&gt;Table2[[#This Row],[DueDate]],"Late",IF(Table2[[#This Row],[ReceivedDate]]&lt;Table2[[#This Row],[DueDate]],"Early","On Time")))</f>
        <v>Unpaid</v>
      </c>
    </row>
    <row r="750" spans="1:10" x14ac:dyDescent="0.3">
      <c r="A750" t="s">
        <v>771</v>
      </c>
      <c r="B750" t="s">
        <v>10</v>
      </c>
      <c r="C750" s="1">
        <v>45776</v>
      </c>
      <c r="D750" s="1">
        <v>45821</v>
      </c>
      <c r="E750" s="2">
        <v>2790.34</v>
      </c>
      <c r="F750" t="s">
        <v>16</v>
      </c>
      <c r="G750" t="s">
        <v>12</v>
      </c>
      <c r="I750" t="s">
        <v>13</v>
      </c>
      <c r="J750" t="str">
        <f>IF(ISBLANK(Table2[[#This Row],[ReceivedDate]]),"Unpaid",IF(Table2[[#This Row],[ReceivedDate]]&gt;Table2[[#This Row],[DueDate]],"Late",IF(Table2[[#This Row],[ReceivedDate]]&lt;Table2[[#This Row],[DueDate]],"Early","On Time")))</f>
        <v>Unpaid</v>
      </c>
    </row>
    <row r="751" spans="1:10" x14ac:dyDescent="0.3">
      <c r="A751" t="s">
        <v>772</v>
      </c>
      <c r="B751" t="s">
        <v>10</v>
      </c>
      <c r="C751" s="1">
        <v>45304</v>
      </c>
      <c r="D751" s="1">
        <v>45349</v>
      </c>
      <c r="E751" s="2">
        <v>7511.89</v>
      </c>
      <c r="F751" t="s">
        <v>16</v>
      </c>
      <c r="G751" t="s">
        <v>12</v>
      </c>
      <c r="I751" t="s">
        <v>13</v>
      </c>
      <c r="J751" t="str">
        <f>IF(ISBLANK(Table2[[#This Row],[ReceivedDate]]),"Unpaid",IF(Table2[[#This Row],[ReceivedDate]]&gt;Table2[[#This Row],[DueDate]],"Late",IF(Table2[[#This Row],[ReceivedDate]]&lt;Table2[[#This Row],[DueDate]],"Early","On Time")))</f>
        <v>Unpaid</v>
      </c>
    </row>
    <row r="752" spans="1:10" x14ac:dyDescent="0.3">
      <c r="A752" t="s">
        <v>773</v>
      </c>
      <c r="B752" t="s">
        <v>30</v>
      </c>
      <c r="C752" s="1">
        <v>45614</v>
      </c>
      <c r="D752" s="1">
        <v>45659</v>
      </c>
      <c r="E752" s="2">
        <v>7449.48</v>
      </c>
      <c r="F752" t="s">
        <v>11</v>
      </c>
      <c r="G752" t="s">
        <v>12</v>
      </c>
      <c r="I752" t="s">
        <v>13</v>
      </c>
      <c r="J752" t="str">
        <f>IF(ISBLANK(Table2[[#This Row],[ReceivedDate]]),"Unpaid",IF(Table2[[#This Row],[ReceivedDate]]&gt;Table2[[#This Row],[DueDate]],"Late",IF(Table2[[#This Row],[ReceivedDate]]&lt;Table2[[#This Row],[DueDate]],"Early","On Time")))</f>
        <v>Unpaid</v>
      </c>
    </row>
    <row r="753" spans="1:10" x14ac:dyDescent="0.3">
      <c r="A753" t="s">
        <v>774</v>
      </c>
      <c r="B753" t="s">
        <v>10</v>
      </c>
      <c r="C753" s="1">
        <v>45084</v>
      </c>
      <c r="D753" s="1">
        <v>45129</v>
      </c>
      <c r="E753" s="2">
        <v>5701.18</v>
      </c>
      <c r="F753" t="s">
        <v>16</v>
      </c>
      <c r="G753" t="s">
        <v>12</v>
      </c>
      <c r="I753" t="s">
        <v>13</v>
      </c>
      <c r="J753" t="str">
        <f>IF(ISBLANK(Table2[[#This Row],[ReceivedDate]]),"Unpaid",IF(Table2[[#This Row],[ReceivedDate]]&gt;Table2[[#This Row],[DueDate]],"Late",IF(Table2[[#This Row],[ReceivedDate]]&lt;Table2[[#This Row],[DueDate]],"Early","On Time")))</f>
        <v>Unpaid</v>
      </c>
    </row>
    <row r="754" spans="1:10" x14ac:dyDescent="0.3">
      <c r="A754" t="s">
        <v>775</v>
      </c>
      <c r="B754" t="s">
        <v>15</v>
      </c>
      <c r="C754" s="1">
        <v>45422</v>
      </c>
      <c r="D754" s="1">
        <v>45467</v>
      </c>
      <c r="E754" s="2">
        <v>2707.82</v>
      </c>
      <c r="F754" t="s">
        <v>16</v>
      </c>
      <c r="G754" t="s">
        <v>17</v>
      </c>
      <c r="I754" t="s">
        <v>13</v>
      </c>
      <c r="J754" t="str">
        <f>IF(ISBLANK(Table2[[#This Row],[ReceivedDate]]),"Unpaid",IF(Table2[[#This Row],[ReceivedDate]]&gt;Table2[[#This Row],[DueDate]],"Late",IF(Table2[[#This Row],[ReceivedDate]]&lt;Table2[[#This Row],[DueDate]],"Early","On Time")))</f>
        <v>Unpaid</v>
      </c>
    </row>
    <row r="755" spans="1:10" x14ac:dyDescent="0.3">
      <c r="A755" t="s">
        <v>776</v>
      </c>
      <c r="B755" t="s">
        <v>15</v>
      </c>
      <c r="C755" s="1">
        <v>45674</v>
      </c>
      <c r="D755" s="1">
        <v>45719</v>
      </c>
      <c r="E755" s="2">
        <v>289.7</v>
      </c>
      <c r="F755" t="s">
        <v>16</v>
      </c>
      <c r="G755" t="s">
        <v>17</v>
      </c>
      <c r="I755" t="s">
        <v>13</v>
      </c>
      <c r="J755" t="str">
        <f>IF(ISBLANK(Table2[[#This Row],[ReceivedDate]]),"Unpaid",IF(Table2[[#This Row],[ReceivedDate]]&gt;Table2[[#This Row],[DueDate]],"Late",IF(Table2[[#This Row],[ReceivedDate]]&lt;Table2[[#This Row],[DueDate]],"Early","On Time")))</f>
        <v>Unpaid</v>
      </c>
    </row>
    <row r="756" spans="1:10" x14ac:dyDescent="0.3">
      <c r="A756" t="s">
        <v>777</v>
      </c>
      <c r="B756" t="s">
        <v>25</v>
      </c>
      <c r="C756" s="1">
        <v>45816</v>
      </c>
      <c r="D756" s="1">
        <v>45861</v>
      </c>
      <c r="E756" s="2">
        <v>3246.06</v>
      </c>
      <c r="F756" t="s">
        <v>28</v>
      </c>
      <c r="G756" t="s">
        <v>12</v>
      </c>
      <c r="I756" t="s">
        <v>13</v>
      </c>
      <c r="J756" t="str">
        <f>IF(ISBLANK(Table2[[#This Row],[ReceivedDate]]),"Unpaid",IF(Table2[[#This Row],[ReceivedDate]]&gt;Table2[[#This Row],[DueDate]],"Late",IF(Table2[[#This Row],[ReceivedDate]]&lt;Table2[[#This Row],[DueDate]],"Early","On Time")))</f>
        <v>Unpaid</v>
      </c>
    </row>
    <row r="757" spans="1:10" x14ac:dyDescent="0.3">
      <c r="A757" t="s">
        <v>778</v>
      </c>
      <c r="B757" t="s">
        <v>23</v>
      </c>
      <c r="C757" s="1">
        <v>45186</v>
      </c>
      <c r="D757" s="1">
        <v>45231</v>
      </c>
      <c r="E757" s="2">
        <v>2844.18</v>
      </c>
      <c r="F757" t="s">
        <v>16</v>
      </c>
      <c r="G757" t="s">
        <v>21</v>
      </c>
      <c r="H757" s="1">
        <v>45231</v>
      </c>
      <c r="I757" t="s">
        <v>13</v>
      </c>
      <c r="J757" t="str">
        <f>IF(ISBLANK(Table2[[#This Row],[ReceivedDate]]),"Unpaid",IF(Table2[[#This Row],[ReceivedDate]]&gt;Table2[[#This Row],[DueDate]],"Late",IF(Table2[[#This Row],[ReceivedDate]]&lt;Table2[[#This Row],[DueDate]],"Early","On Time")))</f>
        <v>On Time</v>
      </c>
    </row>
    <row r="758" spans="1:10" x14ac:dyDescent="0.3">
      <c r="A758" t="s">
        <v>779</v>
      </c>
      <c r="B758" t="s">
        <v>10</v>
      </c>
      <c r="C758" s="1">
        <v>45332</v>
      </c>
      <c r="D758" s="1">
        <v>45377</v>
      </c>
      <c r="E758" s="2">
        <v>4564.2</v>
      </c>
      <c r="F758" t="s">
        <v>26</v>
      </c>
      <c r="G758" t="s">
        <v>12</v>
      </c>
      <c r="I758" t="s">
        <v>13</v>
      </c>
      <c r="J758" t="str">
        <f>IF(ISBLANK(Table2[[#This Row],[ReceivedDate]]),"Unpaid",IF(Table2[[#This Row],[ReceivedDate]]&gt;Table2[[#This Row],[DueDate]],"Late",IF(Table2[[#This Row],[ReceivedDate]]&lt;Table2[[#This Row],[DueDate]],"Early","On Time")))</f>
        <v>Unpaid</v>
      </c>
    </row>
    <row r="759" spans="1:10" x14ac:dyDescent="0.3">
      <c r="A759" t="s">
        <v>780</v>
      </c>
      <c r="B759" t="s">
        <v>15</v>
      </c>
      <c r="C759" s="1">
        <v>45461</v>
      </c>
      <c r="D759" s="1">
        <v>45506</v>
      </c>
      <c r="E759" s="2">
        <v>5995.72</v>
      </c>
      <c r="F759" t="s">
        <v>11</v>
      </c>
      <c r="G759" t="s">
        <v>21</v>
      </c>
      <c r="H759" s="1">
        <v>45506</v>
      </c>
      <c r="I759" t="s">
        <v>13</v>
      </c>
      <c r="J759" t="str">
        <f>IF(ISBLANK(Table2[[#This Row],[ReceivedDate]]),"Unpaid",IF(Table2[[#This Row],[ReceivedDate]]&gt;Table2[[#This Row],[DueDate]],"Late",IF(Table2[[#This Row],[ReceivedDate]]&lt;Table2[[#This Row],[DueDate]],"Early","On Time")))</f>
        <v>On Time</v>
      </c>
    </row>
    <row r="760" spans="1:10" x14ac:dyDescent="0.3">
      <c r="A760" t="s">
        <v>781</v>
      </c>
      <c r="B760" t="s">
        <v>23</v>
      </c>
      <c r="C760" s="1">
        <v>45017</v>
      </c>
      <c r="D760" s="1">
        <v>45062</v>
      </c>
      <c r="E760" s="2">
        <v>1249.92</v>
      </c>
      <c r="F760" t="s">
        <v>19</v>
      </c>
      <c r="G760" t="s">
        <v>21</v>
      </c>
      <c r="H760" s="1">
        <v>45062</v>
      </c>
      <c r="I760" t="s">
        <v>13</v>
      </c>
      <c r="J760" t="str">
        <f>IF(ISBLANK(Table2[[#This Row],[ReceivedDate]]),"Unpaid",IF(Table2[[#This Row],[ReceivedDate]]&gt;Table2[[#This Row],[DueDate]],"Late",IF(Table2[[#This Row],[ReceivedDate]]&lt;Table2[[#This Row],[DueDate]],"Early","On Time")))</f>
        <v>On Time</v>
      </c>
    </row>
    <row r="761" spans="1:10" x14ac:dyDescent="0.3">
      <c r="A761" t="s">
        <v>782</v>
      </c>
      <c r="B761" t="s">
        <v>25</v>
      </c>
      <c r="C761" s="1">
        <v>45250</v>
      </c>
      <c r="D761" s="1">
        <v>45295</v>
      </c>
      <c r="E761" s="2">
        <v>417.53</v>
      </c>
      <c r="F761" t="s">
        <v>11</v>
      </c>
      <c r="G761" t="s">
        <v>21</v>
      </c>
      <c r="H761" s="1">
        <v>45295</v>
      </c>
      <c r="I761" t="s">
        <v>13</v>
      </c>
      <c r="J761" t="str">
        <f>IF(ISBLANK(Table2[[#This Row],[ReceivedDate]]),"Unpaid",IF(Table2[[#This Row],[ReceivedDate]]&gt;Table2[[#This Row],[DueDate]],"Late",IF(Table2[[#This Row],[ReceivedDate]]&lt;Table2[[#This Row],[DueDate]],"Early","On Time")))</f>
        <v>On Time</v>
      </c>
    </row>
    <row r="762" spans="1:10" x14ac:dyDescent="0.3">
      <c r="A762" t="s">
        <v>783</v>
      </c>
      <c r="B762" t="s">
        <v>15</v>
      </c>
      <c r="C762" s="1">
        <v>45425</v>
      </c>
      <c r="D762" s="1">
        <v>45470</v>
      </c>
      <c r="E762" s="2">
        <v>555.04999999999995</v>
      </c>
      <c r="F762" t="s">
        <v>28</v>
      </c>
      <c r="G762" t="s">
        <v>21</v>
      </c>
      <c r="H762" s="1">
        <v>45470</v>
      </c>
      <c r="I762" t="s">
        <v>13</v>
      </c>
      <c r="J762" t="str">
        <f>IF(ISBLANK(Table2[[#This Row],[ReceivedDate]]),"Unpaid",IF(Table2[[#This Row],[ReceivedDate]]&gt;Table2[[#This Row],[DueDate]],"Late",IF(Table2[[#This Row],[ReceivedDate]]&lt;Table2[[#This Row],[DueDate]],"Early","On Time")))</f>
        <v>On Time</v>
      </c>
    </row>
    <row r="763" spans="1:10" x14ac:dyDescent="0.3">
      <c r="A763" t="s">
        <v>784</v>
      </c>
      <c r="B763" t="s">
        <v>15</v>
      </c>
      <c r="C763" s="1">
        <v>45748</v>
      </c>
      <c r="D763" s="1">
        <v>45793</v>
      </c>
      <c r="E763" s="2">
        <v>4786.58</v>
      </c>
      <c r="F763" t="s">
        <v>11</v>
      </c>
      <c r="G763" t="s">
        <v>21</v>
      </c>
      <c r="H763" s="1">
        <v>45793</v>
      </c>
      <c r="I763" t="s">
        <v>13</v>
      </c>
      <c r="J763" t="str">
        <f>IF(ISBLANK(Table2[[#This Row],[ReceivedDate]]),"Unpaid",IF(Table2[[#This Row],[ReceivedDate]]&gt;Table2[[#This Row],[DueDate]],"Late",IF(Table2[[#This Row],[ReceivedDate]]&lt;Table2[[#This Row],[DueDate]],"Early","On Time")))</f>
        <v>On Time</v>
      </c>
    </row>
    <row r="764" spans="1:10" x14ac:dyDescent="0.3">
      <c r="A764" t="s">
        <v>785</v>
      </c>
      <c r="B764" t="s">
        <v>30</v>
      </c>
      <c r="C764" s="1">
        <v>44934</v>
      </c>
      <c r="D764" s="1">
        <v>44979</v>
      </c>
      <c r="E764" s="2">
        <v>4534.3999999999996</v>
      </c>
      <c r="F764" t="s">
        <v>16</v>
      </c>
      <c r="G764" t="s">
        <v>21</v>
      </c>
      <c r="H764" s="1">
        <v>44979</v>
      </c>
      <c r="I764" t="s">
        <v>13</v>
      </c>
      <c r="J764" t="str">
        <f>IF(ISBLANK(Table2[[#This Row],[ReceivedDate]]),"Unpaid",IF(Table2[[#This Row],[ReceivedDate]]&gt;Table2[[#This Row],[DueDate]],"Late",IF(Table2[[#This Row],[ReceivedDate]]&lt;Table2[[#This Row],[DueDate]],"Early","On Time")))</f>
        <v>On Time</v>
      </c>
    </row>
    <row r="765" spans="1:10" x14ac:dyDescent="0.3">
      <c r="A765" t="s">
        <v>786</v>
      </c>
      <c r="B765" t="s">
        <v>10</v>
      </c>
      <c r="C765" s="1">
        <v>45246</v>
      </c>
      <c r="D765" s="1">
        <v>45291</v>
      </c>
      <c r="E765" s="2">
        <v>5553.38</v>
      </c>
      <c r="F765" t="s">
        <v>28</v>
      </c>
      <c r="G765" t="s">
        <v>21</v>
      </c>
      <c r="H765" s="1">
        <v>45291</v>
      </c>
      <c r="I765" t="s">
        <v>13</v>
      </c>
      <c r="J765" t="str">
        <f>IF(ISBLANK(Table2[[#This Row],[ReceivedDate]]),"Unpaid",IF(Table2[[#This Row],[ReceivedDate]]&gt;Table2[[#This Row],[DueDate]],"Late",IF(Table2[[#This Row],[ReceivedDate]]&lt;Table2[[#This Row],[DueDate]],"Early","On Time")))</f>
        <v>On Time</v>
      </c>
    </row>
    <row r="766" spans="1:10" x14ac:dyDescent="0.3">
      <c r="A766" t="s">
        <v>787</v>
      </c>
      <c r="B766" t="s">
        <v>30</v>
      </c>
      <c r="C766" s="1">
        <v>45142</v>
      </c>
      <c r="D766" s="1">
        <v>45187</v>
      </c>
      <c r="E766" s="2">
        <v>4181.1899999999996</v>
      </c>
      <c r="F766" t="s">
        <v>28</v>
      </c>
      <c r="G766" t="s">
        <v>17</v>
      </c>
      <c r="I766" t="s">
        <v>13</v>
      </c>
      <c r="J766" t="str">
        <f>IF(ISBLANK(Table2[[#This Row],[ReceivedDate]]),"Unpaid",IF(Table2[[#This Row],[ReceivedDate]]&gt;Table2[[#This Row],[DueDate]],"Late",IF(Table2[[#This Row],[ReceivedDate]]&lt;Table2[[#This Row],[DueDate]],"Early","On Time")))</f>
        <v>Unpaid</v>
      </c>
    </row>
    <row r="767" spans="1:10" x14ac:dyDescent="0.3">
      <c r="A767" t="s">
        <v>788</v>
      </c>
      <c r="B767" t="s">
        <v>10</v>
      </c>
      <c r="C767" s="1">
        <v>45455</v>
      </c>
      <c r="D767" s="1">
        <v>45500</v>
      </c>
      <c r="E767" s="2">
        <v>2073.36</v>
      </c>
      <c r="F767" t="s">
        <v>19</v>
      </c>
      <c r="G767" t="s">
        <v>21</v>
      </c>
      <c r="H767" s="1">
        <v>45500</v>
      </c>
      <c r="I767" t="s">
        <v>13</v>
      </c>
      <c r="J767" t="str">
        <f>IF(ISBLANK(Table2[[#This Row],[ReceivedDate]]),"Unpaid",IF(Table2[[#This Row],[ReceivedDate]]&gt;Table2[[#This Row],[DueDate]],"Late",IF(Table2[[#This Row],[ReceivedDate]]&lt;Table2[[#This Row],[DueDate]],"Early","On Time")))</f>
        <v>On Time</v>
      </c>
    </row>
    <row r="768" spans="1:10" x14ac:dyDescent="0.3">
      <c r="A768" t="s">
        <v>789</v>
      </c>
      <c r="B768" t="s">
        <v>25</v>
      </c>
      <c r="C768" s="1">
        <v>45526</v>
      </c>
      <c r="D768" s="1">
        <v>45571</v>
      </c>
      <c r="E768" s="2">
        <v>5261.47</v>
      </c>
      <c r="F768" t="s">
        <v>11</v>
      </c>
      <c r="G768" t="s">
        <v>17</v>
      </c>
      <c r="I768" t="s">
        <v>13</v>
      </c>
      <c r="J768" t="str">
        <f>IF(ISBLANK(Table2[[#This Row],[ReceivedDate]]),"Unpaid",IF(Table2[[#This Row],[ReceivedDate]]&gt;Table2[[#This Row],[DueDate]],"Late",IF(Table2[[#This Row],[ReceivedDate]]&lt;Table2[[#This Row],[DueDate]],"Early","On Time")))</f>
        <v>Unpaid</v>
      </c>
    </row>
    <row r="769" spans="1:10" x14ac:dyDescent="0.3">
      <c r="A769" t="s">
        <v>790</v>
      </c>
      <c r="B769" t="s">
        <v>30</v>
      </c>
      <c r="C769" s="1">
        <v>45263</v>
      </c>
      <c r="D769" s="1">
        <v>45308</v>
      </c>
      <c r="E769" s="2">
        <v>4961.4399999999996</v>
      </c>
      <c r="F769" t="s">
        <v>28</v>
      </c>
      <c r="G769" t="s">
        <v>17</v>
      </c>
      <c r="I769" t="s">
        <v>13</v>
      </c>
      <c r="J769" t="str">
        <f>IF(ISBLANK(Table2[[#This Row],[ReceivedDate]]),"Unpaid",IF(Table2[[#This Row],[ReceivedDate]]&gt;Table2[[#This Row],[DueDate]],"Late",IF(Table2[[#This Row],[ReceivedDate]]&lt;Table2[[#This Row],[DueDate]],"Early","On Time")))</f>
        <v>Unpaid</v>
      </c>
    </row>
    <row r="770" spans="1:10" x14ac:dyDescent="0.3">
      <c r="A770" t="s">
        <v>791</v>
      </c>
      <c r="B770" t="s">
        <v>10</v>
      </c>
      <c r="C770" s="1">
        <v>45810</v>
      </c>
      <c r="D770" s="1">
        <v>45855</v>
      </c>
      <c r="E770" s="2">
        <v>3635.6</v>
      </c>
      <c r="F770" t="s">
        <v>19</v>
      </c>
      <c r="G770" t="s">
        <v>21</v>
      </c>
      <c r="H770" s="1">
        <v>45855</v>
      </c>
      <c r="I770" t="s">
        <v>13</v>
      </c>
      <c r="J770" t="str">
        <f>IF(ISBLANK(Table2[[#This Row],[ReceivedDate]]),"Unpaid",IF(Table2[[#This Row],[ReceivedDate]]&gt;Table2[[#This Row],[DueDate]],"Late",IF(Table2[[#This Row],[ReceivedDate]]&lt;Table2[[#This Row],[DueDate]],"Early","On Time")))</f>
        <v>On Time</v>
      </c>
    </row>
    <row r="771" spans="1:10" x14ac:dyDescent="0.3">
      <c r="A771" t="s">
        <v>792</v>
      </c>
      <c r="B771" t="s">
        <v>15</v>
      </c>
      <c r="C771" s="1">
        <v>45781</v>
      </c>
      <c r="D771" s="1">
        <v>45826</v>
      </c>
      <c r="E771" s="2">
        <v>556.26</v>
      </c>
      <c r="F771" t="s">
        <v>19</v>
      </c>
      <c r="G771" t="s">
        <v>17</v>
      </c>
      <c r="I771" t="s">
        <v>13</v>
      </c>
      <c r="J771" t="str">
        <f>IF(ISBLANK(Table2[[#This Row],[ReceivedDate]]),"Unpaid",IF(Table2[[#This Row],[ReceivedDate]]&gt;Table2[[#This Row],[DueDate]],"Late",IF(Table2[[#This Row],[ReceivedDate]]&lt;Table2[[#This Row],[DueDate]],"Early","On Time")))</f>
        <v>Unpaid</v>
      </c>
    </row>
    <row r="772" spans="1:10" x14ac:dyDescent="0.3">
      <c r="A772" t="s">
        <v>793</v>
      </c>
      <c r="B772" t="s">
        <v>30</v>
      </c>
      <c r="C772" s="1">
        <v>45752</v>
      </c>
      <c r="D772" s="1">
        <v>45797</v>
      </c>
      <c r="E772" s="2">
        <v>3646.79</v>
      </c>
      <c r="F772" t="s">
        <v>16</v>
      </c>
      <c r="G772" t="s">
        <v>17</v>
      </c>
      <c r="I772" t="s">
        <v>13</v>
      </c>
      <c r="J772" t="str">
        <f>IF(ISBLANK(Table2[[#This Row],[ReceivedDate]]),"Unpaid",IF(Table2[[#This Row],[ReceivedDate]]&gt;Table2[[#This Row],[DueDate]],"Late",IF(Table2[[#This Row],[ReceivedDate]]&lt;Table2[[#This Row],[DueDate]],"Early","On Time")))</f>
        <v>Unpaid</v>
      </c>
    </row>
    <row r="773" spans="1:10" x14ac:dyDescent="0.3">
      <c r="A773" t="s">
        <v>794</v>
      </c>
      <c r="B773" t="s">
        <v>23</v>
      </c>
      <c r="C773" s="1">
        <v>45444</v>
      </c>
      <c r="D773" s="1">
        <v>45489</v>
      </c>
      <c r="E773" s="2">
        <v>3481.23</v>
      </c>
      <c r="F773" t="s">
        <v>26</v>
      </c>
      <c r="G773" t="s">
        <v>21</v>
      </c>
      <c r="H773" s="1">
        <v>45489</v>
      </c>
      <c r="I773" t="s">
        <v>13</v>
      </c>
      <c r="J773" t="str">
        <f>IF(ISBLANK(Table2[[#This Row],[ReceivedDate]]),"Unpaid",IF(Table2[[#This Row],[ReceivedDate]]&gt;Table2[[#This Row],[DueDate]],"Late",IF(Table2[[#This Row],[ReceivedDate]]&lt;Table2[[#This Row],[DueDate]],"Early","On Time")))</f>
        <v>On Time</v>
      </c>
    </row>
    <row r="774" spans="1:10" x14ac:dyDescent="0.3">
      <c r="A774" t="s">
        <v>795</v>
      </c>
      <c r="B774" t="s">
        <v>25</v>
      </c>
      <c r="C774" s="1">
        <v>45013</v>
      </c>
      <c r="D774" s="1">
        <v>45058</v>
      </c>
      <c r="E774" s="2">
        <v>5455.28</v>
      </c>
      <c r="F774" t="s">
        <v>16</v>
      </c>
      <c r="G774" t="s">
        <v>21</v>
      </c>
      <c r="H774" s="1">
        <v>45058</v>
      </c>
      <c r="I774" t="s">
        <v>13</v>
      </c>
      <c r="J774" t="str">
        <f>IF(ISBLANK(Table2[[#This Row],[ReceivedDate]]),"Unpaid",IF(Table2[[#This Row],[ReceivedDate]]&gt;Table2[[#This Row],[DueDate]],"Late",IF(Table2[[#This Row],[ReceivedDate]]&lt;Table2[[#This Row],[DueDate]],"Early","On Time")))</f>
        <v>On Time</v>
      </c>
    </row>
    <row r="775" spans="1:10" x14ac:dyDescent="0.3">
      <c r="A775" t="s">
        <v>796</v>
      </c>
      <c r="B775" t="s">
        <v>15</v>
      </c>
      <c r="C775" s="1">
        <v>45476</v>
      </c>
      <c r="D775" s="1">
        <v>45521</v>
      </c>
      <c r="E775" s="2">
        <v>878.36</v>
      </c>
      <c r="F775" t="s">
        <v>19</v>
      </c>
      <c r="G775" t="s">
        <v>21</v>
      </c>
      <c r="H775" s="1">
        <v>45521</v>
      </c>
      <c r="I775" t="s">
        <v>13</v>
      </c>
      <c r="J775" t="str">
        <f>IF(ISBLANK(Table2[[#This Row],[ReceivedDate]]),"Unpaid",IF(Table2[[#This Row],[ReceivedDate]]&gt;Table2[[#This Row],[DueDate]],"Late",IF(Table2[[#This Row],[ReceivedDate]]&lt;Table2[[#This Row],[DueDate]],"Early","On Time")))</f>
        <v>On Time</v>
      </c>
    </row>
    <row r="776" spans="1:10" x14ac:dyDescent="0.3">
      <c r="A776" t="s">
        <v>797</v>
      </c>
      <c r="B776" t="s">
        <v>25</v>
      </c>
      <c r="C776" s="1">
        <v>45396</v>
      </c>
      <c r="D776" s="1">
        <v>45441</v>
      </c>
      <c r="E776" s="2">
        <v>3961.35</v>
      </c>
      <c r="F776" t="s">
        <v>19</v>
      </c>
      <c r="G776" t="s">
        <v>12</v>
      </c>
      <c r="I776" t="s">
        <v>13</v>
      </c>
      <c r="J776" t="str">
        <f>IF(ISBLANK(Table2[[#This Row],[ReceivedDate]]),"Unpaid",IF(Table2[[#This Row],[ReceivedDate]]&gt;Table2[[#This Row],[DueDate]],"Late",IF(Table2[[#This Row],[ReceivedDate]]&lt;Table2[[#This Row],[DueDate]],"Early","On Time")))</f>
        <v>Unpaid</v>
      </c>
    </row>
    <row r="777" spans="1:10" x14ac:dyDescent="0.3">
      <c r="A777" t="s">
        <v>798</v>
      </c>
      <c r="B777" t="s">
        <v>23</v>
      </c>
      <c r="C777" s="1">
        <v>45793</v>
      </c>
      <c r="D777" s="1">
        <v>45838</v>
      </c>
      <c r="E777" s="2">
        <v>1826.28</v>
      </c>
      <c r="F777" t="s">
        <v>19</v>
      </c>
      <c r="G777" t="s">
        <v>21</v>
      </c>
      <c r="H777" s="1">
        <v>45838</v>
      </c>
      <c r="I777" t="s">
        <v>13</v>
      </c>
      <c r="J777" t="str">
        <f>IF(ISBLANK(Table2[[#This Row],[ReceivedDate]]),"Unpaid",IF(Table2[[#This Row],[ReceivedDate]]&gt;Table2[[#This Row],[DueDate]],"Late",IF(Table2[[#This Row],[ReceivedDate]]&lt;Table2[[#This Row],[DueDate]],"Early","On Time")))</f>
        <v>On Time</v>
      </c>
    </row>
    <row r="778" spans="1:10" x14ac:dyDescent="0.3">
      <c r="A778" t="s">
        <v>799</v>
      </c>
      <c r="B778" t="s">
        <v>25</v>
      </c>
      <c r="C778" s="1">
        <v>44953</v>
      </c>
      <c r="D778" s="1">
        <v>44998</v>
      </c>
      <c r="E778" s="2">
        <v>1812.47</v>
      </c>
      <c r="F778" t="s">
        <v>16</v>
      </c>
      <c r="G778" t="s">
        <v>12</v>
      </c>
      <c r="I778" t="s">
        <v>13</v>
      </c>
      <c r="J778" t="str">
        <f>IF(ISBLANK(Table2[[#This Row],[ReceivedDate]]),"Unpaid",IF(Table2[[#This Row],[ReceivedDate]]&gt;Table2[[#This Row],[DueDate]],"Late",IF(Table2[[#This Row],[ReceivedDate]]&lt;Table2[[#This Row],[DueDate]],"Early","On Time")))</f>
        <v>Unpaid</v>
      </c>
    </row>
    <row r="779" spans="1:10" x14ac:dyDescent="0.3">
      <c r="A779" t="s">
        <v>800</v>
      </c>
      <c r="B779" t="s">
        <v>30</v>
      </c>
      <c r="C779" s="1">
        <v>45641</v>
      </c>
      <c r="D779" s="1">
        <v>45686</v>
      </c>
      <c r="E779" s="2">
        <v>661.49</v>
      </c>
      <c r="F779" t="s">
        <v>11</v>
      </c>
      <c r="G779" t="s">
        <v>17</v>
      </c>
      <c r="I779" t="s">
        <v>13</v>
      </c>
      <c r="J779" t="str">
        <f>IF(ISBLANK(Table2[[#This Row],[ReceivedDate]]),"Unpaid",IF(Table2[[#This Row],[ReceivedDate]]&gt;Table2[[#This Row],[DueDate]],"Late",IF(Table2[[#This Row],[ReceivedDate]]&lt;Table2[[#This Row],[DueDate]],"Early","On Time")))</f>
        <v>Unpaid</v>
      </c>
    </row>
    <row r="780" spans="1:10" x14ac:dyDescent="0.3">
      <c r="A780" t="s">
        <v>801</v>
      </c>
      <c r="B780" t="s">
        <v>10</v>
      </c>
      <c r="C780" s="1">
        <v>45668</v>
      </c>
      <c r="D780" s="1">
        <v>45713</v>
      </c>
      <c r="E780" s="2">
        <v>5875.17</v>
      </c>
      <c r="F780" t="s">
        <v>16</v>
      </c>
      <c r="G780" t="s">
        <v>21</v>
      </c>
      <c r="H780" s="1">
        <v>45713</v>
      </c>
      <c r="I780" t="s">
        <v>13</v>
      </c>
      <c r="J780" t="str">
        <f>IF(ISBLANK(Table2[[#This Row],[ReceivedDate]]),"Unpaid",IF(Table2[[#This Row],[ReceivedDate]]&gt;Table2[[#This Row],[DueDate]],"Late",IF(Table2[[#This Row],[ReceivedDate]]&lt;Table2[[#This Row],[DueDate]],"Early","On Time")))</f>
        <v>On Time</v>
      </c>
    </row>
    <row r="781" spans="1:10" x14ac:dyDescent="0.3">
      <c r="A781" t="s">
        <v>802</v>
      </c>
      <c r="B781" t="s">
        <v>15</v>
      </c>
      <c r="C781" s="1">
        <v>45404</v>
      </c>
      <c r="D781" s="1">
        <v>45449</v>
      </c>
      <c r="E781" s="2">
        <v>6564.03</v>
      </c>
      <c r="F781" t="s">
        <v>26</v>
      </c>
      <c r="G781" t="s">
        <v>21</v>
      </c>
      <c r="H781" s="1">
        <v>45449</v>
      </c>
      <c r="I781" t="s">
        <v>13</v>
      </c>
      <c r="J781" t="str">
        <f>IF(ISBLANK(Table2[[#This Row],[ReceivedDate]]),"Unpaid",IF(Table2[[#This Row],[ReceivedDate]]&gt;Table2[[#This Row],[DueDate]],"Late",IF(Table2[[#This Row],[ReceivedDate]]&lt;Table2[[#This Row],[DueDate]],"Early","On Time")))</f>
        <v>On Time</v>
      </c>
    </row>
    <row r="782" spans="1:10" x14ac:dyDescent="0.3">
      <c r="A782" t="s">
        <v>803</v>
      </c>
      <c r="B782" t="s">
        <v>10</v>
      </c>
      <c r="C782" s="1">
        <v>44938</v>
      </c>
      <c r="D782" s="1">
        <v>44983</v>
      </c>
      <c r="E782" s="2">
        <v>5553.31</v>
      </c>
      <c r="F782" t="s">
        <v>19</v>
      </c>
      <c r="G782" t="s">
        <v>21</v>
      </c>
      <c r="H782" s="1">
        <v>44983</v>
      </c>
      <c r="I782" t="s">
        <v>13</v>
      </c>
      <c r="J782" t="str">
        <f>IF(ISBLANK(Table2[[#This Row],[ReceivedDate]]),"Unpaid",IF(Table2[[#This Row],[ReceivedDate]]&gt;Table2[[#This Row],[DueDate]],"Late",IF(Table2[[#This Row],[ReceivedDate]]&lt;Table2[[#This Row],[DueDate]],"Early","On Time")))</f>
        <v>On Time</v>
      </c>
    </row>
    <row r="783" spans="1:10" x14ac:dyDescent="0.3">
      <c r="A783" t="s">
        <v>804</v>
      </c>
      <c r="B783" t="s">
        <v>25</v>
      </c>
      <c r="C783" s="1">
        <v>45339</v>
      </c>
      <c r="D783" s="1">
        <v>45384</v>
      </c>
      <c r="E783" s="2">
        <v>1061.81</v>
      </c>
      <c r="F783" t="s">
        <v>28</v>
      </c>
      <c r="G783" t="s">
        <v>12</v>
      </c>
      <c r="I783" t="s">
        <v>13</v>
      </c>
      <c r="J783" t="str">
        <f>IF(ISBLANK(Table2[[#This Row],[ReceivedDate]]),"Unpaid",IF(Table2[[#This Row],[ReceivedDate]]&gt;Table2[[#This Row],[DueDate]],"Late",IF(Table2[[#This Row],[ReceivedDate]]&lt;Table2[[#This Row],[DueDate]],"Early","On Time")))</f>
        <v>Unpaid</v>
      </c>
    </row>
    <row r="784" spans="1:10" x14ac:dyDescent="0.3">
      <c r="A784" t="s">
        <v>805</v>
      </c>
      <c r="B784" t="s">
        <v>23</v>
      </c>
      <c r="C784" s="1">
        <v>45512</v>
      </c>
      <c r="D784" s="1">
        <v>45557</v>
      </c>
      <c r="E784" s="2">
        <v>7675.26</v>
      </c>
      <c r="F784" t="s">
        <v>26</v>
      </c>
      <c r="G784" t="s">
        <v>21</v>
      </c>
      <c r="H784" s="1">
        <v>45557</v>
      </c>
      <c r="I784" t="s">
        <v>13</v>
      </c>
      <c r="J784" t="str">
        <f>IF(ISBLANK(Table2[[#This Row],[ReceivedDate]]),"Unpaid",IF(Table2[[#This Row],[ReceivedDate]]&gt;Table2[[#This Row],[DueDate]],"Late",IF(Table2[[#This Row],[ReceivedDate]]&lt;Table2[[#This Row],[DueDate]],"Early","On Time")))</f>
        <v>On Time</v>
      </c>
    </row>
    <row r="785" spans="1:10" x14ac:dyDescent="0.3">
      <c r="A785" t="s">
        <v>806</v>
      </c>
      <c r="B785" t="s">
        <v>23</v>
      </c>
      <c r="C785" s="1">
        <v>45633</v>
      </c>
      <c r="D785" s="1">
        <v>45678</v>
      </c>
      <c r="E785" s="2">
        <v>3464.63</v>
      </c>
      <c r="F785" t="s">
        <v>28</v>
      </c>
      <c r="G785" t="s">
        <v>17</v>
      </c>
      <c r="I785" t="s">
        <v>13</v>
      </c>
      <c r="J785" t="str">
        <f>IF(ISBLANK(Table2[[#This Row],[ReceivedDate]]),"Unpaid",IF(Table2[[#This Row],[ReceivedDate]]&gt;Table2[[#This Row],[DueDate]],"Late",IF(Table2[[#This Row],[ReceivedDate]]&lt;Table2[[#This Row],[DueDate]],"Early","On Time")))</f>
        <v>Unpaid</v>
      </c>
    </row>
    <row r="786" spans="1:10" x14ac:dyDescent="0.3">
      <c r="A786" t="s">
        <v>807</v>
      </c>
      <c r="B786" t="s">
        <v>15</v>
      </c>
      <c r="C786" s="1">
        <v>45292</v>
      </c>
      <c r="D786" s="1">
        <v>45337</v>
      </c>
      <c r="E786" s="2">
        <v>3760.84</v>
      </c>
      <c r="F786" t="s">
        <v>16</v>
      </c>
      <c r="G786" t="s">
        <v>21</v>
      </c>
      <c r="H786" s="1">
        <v>45337</v>
      </c>
      <c r="I786" t="s">
        <v>13</v>
      </c>
      <c r="J786" t="str">
        <f>IF(ISBLANK(Table2[[#This Row],[ReceivedDate]]),"Unpaid",IF(Table2[[#This Row],[ReceivedDate]]&gt;Table2[[#This Row],[DueDate]],"Late",IF(Table2[[#This Row],[ReceivedDate]]&lt;Table2[[#This Row],[DueDate]],"Early","On Time")))</f>
        <v>On Time</v>
      </c>
    </row>
    <row r="787" spans="1:10" x14ac:dyDescent="0.3">
      <c r="A787" t="s">
        <v>808</v>
      </c>
      <c r="B787" t="s">
        <v>30</v>
      </c>
      <c r="C787" s="1">
        <v>44985</v>
      </c>
      <c r="D787" s="1">
        <v>45030</v>
      </c>
      <c r="E787" s="2">
        <v>3807.09</v>
      </c>
      <c r="F787" t="s">
        <v>11</v>
      </c>
      <c r="G787" t="s">
        <v>21</v>
      </c>
      <c r="H787" s="1">
        <v>45030</v>
      </c>
      <c r="I787" t="s">
        <v>13</v>
      </c>
      <c r="J787" t="str">
        <f>IF(ISBLANK(Table2[[#This Row],[ReceivedDate]]),"Unpaid",IF(Table2[[#This Row],[ReceivedDate]]&gt;Table2[[#This Row],[DueDate]],"Late",IF(Table2[[#This Row],[ReceivedDate]]&lt;Table2[[#This Row],[DueDate]],"Early","On Time")))</f>
        <v>On Time</v>
      </c>
    </row>
    <row r="788" spans="1:10" x14ac:dyDescent="0.3">
      <c r="A788" t="s">
        <v>809</v>
      </c>
      <c r="B788" t="s">
        <v>15</v>
      </c>
      <c r="C788" s="1">
        <v>45596</v>
      </c>
      <c r="D788" s="1">
        <v>45641</v>
      </c>
      <c r="E788" s="2">
        <v>686.86</v>
      </c>
      <c r="F788" t="s">
        <v>19</v>
      </c>
      <c r="G788" t="s">
        <v>12</v>
      </c>
      <c r="I788" t="s">
        <v>13</v>
      </c>
      <c r="J788" t="str">
        <f>IF(ISBLANK(Table2[[#This Row],[ReceivedDate]]),"Unpaid",IF(Table2[[#This Row],[ReceivedDate]]&gt;Table2[[#This Row],[DueDate]],"Late",IF(Table2[[#This Row],[ReceivedDate]]&lt;Table2[[#This Row],[DueDate]],"Early","On Time")))</f>
        <v>Unpaid</v>
      </c>
    </row>
    <row r="789" spans="1:10" x14ac:dyDescent="0.3">
      <c r="A789" t="s">
        <v>810</v>
      </c>
      <c r="B789" t="s">
        <v>15</v>
      </c>
      <c r="C789" s="1">
        <v>45630</v>
      </c>
      <c r="D789" s="1">
        <v>45675</v>
      </c>
      <c r="E789" s="2">
        <v>6790.46</v>
      </c>
      <c r="F789" t="s">
        <v>26</v>
      </c>
      <c r="G789" t="s">
        <v>21</v>
      </c>
      <c r="H789" s="1">
        <v>45675</v>
      </c>
      <c r="I789" t="s">
        <v>13</v>
      </c>
      <c r="J789" t="str">
        <f>IF(ISBLANK(Table2[[#This Row],[ReceivedDate]]),"Unpaid",IF(Table2[[#This Row],[ReceivedDate]]&gt;Table2[[#This Row],[DueDate]],"Late",IF(Table2[[#This Row],[ReceivedDate]]&lt;Table2[[#This Row],[DueDate]],"Early","On Time")))</f>
        <v>On Time</v>
      </c>
    </row>
    <row r="790" spans="1:10" x14ac:dyDescent="0.3">
      <c r="A790" t="s">
        <v>811</v>
      </c>
      <c r="B790" t="s">
        <v>23</v>
      </c>
      <c r="C790" s="1">
        <v>45453</v>
      </c>
      <c r="D790" s="1">
        <v>45498</v>
      </c>
      <c r="E790" s="2">
        <v>7091.17</v>
      </c>
      <c r="F790" t="s">
        <v>28</v>
      </c>
      <c r="G790" t="s">
        <v>17</v>
      </c>
      <c r="I790" t="s">
        <v>13</v>
      </c>
      <c r="J790" t="str">
        <f>IF(ISBLANK(Table2[[#This Row],[ReceivedDate]]),"Unpaid",IF(Table2[[#This Row],[ReceivedDate]]&gt;Table2[[#This Row],[DueDate]],"Late",IF(Table2[[#This Row],[ReceivedDate]]&lt;Table2[[#This Row],[DueDate]],"Early","On Time")))</f>
        <v>Unpaid</v>
      </c>
    </row>
    <row r="791" spans="1:10" x14ac:dyDescent="0.3">
      <c r="A791" t="s">
        <v>812</v>
      </c>
      <c r="B791" t="s">
        <v>30</v>
      </c>
      <c r="C791" s="1">
        <v>45405</v>
      </c>
      <c r="D791" s="1">
        <v>45450</v>
      </c>
      <c r="E791" s="2">
        <v>7699.12</v>
      </c>
      <c r="F791" t="s">
        <v>11</v>
      </c>
      <c r="G791" t="s">
        <v>12</v>
      </c>
      <c r="I791" t="s">
        <v>13</v>
      </c>
      <c r="J791" t="str">
        <f>IF(ISBLANK(Table2[[#This Row],[ReceivedDate]]),"Unpaid",IF(Table2[[#This Row],[ReceivedDate]]&gt;Table2[[#This Row],[DueDate]],"Late",IF(Table2[[#This Row],[ReceivedDate]]&lt;Table2[[#This Row],[DueDate]],"Early","On Time")))</f>
        <v>Unpaid</v>
      </c>
    </row>
    <row r="792" spans="1:10" x14ac:dyDescent="0.3">
      <c r="A792" t="s">
        <v>813</v>
      </c>
      <c r="B792" t="s">
        <v>30</v>
      </c>
      <c r="C792" s="1">
        <v>45744</v>
      </c>
      <c r="D792" s="1">
        <v>45789</v>
      </c>
      <c r="E792" s="2">
        <v>5087.32</v>
      </c>
      <c r="F792" t="s">
        <v>19</v>
      </c>
      <c r="G792" t="s">
        <v>21</v>
      </c>
      <c r="H792" s="1">
        <v>45789</v>
      </c>
      <c r="I792" t="s">
        <v>13</v>
      </c>
      <c r="J792" t="str">
        <f>IF(ISBLANK(Table2[[#This Row],[ReceivedDate]]),"Unpaid",IF(Table2[[#This Row],[ReceivedDate]]&gt;Table2[[#This Row],[DueDate]],"Late",IF(Table2[[#This Row],[ReceivedDate]]&lt;Table2[[#This Row],[DueDate]],"Early","On Time")))</f>
        <v>On Time</v>
      </c>
    </row>
    <row r="793" spans="1:10" x14ac:dyDescent="0.3">
      <c r="A793" t="s">
        <v>814</v>
      </c>
      <c r="B793" t="s">
        <v>23</v>
      </c>
      <c r="C793" s="1">
        <v>45010</v>
      </c>
      <c r="D793" s="1">
        <v>45055</v>
      </c>
      <c r="E793" s="2">
        <v>2075.5</v>
      </c>
      <c r="F793" t="s">
        <v>19</v>
      </c>
      <c r="G793" t="s">
        <v>12</v>
      </c>
      <c r="I793" t="s">
        <v>13</v>
      </c>
      <c r="J793" t="str">
        <f>IF(ISBLANK(Table2[[#This Row],[ReceivedDate]]),"Unpaid",IF(Table2[[#This Row],[ReceivedDate]]&gt;Table2[[#This Row],[DueDate]],"Late",IF(Table2[[#This Row],[ReceivedDate]]&lt;Table2[[#This Row],[DueDate]],"Early","On Time")))</f>
        <v>Unpaid</v>
      </c>
    </row>
    <row r="794" spans="1:10" x14ac:dyDescent="0.3">
      <c r="A794" t="s">
        <v>815</v>
      </c>
      <c r="B794" t="s">
        <v>23</v>
      </c>
      <c r="C794" s="1">
        <v>45475</v>
      </c>
      <c r="D794" s="1">
        <v>45520</v>
      </c>
      <c r="E794" s="2">
        <v>1547.05</v>
      </c>
      <c r="F794" t="s">
        <v>26</v>
      </c>
      <c r="G794" t="s">
        <v>17</v>
      </c>
      <c r="I794" t="s">
        <v>13</v>
      </c>
      <c r="J794" t="str">
        <f>IF(ISBLANK(Table2[[#This Row],[ReceivedDate]]),"Unpaid",IF(Table2[[#This Row],[ReceivedDate]]&gt;Table2[[#This Row],[DueDate]],"Late",IF(Table2[[#This Row],[ReceivedDate]]&lt;Table2[[#This Row],[DueDate]],"Early","On Time")))</f>
        <v>Unpaid</v>
      </c>
    </row>
    <row r="795" spans="1:10" x14ac:dyDescent="0.3">
      <c r="A795" t="s">
        <v>816</v>
      </c>
      <c r="B795" t="s">
        <v>23</v>
      </c>
      <c r="C795" s="1">
        <v>45767</v>
      </c>
      <c r="D795" s="1">
        <v>45812</v>
      </c>
      <c r="E795" s="2">
        <v>200.4</v>
      </c>
      <c r="F795" t="s">
        <v>16</v>
      </c>
      <c r="G795" t="s">
        <v>12</v>
      </c>
      <c r="I795" t="s">
        <v>13</v>
      </c>
      <c r="J795" t="str">
        <f>IF(ISBLANK(Table2[[#This Row],[ReceivedDate]]),"Unpaid",IF(Table2[[#This Row],[ReceivedDate]]&gt;Table2[[#This Row],[DueDate]],"Late",IF(Table2[[#This Row],[ReceivedDate]]&lt;Table2[[#This Row],[DueDate]],"Early","On Time")))</f>
        <v>Unpaid</v>
      </c>
    </row>
    <row r="796" spans="1:10" x14ac:dyDescent="0.3">
      <c r="A796" t="s">
        <v>817</v>
      </c>
      <c r="B796" t="s">
        <v>25</v>
      </c>
      <c r="C796" s="1">
        <v>45161</v>
      </c>
      <c r="D796" s="1">
        <v>45206</v>
      </c>
      <c r="E796" s="2">
        <v>1095.1199999999999</v>
      </c>
      <c r="F796" t="s">
        <v>11</v>
      </c>
      <c r="G796" t="s">
        <v>12</v>
      </c>
      <c r="I796" t="s">
        <v>13</v>
      </c>
      <c r="J796" t="str">
        <f>IF(ISBLANK(Table2[[#This Row],[ReceivedDate]]),"Unpaid",IF(Table2[[#This Row],[ReceivedDate]]&gt;Table2[[#This Row],[DueDate]],"Late",IF(Table2[[#This Row],[ReceivedDate]]&lt;Table2[[#This Row],[DueDate]],"Early","On Time")))</f>
        <v>Unpaid</v>
      </c>
    </row>
    <row r="797" spans="1:10" x14ac:dyDescent="0.3">
      <c r="A797" t="s">
        <v>818</v>
      </c>
      <c r="B797" t="s">
        <v>10</v>
      </c>
      <c r="C797" s="1">
        <v>44972</v>
      </c>
      <c r="D797" s="1">
        <v>45017</v>
      </c>
      <c r="E797" s="2">
        <v>674.83</v>
      </c>
      <c r="F797" t="s">
        <v>28</v>
      </c>
      <c r="G797" t="s">
        <v>17</v>
      </c>
      <c r="I797" t="s">
        <v>13</v>
      </c>
      <c r="J797" t="str">
        <f>IF(ISBLANK(Table2[[#This Row],[ReceivedDate]]),"Unpaid",IF(Table2[[#This Row],[ReceivedDate]]&gt;Table2[[#This Row],[DueDate]],"Late",IF(Table2[[#This Row],[ReceivedDate]]&lt;Table2[[#This Row],[DueDate]],"Early","On Time")))</f>
        <v>Unpaid</v>
      </c>
    </row>
    <row r="798" spans="1:10" x14ac:dyDescent="0.3">
      <c r="A798" t="s">
        <v>819</v>
      </c>
      <c r="B798" t="s">
        <v>25</v>
      </c>
      <c r="C798" s="1">
        <v>45580</v>
      </c>
      <c r="D798" s="1">
        <v>45625</v>
      </c>
      <c r="E798" s="2">
        <v>631.80999999999995</v>
      </c>
      <c r="F798" t="s">
        <v>26</v>
      </c>
      <c r="G798" t="s">
        <v>12</v>
      </c>
      <c r="I798" t="s">
        <v>13</v>
      </c>
      <c r="J798" t="str">
        <f>IF(ISBLANK(Table2[[#This Row],[ReceivedDate]]),"Unpaid",IF(Table2[[#This Row],[ReceivedDate]]&gt;Table2[[#This Row],[DueDate]],"Late",IF(Table2[[#This Row],[ReceivedDate]]&lt;Table2[[#This Row],[DueDate]],"Early","On Time")))</f>
        <v>Unpaid</v>
      </c>
    </row>
    <row r="799" spans="1:10" x14ac:dyDescent="0.3">
      <c r="A799" t="s">
        <v>820</v>
      </c>
      <c r="B799" t="s">
        <v>25</v>
      </c>
      <c r="C799" s="1">
        <v>45208</v>
      </c>
      <c r="D799" s="1">
        <v>45253</v>
      </c>
      <c r="E799" s="2">
        <v>6298.56</v>
      </c>
      <c r="F799" t="s">
        <v>19</v>
      </c>
      <c r="G799" t="s">
        <v>17</v>
      </c>
      <c r="I799" t="s">
        <v>13</v>
      </c>
      <c r="J799" t="str">
        <f>IF(ISBLANK(Table2[[#This Row],[ReceivedDate]]),"Unpaid",IF(Table2[[#This Row],[ReceivedDate]]&gt;Table2[[#This Row],[DueDate]],"Late",IF(Table2[[#This Row],[ReceivedDate]]&lt;Table2[[#This Row],[DueDate]],"Early","On Time")))</f>
        <v>Unpaid</v>
      </c>
    </row>
    <row r="800" spans="1:10" x14ac:dyDescent="0.3">
      <c r="A800" t="s">
        <v>821</v>
      </c>
      <c r="B800" t="s">
        <v>23</v>
      </c>
      <c r="C800" s="1">
        <v>45346</v>
      </c>
      <c r="D800" s="1">
        <v>45391</v>
      </c>
      <c r="E800" s="2">
        <v>340.12</v>
      </c>
      <c r="F800" t="s">
        <v>26</v>
      </c>
      <c r="G800" t="s">
        <v>12</v>
      </c>
      <c r="I800" t="s">
        <v>13</v>
      </c>
      <c r="J800" t="str">
        <f>IF(ISBLANK(Table2[[#This Row],[ReceivedDate]]),"Unpaid",IF(Table2[[#This Row],[ReceivedDate]]&gt;Table2[[#This Row],[DueDate]],"Late",IF(Table2[[#This Row],[ReceivedDate]]&lt;Table2[[#This Row],[DueDate]],"Early","On Time")))</f>
        <v>Unpaid</v>
      </c>
    </row>
    <row r="801" spans="1:10" x14ac:dyDescent="0.3">
      <c r="A801" t="s">
        <v>822</v>
      </c>
      <c r="B801" t="s">
        <v>15</v>
      </c>
      <c r="C801" s="1">
        <v>44993</v>
      </c>
      <c r="D801" s="1">
        <v>45038</v>
      </c>
      <c r="E801" s="2">
        <v>3782.01</v>
      </c>
      <c r="F801" t="s">
        <v>19</v>
      </c>
      <c r="G801" t="s">
        <v>17</v>
      </c>
      <c r="I801" t="s">
        <v>13</v>
      </c>
      <c r="J801" t="str">
        <f>IF(ISBLANK(Table2[[#This Row],[ReceivedDate]]),"Unpaid",IF(Table2[[#This Row],[ReceivedDate]]&gt;Table2[[#This Row],[DueDate]],"Late",IF(Table2[[#This Row],[ReceivedDate]]&lt;Table2[[#This Row],[DueDate]],"Early","On Time")))</f>
        <v>Unpaid</v>
      </c>
    </row>
    <row r="802" spans="1:10" x14ac:dyDescent="0.3">
      <c r="A802" t="s">
        <v>823</v>
      </c>
      <c r="B802" t="s">
        <v>25</v>
      </c>
      <c r="C802" s="1">
        <v>45300</v>
      </c>
      <c r="D802" s="1">
        <v>45345</v>
      </c>
      <c r="E802" s="2">
        <v>1451.63</v>
      </c>
      <c r="F802" t="s">
        <v>16</v>
      </c>
      <c r="G802" t="s">
        <v>21</v>
      </c>
      <c r="H802" s="1">
        <v>45345</v>
      </c>
      <c r="I802" t="s">
        <v>13</v>
      </c>
      <c r="J802" t="str">
        <f>IF(ISBLANK(Table2[[#This Row],[ReceivedDate]]),"Unpaid",IF(Table2[[#This Row],[ReceivedDate]]&gt;Table2[[#This Row],[DueDate]],"Late",IF(Table2[[#This Row],[ReceivedDate]]&lt;Table2[[#This Row],[DueDate]],"Early","On Time")))</f>
        <v>On Time</v>
      </c>
    </row>
    <row r="803" spans="1:10" x14ac:dyDescent="0.3">
      <c r="A803" t="s">
        <v>824</v>
      </c>
      <c r="B803" t="s">
        <v>23</v>
      </c>
      <c r="C803" s="1">
        <v>45011</v>
      </c>
      <c r="D803" s="1">
        <v>45056</v>
      </c>
      <c r="E803" s="2">
        <v>1981.05</v>
      </c>
      <c r="F803" t="s">
        <v>26</v>
      </c>
      <c r="G803" t="s">
        <v>21</v>
      </c>
      <c r="H803" s="1">
        <v>45056</v>
      </c>
      <c r="I803" t="s">
        <v>13</v>
      </c>
      <c r="J803" t="str">
        <f>IF(ISBLANK(Table2[[#This Row],[ReceivedDate]]),"Unpaid",IF(Table2[[#This Row],[ReceivedDate]]&gt;Table2[[#This Row],[DueDate]],"Late",IF(Table2[[#This Row],[ReceivedDate]]&lt;Table2[[#This Row],[DueDate]],"Early","On Time")))</f>
        <v>On Time</v>
      </c>
    </row>
    <row r="804" spans="1:10" x14ac:dyDescent="0.3">
      <c r="A804" t="s">
        <v>825</v>
      </c>
      <c r="B804" t="s">
        <v>23</v>
      </c>
      <c r="C804" s="1">
        <v>45021</v>
      </c>
      <c r="D804" s="1">
        <v>45066</v>
      </c>
      <c r="E804" s="2">
        <v>2705.53</v>
      </c>
      <c r="F804" t="s">
        <v>26</v>
      </c>
      <c r="G804" t="s">
        <v>12</v>
      </c>
      <c r="I804" t="s">
        <v>13</v>
      </c>
      <c r="J804" t="str">
        <f>IF(ISBLANK(Table2[[#This Row],[ReceivedDate]]),"Unpaid",IF(Table2[[#This Row],[ReceivedDate]]&gt;Table2[[#This Row],[DueDate]],"Late",IF(Table2[[#This Row],[ReceivedDate]]&lt;Table2[[#This Row],[DueDate]],"Early","On Time")))</f>
        <v>Unpaid</v>
      </c>
    </row>
    <row r="805" spans="1:10" x14ac:dyDescent="0.3">
      <c r="A805" t="s">
        <v>826</v>
      </c>
      <c r="B805" t="s">
        <v>15</v>
      </c>
      <c r="C805" s="1">
        <v>44979</v>
      </c>
      <c r="D805" s="1">
        <v>45024</v>
      </c>
      <c r="E805" s="2">
        <v>3205.57</v>
      </c>
      <c r="F805" t="s">
        <v>11</v>
      </c>
      <c r="G805" t="s">
        <v>21</v>
      </c>
      <c r="H805" s="1">
        <v>45024</v>
      </c>
      <c r="I805" t="s">
        <v>13</v>
      </c>
      <c r="J805" t="str">
        <f>IF(ISBLANK(Table2[[#This Row],[ReceivedDate]]),"Unpaid",IF(Table2[[#This Row],[ReceivedDate]]&gt;Table2[[#This Row],[DueDate]],"Late",IF(Table2[[#This Row],[ReceivedDate]]&lt;Table2[[#This Row],[DueDate]],"Early","On Time")))</f>
        <v>On Time</v>
      </c>
    </row>
    <row r="806" spans="1:10" x14ac:dyDescent="0.3">
      <c r="A806" t="s">
        <v>827</v>
      </c>
      <c r="B806" t="s">
        <v>23</v>
      </c>
      <c r="C806" s="1">
        <v>45754</v>
      </c>
      <c r="D806" s="1">
        <v>45799</v>
      </c>
      <c r="E806" s="2">
        <v>1545.02</v>
      </c>
      <c r="F806" t="s">
        <v>11</v>
      </c>
      <c r="G806" t="s">
        <v>12</v>
      </c>
      <c r="I806" t="s">
        <v>13</v>
      </c>
      <c r="J806" t="str">
        <f>IF(ISBLANK(Table2[[#This Row],[ReceivedDate]]),"Unpaid",IF(Table2[[#This Row],[ReceivedDate]]&gt;Table2[[#This Row],[DueDate]],"Late",IF(Table2[[#This Row],[ReceivedDate]]&lt;Table2[[#This Row],[DueDate]],"Early","On Time")))</f>
        <v>Unpaid</v>
      </c>
    </row>
    <row r="807" spans="1:10" x14ac:dyDescent="0.3">
      <c r="A807" t="s">
        <v>828</v>
      </c>
      <c r="B807" t="s">
        <v>23</v>
      </c>
      <c r="C807" s="1">
        <v>45212</v>
      </c>
      <c r="D807" s="1">
        <v>45257</v>
      </c>
      <c r="E807" s="2">
        <v>2254.5500000000002</v>
      </c>
      <c r="F807" t="s">
        <v>19</v>
      </c>
      <c r="G807" t="s">
        <v>17</v>
      </c>
      <c r="I807" t="s">
        <v>13</v>
      </c>
      <c r="J807" t="str">
        <f>IF(ISBLANK(Table2[[#This Row],[ReceivedDate]]),"Unpaid",IF(Table2[[#This Row],[ReceivedDate]]&gt;Table2[[#This Row],[DueDate]],"Late",IF(Table2[[#This Row],[ReceivedDate]]&lt;Table2[[#This Row],[DueDate]],"Early","On Time")))</f>
        <v>Unpaid</v>
      </c>
    </row>
    <row r="808" spans="1:10" x14ac:dyDescent="0.3">
      <c r="A808" t="s">
        <v>829</v>
      </c>
      <c r="B808" t="s">
        <v>10</v>
      </c>
      <c r="C808" s="1">
        <v>45036</v>
      </c>
      <c r="D808" s="1">
        <v>45081</v>
      </c>
      <c r="E808" s="2">
        <v>4375.79</v>
      </c>
      <c r="F808" t="s">
        <v>11</v>
      </c>
      <c r="G808" t="s">
        <v>21</v>
      </c>
      <c r="H808" s="1">
        <v>45081</v>
      </c>
      <c r="I808" t="s">
        <v>13</v>
      </c>
      <c r="J808" t="str">
        <f>IF(ISBLANK(Table2[[#This Row],[ReceivedDate]]),"Unpaid",IF(Table2[[#This Row],[ReceivedDate]]&gt;Table2[[#This Row],[DueDate]],"Late",IF(Table2[[#This Row],[ReceivedDate]]&lt;Table2[[#This Row],[DueDate]],"Early","On Time")))</f>
        <v>On Time</v>
      </c>
    </row>
    <row r="809" spans="1:10" x14ac:dyDescent="0.3">
      <c r="A809" t="s">
        <v>830</v>
      </c>
      <c r="B809" t="s">
        <v>23</v>
      </c>
      <c r="C809" s="1">
        <v>45217</v>
      </c>
      <c r="D809" s="1">
        <v>45262</v>
      </c>
      <c r="E809" s="2">
        <v>4432.12</v>
      </c>
      <c r="F809" t="s">
        <v>26</v>
      </c>
      <c r="G809" t="s">
        <v>21</v>
      </c>
      <c r="H809" s="1">
        <v>45262</v>
      </c>
      <c r="I809" t="s">
        <v>13</v>
      </c>
      <c r="J809" t="str">
        <f>IF(ISBLANK(Table2[[#This Row],[ReceivedDate]]),"Unpaid",IF(Table2[[#This Row],[ReceivedDate]]&gt;Table2[[#This Row],[DueDate]],"Late",IF(Table2[[#This Row],[ReceivedDate]]&lt;Table2[[#This Row],[DueDate]],"Early","On Time")))</f>
        <v>On Time</v>
      </c>
    </row>
    <row r="810" spans="1:10" x14ac:dyDescent="0.3">
      <c r="A810" t="s">
        <v>831</v>
      </c>
      <c r="B810" t="s">
        <v>23</v>
      </c>
      <c r="C810" s="1">
        <v>45141</v>
      </c>
      <c r="D810" s="1">
        <v>45186</v>
      </c>
      <c r="E810" s="2">
        <v>4568.71</v>
      </c>
      <c r="F810" t="s">
        <v>16</v>
      </c>
      <c r="G810" t="s">
        <v>12</v>
      </c>
      <c r="I810" t="s">
        <v>13</v>
      </c>
      <c r="J810" t="str">
        <f>IF(ISBLANK(Table2[[#This Row],[ReceivedDate]]),"Unpaid",IF(Table2[[#This Row],[ReceivedDate]]&gt;Table2[[#This Row],[DueDate]],"Late",IF(Table2[[#This Row],[ReceivedDate]]&lt;Table2[[#This Row],[DueDate]],"Early","On Time")))</f>
        <v>Unpaid</v>
      </c>
    </row>
    <row r="811" spans="1:10" x14ac:dyDescent="0.3">
      <c r="A811" t="s">
        <v>832</v>
      </c>
      <c r="B811" t="s">
        <v>25</v>
      </c>
      <c r="C811" s="1">
        <v>45284</v>
      </c>
      <c r="D811" s="1">
        <v>45329</v>
      </c>
      <c r="E811" s="2">
        <v>1773.02</v>
      </c>
      <c r="F811" t="s">
        <v>19</v>
      </c>
      <c r="G811" t="s">
        <v>21</v>
      </c>
      <c r="H811" s="1">
        <v>45329</v>
      </c>
      <c r="I811" t="s">
        <v>13</v>
      </c>
      <c r="J811" t="str">
        <f>IF(ISBLANK(Table2[[#This Row],[ReceivedDate]]),"Unpaid",IF(Table2[[#This Row],[ReceivedDate]]&gt;Table2[[#This Row],[DueDate]],"Late",IF(Table2[[#This Row],[ReceivedDate]]&lt;Table2[[#This Row],[DueDate]],"Early","On Time")))</f>
        <v>On Time</v>
      </c>
    </row>
    <row r="812" spans="1:10" x14ac:dyDescent="0.3">
      <c r="A812" t="s">
        <v>833</v>
      </c>
      <c r="B812" t="s">
        <v>25</v>
      </c>
      <c r="C812" s="1">
        <v>44938</v>
      </c>
      <c r="D812" s="1">
        <v>44983</v>
      </c>
      <c r="E812" s="2">
        <v>4728.13</v>
      </c>
      <c r="F812" t="s">
        <v>26</v>
      </c>
      <c r="G812" t="s">
        <v>21</v>
      </c>
      <c r="H812" s="1">
        <v>44983</v>
      </c>
      <c r="I812" t="s">
        <v>13</v>
      </c>
      <c r="J812" t="str">
        <f>IF(ISBLANK(Table2[[#This Row],[ReceivedDate]]),"Unpaid",IF(Table2[[#This Row],[ReceivedDate]]&gt;Table2[[#This Row],[DueDate]],"Late",IF(Table2[[#This Row],[ReceivedDate]]&lt;Table2[[#This Row],[DueDate]],"Early","On Time")))</f>
        <v>On Time</v>
      </c>
    </row>
    <row r="813" spans="1:10" x14ac:dyDescent="0.3">
      <c r="A813" t="s">
        <v>834</v>
      </c>
      <c r="B813" t="s">
        <v>23</v>
      </c>
      <c r="C813" s="1">
        <v>44985</v>
      </c>
      <c r="D813" s="1">
        <v>45030</v>
      </c>
      <c r="E813" s="2">
        <v>6487.26</v>
      </c>
      <c r="F813" t="s">
        <v>26</v>
      </c>
      <c r="G813" t="s">
        <v>17</v>
      </c>
      <c r="I813" t="s">
        <v>13</v>
      </c>
      <c r="J813" t="str">
        <f>IF(ISBLANK(Table2[[#This Row],[ReceivedDate]]),"Unpaid",IF(Table2[[#This Row],[ReceivedDate]]&gt;Table2[[#This Row],[DueDate]],"Late",IF(Table2[[#This Row],[ReceivedDate]]&lt;Table2[[#This Row],[DueDate]],"Early","On Time")))</f>
        <v>Unpaid</v>
      </c>
    </row>
    <row r="814" spans="1:10" x14ac:dyDescent="0.3">
      <c r="A814" t="s">
        <v>835</v>
      </c>
      <c r="B814" t="s">
        <v>15</v>
      </c>
      <c r="C814" s="1">
        <v>45226</v>
      </c>
      <c r="D814" s="1">
        <v>45271</v>
      </c>
      <c r="E814" s="2">
        <v>4068.12</v>
      </c>
      <c r="F814" t="s">
        <v>16</v>
      </c>
      <c r="G814" t="s">
        <v>17</v>
      </c>
      <c r="I814" t="s">
        <v>13</v>
      </c>
      <c r="J814" t="str">
        <f>IF(ISBLANK(Table2[[#This Row],[ReceivedDate]]),"Unpaid",IF(Table2[[#This Row],[ReceivedDate]]&gt;Table2[[#This Row],[DueDate]],"Late",IF(Table2[[#This Row],[ReceivedDate]]&lt;Table2[[#This Row],[DueDate]],"Early","On Time")))</f>
        <v>Unpaid</v>
      </c>
    </row>
    <row r="815" spans="1:10" x14ac:dyDescent="0.3">
      <c r="A815" t="s">
        <v>836</v>
      </c>
      <c r="B815" t="s">
        <v>30</v>
      </c>
      <c r="C815" s="1">
        <v>45631</v>
      </c>
      <c r="D815" s="1">
        <v>45676</v>
      </c>
      <c r="E815" s="2">
        <v>6480.06</v>
      </c>
      <c r="F815" t="s">
        <v>19</v>
      </c>
      <c r="G815" t="s">
        <v>12</v>
      </c>
      <c r="I815" t="s">
        <v>13</v>
      </c>
      <c r="J815" t="str">
        <f>IF(ISBLANK(Table2[[#This Row],[ReceivedDate]]),"Unpaid",IF(Table2[[#This Row],[ReceivedDate]]&gt;Table2[[#This Row],[DueDate]],"Late",IF(Table2[[#This Row],[ReceivedDate]]&lt;Table2[[#This Row],[DueDate]],"Early","On Time")))</f>
        <v>Unpaid</v>
      </c>
    </row>
    <row r="816" spans="1:10" x14ac:dyDescent="0.3">
      <c r="A816" t="s">
        <v>837</v>
      </c>
      <c r="B816" t="s">
        <v>10</v>
      </c>
      <c r="C816" s="1">
        <v>45517</v>
      </c>
      <c r="D816" s="1">
        <v>45562</v>
      </c>
      <c r="E816" s="2">
        <v>3518.68</v>
      </c>
      <c r="F816" t="s">
        <v>16</v>
      </c>
      <c r="G816" t="s">
        <v>17</v>
      </c>
      <c r="I816" t="s">
        <v>13</v>
      </c>
      <c r="J816" t="str">
        <f>IF(ISBLANK(Table2[[#This Row],[ReceivedDate]]),"Unpaid",IF(Table2[[#This Row],[ReceivedDate]]&gt;Table2[[#This Row],[DueDate]],"Late",IF(Table2[[#This Row],[ReceivedDate]]&lt;Table2[[#This Row],[DueDate]],"Early","On Time")))</f>
        <v>Unpaid</v>
      </c>
    </row>
    <row r="817" spans="1:10" x14ac:dyDescent="0.3">
      <c r="A817" t="s">
        <v>838</v>
      </c>
      <c r="B817" t="s">
        <v>10</v>
      </c>
      <c r="C817" s="1">
        <v>45304</v>
      </c>
      <c r="D817" s="1">
        <v>45349</v>
      </c>
      <c r="E817" s="2">
        <v>4965.96</v>
      </c>
      <c r="F817" t="s">
        <v>19</v>
      </c>
      <c r="G817" t="s">
        <v>17</v>
      </c>
      <c r="I817" t="s">
        <v>13</v>
      </c>
      <c r="J817" t="str">
        <f>IF(ISBLANK(Table2[[#This Row],[ReceivedDate]]),"Unpaid",IF(Table2[[#This Row],[ReceivedDate]]&gt;Table2[[#This Row],[DueDate]],"Late",IF(Table2[[#This Row],[ReceivedDate]]&lt;Table2[[#This Row],[DueDate]],"Early","On Time")))</f>
        <v>Unpaid</v>
      </c>
    </row>
    <row r="818" spans="1:10" x14ac:dyDescent="0.3">
      <c r="A818" t="s">
        <v>839</v>
      </c>
      <c r="B818" t="s">
        <v>15</v>
      </c>
      <c r="C818" s="1">
        <v>45291</v>
      </c>
      <c r="D818" s="1">
        <v>45336</v>
      </c>
      <c r="E818" s="2">
        <v>4868.8900000000003</v>
      </c>
      <c r="F818" t="s">
        <v>11</v>
      </c>
      <c r="G818" t="s">
        <v>12</v>
      </c>
      <c r="I818" t="s">
        <v>13</v>
      </c>
      <c r="J818" t="str">
        <f>IF(ISBLANK(Table2[[#This Row],[ReceivedDate]]),"Unpaid",IF(Table2[[#This Row],[ReceivedDate]]&gt;Table2[[#This Row],[DueDate]],"Late",IF(Table2[[#This Row],[ReceivedDate]]&lt;Table2[[#This Row],[DueDate]],"Early","On Time")))</f>
        <v>Unpaid</v>
      </c>
    </row>
    <row r="819" spans="1:10" x14ac:dyDescent="0.3">
      <c r="A819" t="s">
        <v>840</v>
      </c>
      <c r="B819" t="s">
        <v>15</v>
      </c>
      <c r="C819" s="1">
        <v>45362</v>
      </c>
      <c r="D819" s="1">
        <v>45407</v>
      </c>
      <c r="E819" s="2">
        <v>4916.9799999999996</v>
      </c>
      <c r="F819" t="s">
        <v>11</v>
      </c>
      <c r="G819" t="s">
        <v>21</v>
      </c>
      <c r="H819" s="1">
        <v>45407</v>
      </c>
      <c r="I819" t="s">
        <v>13</v>
      </c>
      <c r="J819" t="str">
        <f>IF(ISBLANK(Table2[[#This Row],[ReceivedDate]]),"Unpaid",IF(Table2[[#This Row],[ReceivedDate]]&gt;Table2[[#This Row],[DueDate]],"Late",IF(Table2[[#This Row],[ReceivedDate]]&lt;Table2[[#This Row],[DueDate]],"Early","On Time")))</f>
        <v>On Time</v>
      </c>
    </row>
    <row r="820" spans="1:10" x14ac:dyDescent="0.3">
      <c r="A820" t="s">
        <v>841</v>
      </c>
      <c r="B820" t="s">
        <v>10</v>
      </c>
      <c r="C820" s="1">
        <v>45470</v>
      </c>
      <c r="D820" s="1">
        <v>45515</v>
      </c>
      <c r="E820" s="2">
        <v>3806.24</v>
      </c>
      <c r="F820" t="s">
        <v>19</v>
      </c>
      <c r="G820" t="s">
        <v>21</v>
      </c>
      <c r="H820" s="1">
        <v>45515</v>
      </c>
      <c r="I820" t="s">
        <v>13</v>
      </c>
      <c r="J820" t="str">
        <f>IF(ISBLANK(Table2[[#This Row],[ReceivedDate]]),"Unpaid",IF(Table2[[#This Row],[ReceivedDate]]&gt;Table2[[#This Row],[DueDate]],"Late",IF(Table2[[#This Row],[ReceivedDate]]&lt;Table2[[#This Row],[DueDate]],"Early","On Time")))</f>
        <v>On Time</v>
      </c>
    </row>
    <row r="821" spans="1:10" x14ac:dyDescent="0.3">
      <c r="A821" t="s">
        <v>842</v>
      </c>
      <c r="B821" t="s">
        <v>23</v>
      </c>
      <c r="C821" s="1">
        <v>45814</v>
      </c>
      <c r="D821" s="1">
        <v>45859</v>
      </c>
      <c r="E821" s="2">
        <v>5185.96</v>
      </c>
      <c r="F821" t="s">
        <v>11</v>
      </c>
      <c r="G821" t="s">
        <v>17</v>
      </c>
      <c r="I821" t="s">
        <v>13</v>
      </c>
      <c r="J821" t="str">
        <f>IF(ISBLANK(Table2[[#This Row],[ReceivedDate]]),"Unpaid",IF(Table2[[#This Row],[ReceivedDate]]&gt;Table2[[#This Row],[DueDate]],"Late",IF(Table2[[#This Row],[ReceivedDate]]&lt;Table2[[#This Row],[DueDate]],"Early","On Time")))</f>
        <v>Unpaid</v>
      </c>
    </row>
    <row r="822" spans="1:10" x14ac:dyDescent="0.3">
      <c r="A822" t="s">
        <v>843</v>
      </c>
      <c r="B822" t="s">
        <v>15</v>
      </c>
      <c r="C822" s="1">
        <v>45302</v>
      </c>
      <c r="D822" s="1">
        <v>45347</v>
      </c>
      <c r="E822" s="2">
        <v>4303.5600000000004</v>
      </c>
      <c r="F822" t="s">
        <v>28</v>
      </c>
      <c r="G822" t="s">
        <v>17</v>
      </c>
      <c r="I822" t="s">
        <v>13</v>
      </c>
      <c r="J822" t="str">
        <f>IF(ISBLANK(Table2[[#This Row],[ReceivedDate]]),"Unpaid",IF(Table2[[#This Row],[ReceivedDate]]&gt;Table2[[#This Row],[DueDate]],"Late",IF(Table2[[#This Row],[ReceivedDate]]&lt;Table2[[#This Row],[DueDate]],"Early","On Time")))</f>
        <v>Unpaid</v>
      </c>
    </row>
    <row r="823" spans="1:10" x14ac:dyDescent="0.3">
      <c r="A823" t="s">
        <v>844</v>
      </c>
      <c r="B823" t="s">
        <v>10</v>
      </c>
      <c r="C823" s="1">
        <v>45108</v>
      </c>
      <c r="D823" s="1">
        <v>45153</v>
      </c>
      <c r="E823" s="2">
        <v>6011.5</v>
      </c>
      <c r="F823" t="s">
        <v>11</v>
      </c>
      <c r="G823" t="s">
        <v>17</v>
      </c>
      <c r="I823" t="s">
        <v>13</v>
      </c>
      <c r="J823" t="str">
        <f>IF(ISBLANK(Table2[[#This Row],[ReceivedDate]]),"Unpaid",IF(Table2[[#This Row],[ReceivedDate]]&gt;Table2[[#This Row],[DueDate]],"Late",IF(Table2[[#This Row],[ReceivedDate]]&lt;Table2[[#This Row],[DueDate]],"Early","On Time")))</f>
        <v>Unpaid</v>
      </c>
    </row>
    <row r="824" spans="1:10" x14ac:dyDescent="0.3">
      <c r="A824" t="s">
        <v>845</v>
      </c>
      <c r="B824" t="s">
        <v>25</v>
      </c>
      <c r="C824" s="1">
        <v>45672</v>
      </c>
      <c r="D824" s="1">
        <v>45717</v>
      </c>
      <c r="E824" s="2">
        <v>3111.71</v>
      </c>
      <c r="F824" t="s">
        <v>26</v>
      </c>
      <c r="G824" t="s">
        <v>17</v>
      </c>
      <c r="I824" t="s">
        <v>13</v>
      </c>
      <c r="J824" t="str">
        <f>IF(ISBLANK(Table2[[#This Row],[ReceivedDate]]),"Unpaid",IF(Table2[[#This Row],[ReceivedDate]]&gt;Table2[[#This Row],[DueDate]],"Late",IF(Table2[[#This Row],[ReceivedDate]]&lt;Table2[[#This Row],[DueDate]],"Early","On Time")))</f>
        <v>Unpaid</v>
      </c>
    </row>
    <row r="825" spans="1:10" x14ac:dyDescent="0.3">
      <c r="A825" t="s">
        <v>846</v>
      </c>
      <c r="B825" t="s">
        <v>30</v>
      </c>
      <c r="C825" s="1">
        <v>45618</v>
      </c>
      <c r="D825" s="1">
        <v>45663</v>
      </c>
      <c r="E825" s="2">
        <v>7891.74</v>
      </c>
      <c r="F825" t="s">
        <v>19</v>
      </c>
      <c r="G825" t="s">
        <v>12</v>
      </c>
      <c r="I825" t="s">
        <v>13</v>
      </c>
      <c r="J825" t="str">
        <f>IF(ISBLANK(Table2[[#This Row],[ReceivedDate]]),"Unpaid",IF(Table2[[#This Row],[ReceivedDate]]&gt;Table2[[#This Row],[DueDate]],"Late",IF(Table2[[#This Row],[ReceivedDate]]&lt;Table2[[#This Row],[DueDate]],"Early","On Time")))</f>
        <v>Unpaid</v>
      </c>
    </row>
    <row r="826" spans="1:10" x14ac:dyDescent="0.3">
      <c r="A826" t="s">
        <v>847</v>
      </c>
      <c r="B826" t="s">
        <v>23</v>
      </c>
      <c r="C826" s="1">
        <v>45285</v>
      </c>
      <c r="D826" s="1">
        <v>45330</v>
      </c>
      <c r="E826" s="2">
        <v>4155.67</v>
      </c>
      <c r="F826" t="s">
        <v>11</v>
      </c>
      <c r="G826" t="s">
        <v>12</v>
      </c>
      <c r="I826" t="s">
        <v>13</v>
      </c>
      <c r="J826" t="str">
        <f>IF(ISBLANK(Table2[[#This Row],[ReceivedDate]]),"Unpaid",IF(Table2[[#This Row],[ReceivedDate]]&gt;Table2[[#This Row],[DueDate]],"Late",IF(Table2[[#This Row],[ReceivedDate]]&lt;Table2[[#This Row],[DueDate]],"Early","On Time")))</f>
        <v>Unpaid</v>
      </c>
    </row>
    <row r="827" spans="1:10" x14ac:dyDescent="0.3">
      <c r="A827" t="s">
        <v>848</v>
      </c>
      <c r="B827" t="s">
        <v>25</v>
      </c>
      <c r="C827" s="1">
        <v>45524</v>
      </c>
      <c r="D827" s="1">
        <v>45569</v>
      </c>
      <c r="E827" s="2">
        <v>3416.11</v>
      </c>
      <c r="F827" t="s">
        <v>26</v>
      </c>
      <c r="G827" t="s">
        <v>17</v>
      </c>
      <c r="I827" t="s">
        <v>13</v>
      </c>
      <c r="J827" t="str">
        <f>IF(ISBLANK(Table2[[#This Row],[ReceivedDate]]),"Unpaid",IF(Table2[[#This Row],[ReceivedDate]]&gt;Table2[[#This Row],[DueDate]],"Late",IF(Table2[[#This Row],[ReceivedDate]]&lt;Table2[[#This Row],[DueDate]],"Early","On Time")))</f>
        <v>Unpaid</v>
      </c>
    </row>
    <row r="828" spans="1:10" x14ac:dyDescent="0.3">
      <c r="A828" t="s">
        <v>849</v>
      </c>
      <c r="B828" t="s">
        <v>30</v>
      </c>
      <c r="C828" s="1">
        <v>45768</v>
      </c>
      <c r="D828" s="1">
        <v>45813</v>
      </c>
      <c r="E828" s="2">
        <v>3101.41</v>
      </c>
      <c r="F828" t="s">
        <v>19</v>
      </c>
      <c r="G828" t="s">
        <v>17</v>
      </c>
      <c r="I828" t="s">
        <v>13</v>
      </c>
      <c r="J828" t="str">
        <f>IF(ISBLANK(Table2[[#This Row],[ReceivedDate]]),"Unpaid",IF(Table2[[#This Row],[ReceivedDate]]&gt;Table2[[#This Row],[DueDate]],"Late",IF(Table2[[#This Row],[ReceivedDate]]&lt;Table2[[#This Row],[DueDate]],"Early","On Time")))</f>
        <v>Unpaid</v>
      </c>
    </row>
    <row r="829" spans="1:10" x14ac:dyDescent="0.3">
      <c r="A829" t="s">
        <v>850</v>
      </c>
      <c r="B829" t="s">
        <v>23</v>
      </c>
      <c r="C829" s="1">
        <v>45828</v>
      </c>
      <c r="D829" s="1">
        <v>45873</v>
      </c>
      <c r="E829" s="2">
        <v>4340.3100000000004</v>
      </c>
      <c r="F829" t="s">
        <v>11</v>
      </c>
      <c r="G829" t="s">
        <v>12</v>
      </c>
      <c r="I829" t="s">
        <v>13</v>
      </c>
      <c r="J829" t="str">
        <f>IF(ISBLANK(Table2[[#This Row],[ReceivedDate]]),"Unpaid",IF(Table2[[#This Row],[ReceivedDate]]&gt;Table2[[#This Row],[DueDate]],"Late",IF(Table2[[#This Row],[ReceivedDate]]&lt;Table2[[#This Row],[DueDate]],"Early","On Time")))</f>
        <v>Unpaid</v>
      </c>
    </row>
    <row r="830" spans="1:10" x14ac:dyDescent="0.3">
      <c r="A830" t="s">
        <v>851</v>
      </c>
      <c r="B830" t="s">
        <v>15</v>
      </c>
      <c r="C830" s="1">
        <v>45550</v>
      </c>
      <c r="D830" s="1">
        <v>45595</v>
      </c>
      <c r="E830" s="2">
        <v>3421.13</v>
      </c>
      <c r="F830" t="s">
        <v>11</v>
      </c>
      <c r="G830" t="s">
        <v>21</v>
      </c>
      <c r="H830" s="1">
        <v>45595</v>
      </c>
      <c r="I830" t="s">
        <v>13</v>
      </c>
      <c r="J830" t="str">
        <f>IF(ISBLANK(Table2[[#This Row],[ReceivedDate]]),"Unpaid",IF(Table2[[#This Row],[ReceivedDate]]&gt;Table2[[#This Row],[DueDate]],"Late",IF(Table2[[#This Row],[ReceivedDate]]&lt;Table2[[#This Row],[DueDate]],"Early","On Time")))</f>
        <v>On Time</v>
      </c>
    </row>
    <row r="831" spans="1:10" x14ac:dyDescent="0.3">
      <c r="A831" t="s">
        <v>852</v>
      </c>
      <c r="B831" t="s">
        <v>10</v>
      </c>
      <c r="C831" s="1">
        <v>45836</v>
      </c>
      <c r="D831" s="1">
        <v>45881</v>
      </c>
      <c r="E831" s="2">
        <v>6109.5</v>
      </c>
      <c r="F831" t="s">
        <v>11</v>
      </c>
      <c r="G831" t="s">
        <v>17</v>
      </c>
      <c r="I831" t="s">
        <v>13</v>
      </c>
      <c r="J831" t="str">
        <f>IF(ISBLANK(Table2[[#This Row],[ReceivedDate]]),"Unpaid",IF(Table2[[#This Row],[ReceivedDate]]&gt;Table2[[#This Row],[DueDate]],"Late",IF(Table2[[#This Row],[ReceivedDate]]&lt;Table2[[#This Row],[DueDate]],"Early","On Time")))</f>
        <v>Unpaid</v>
      </c>
    </row>
    <row r="832" spans="1:10" x14ac:dyDescent="0.3">
      <c r="A832" t="s">
        <v>853</v>
      </c>
      <c r="B832" t="s">
        <v>30</v>
      </c>
      <c r="C832" s="1">
        <v>45662</v>
      </c>
      <c r="D832" s="1">
        <v>45707</v>
      </c>
      <c r="E832" s="2">
        <v>5463.95</v>
      </c>
      <c r="F832" t="s">
        <v>16</v>
      </c>
      <c r="G832" t="s">
        <v>12</v>
      </c>
      <c r="I832" t="s">
        <v>13</v>
      </c>
      <c r="J832" t="str">
        <f>IF(ISBLANK(Table2[[#This Row],[ReceivedDate]]),"Unpaid",IF(Table2[[#This Row],[ReceivedDate]]&gt;Table2[[#This Row],[DueDate]],"Late",IF(Table2[[#This Row],[ReceivedDate]]&lt;Table2[[#This Row],[DueDate]],"Early","On Time")))</f>
        <v>Unpaid</v>
      </c>
    </row>
    <row r="833" spans="1:10" x14ac:dyDescent="0.3">
      <c r="A833" t="s">
        <v>854</v>
      </c>
      <c r="B833" t="s">
        <v>25</v>
      </c>
      <c r="C833" s="1">
        <v>45160</v>
      </c>
      <c r="D833" s="1">
        <v>45205</v>
      </c>
      <c r="E833" s="2">
        <v>6119.76</v>
      </c>
      <c r="F833" t="s">
        <v>26</v>
      </c>
      <c r="G833" t="s">
        <v>21</v>
      </c>
      <c r="H833" s="1">
        <v>45205</v>
      </c>
      <c r="I833" t="s">
        <v>13</v>
      </c>
      <c r="J833" t="str">
        <f>IF(ISBLANK(Table2[[#This Row],[ReceivedDate]]),"Unpaid",IF(Table2[[#This Row],[ReceivedDate]]&gt;Table2[[#This Row],[DueDate]],"Late",IF(Table2[[#This Row],[ReceivedDate]]&lt;Table2[[#This Row],[DueDate]],"Early","On Time")))</f>
        <v>On Time</v>
      </c>
    </row>
    <row r="834" spans="1:10" x14ac:dyDescent="0.3">
      <c r="A834" t="s">
        <v>855</v>
      </c>
      <c r="B834" t="s">
        <v>30</v>
      </c>
      <c r="C834" s="1">
        <v>45360</v>
      </c>
      <c r="D834" s="1">
        <v>45405</v>
      </c>
      <c r="E834" s="2">
        <v>5529.68</v>
      </c>
      <c r="F834" t="s">
        <v>16</v>
      </c>
      <c r="G834" t="s">
        <v>17</v>
      </c>
      <c r="I834" t="s">
        <v>13</v>
      </c>
      <c r="J834" t="str">
        <f>IF(ISBLANK(Table2[[#This Row],[ReceivedDate]]),"Unpaid",IF(Table2[[#This Row],[ReceivedDate]]&gt;Table2[[#This Row],[DueDate]],"Late",IF(Table2[[#This Row],[ReceivedDate]]&lt;Table2[[#This Row],[DueDate]],"Early","On Time")))</f>
        <v>Unpaid</v>
      </c>
    </row>
    <row r="835" spans="1:10" x14ac:dyDescent="0.3">
      <c r="A835" t="s">
        <v>856</v>
      </c>
      <c r="B835" t="s">
        <v>30</v>
      </c>
      <c r="C835" s="1">
        <v>45646</v>
      </c>
      <c r="D835" s="1">
        <v>45691</v>
      </c>
      <c r="E835" s="2">
        <v>5859.96</v>
      </c>
      <c r="F835" t="s">
        <v>19</v>
      </c>
      <c r="G835" t="s">
        <v>21</v>
      </c>
      <c r="H835" s="1">
        <v>45691</v>
      </c>
      <c r="I835" t="s">
        <v>13</v>
      </c>
      <c r="J835" t="str">
        <f>IF(ISBLANK(Table2[[#This Row],[ReceivedDate]]),"Unpaid",IF(Table2[[#This Row],[ReceivedDate]]&gt;Table2[[#This Row],[DueDate]],"Late",IF(Table2[[#This Row],[ReceivedDate]]&lt;Table2[[#This Row],[DueDate]],"Early","On Time")))</f>
        <v>On Time</v>
      </c>
    </row>
    <row r="836" spans="1:10" x14ac:dyDescent="0.3">
      <c r="A836" t="s">
        <v>857</v>
      </c>
      <c r="B836" t="s">
        <v>10</v>
      </c>
      <c r="C836" s="1">
        <v>45115</v>
      </c>
      <c r="D836" s="1">
        <v>45160</v>
      </c>
      <c r="E836" s="2">
        <v>7051.74</v>
      </c>
      <c r="F836" t="s">
        <v>19</v>
      </c>
      <c r="G836" t="s">
        <v>21</v>
      </c>
      <c r="H836" s="1">
        <v>45160</v>
      </c>
      <c r="I836" t="s">
        <v>13</v>
      </c>
      <c r="J836" t="str">
        <f>IF(ISBLANK(Table2[[#This Row],[ReceivedDate]]),"Unpaid",IF(Table2[[#This Row],[ReceivedDate]]&gt;Table2[[#This Row],[DueDate]],"Late",IF(Table2[[#This Row],[ReceivedDate]]&lt;Table2[[#This Row],[DueDate]],"Early","On Time")))</f>
        <v>On Time</v>
      </c>
    </row>
    <row r="837" spans="1:10" x14ac:dyDescent="0.3">
      <c r="A837" t="s">
        <v>858</v>
      </c>
      <c r="B837" t="s">
        <v>23</v>
      </c>
      <c r="C837" s="1">
        <v>44935</v>
      </c>
      <c r="D837" s="1">
        <v>44980</v>
      </c>
      <c r="E837" s="2">
        <v>1546.25</v>
      </c>
      <c r="F837" t="s">
        <v>16</v>
      </c>
      <c r="G837" t="s">
        <v>17</v>
      </c>
      <c r="I837" t="s">
        <v>13</v>
      </c>
      <c r="J837" t="str">
        <f>IF(ISBLANK(Table2[[#This Row],[ReceivedDate]]),"Unpaid",IF(Table2[[#This Row],[ReceivedDate]]&gt;Table2[[#This Row],[DueDate]],"Late",IF(Table2[[#This Row],[ReceivedDate]]&lt;Table2[[#This Row],[DueDate]],"Early","On Time")))</f>
        <v>Unpaid</v>
      </c>
    </row>
    <row r="838" spans="1:10" x14ac:dyDescent="0.3">
      <c r="A838" t="s">
        <v>859</v>
      </c>
      <c r="B838" t="s">
        <v>25</v>
      </c>
      <c r="C838" s="1">
        <v>45775</v>
      </c>
      <c r="D838" s="1">
        <v>45820</v>
      </c>
      <c r="E838" s="2">
        <v>6604.35</v>
      </c>
      <c r="F838" t="s">
        <v>11</v>
      </c>
      <c r="G838" t="s">
        <v>12</v>
      </c>
      <c r="I838" t="s">
        <v>13</v>
      </c>
      <c r="J838" t="str">
        <f>IF(ISBLANK(Table2[[#This Row],[ReceivedDate]]),"Unpaid",IF(Table2[[#This Row],[ReceivedDate]]&gt;Table2[[#This Row],[DueDate]],"Late",IF(Table2[[#This Row],[ReceivedDate]]&lt;Table2[[#This Row],[DueDate]],"Early","On Time")))</f>
        <v>Unpaid</v>
      </c>
    </row>
    <row r="839" spans="1:10" x14ac:dyDescent="0.3">
      <c r="A839" t="s">
        <v>860</v>
      </c>
      <c r="B839" t="s">
        <v>30</v>
      </c>
      <c r="C839" s="1">
        <v>45315</v>
      </c>
      <c r="D839" s="1">
        <v>45360</v>
      </c>
      <c r="E839" s="2">
        <v>2420.27</v>
      </c>
      <c r="F839" t="s">
        <v>28</v>
      </c>
      <c r="G839" t="s">
        <v>12</v>
      </c>
      <c r="I839" t="s">
        <v>13</v>
      </c>
      <c r="J839" t="str">
        <f>IF(ISBLANK(Table2[[#This Row],[ReceivedDate]]),"Unpaid",IF(Table2[[#This Row],[ReceivedDate]]&gt;Table2[[#This Row],[DueDate]],"Late",IF(Table2[[#This Row],[ReceivedDate]]&lt;Table2[[#This Row],[DueDate]],"Early","On Time")))</f>
        <v>Unpaid</v>
      </c>
    </row>
    <row r="840" spans="1:10" x14ac:dyDescent="0.3">
      <c r="A840" t="s">
        <v>861</v>
      </c>
      <c r="B840" t="s">
        <v>23</v>
      </c>
      <c r="C840" s="1">
        <v>45589</v>
      </c>
      <c r="D840" s="1">
        <v>45634</v>
      </c>
      <c r="E840" s="2">
        <v>4890.76</v>
      </c>
      <c r="F840" t="s">
        <v>11</v>
      </c>
      <c r="G840" t="s">
        <v>12</v>
      </c>
      <c r="I840" t="s">
        <v>13</v>
      </c>
      <c r="J840" t="str">
        <f>IF(ISBLANK(Table2[[#This Row],[ReceivedDate]]),"Unpaid",IF(Table2[[#This Row],[ReceivedDate]]&gt;Table2[[#This Row],[DueDate]],"Late",IF(Table2[[#This Row],[ReceivedDate]]&lt;Table2[[#This Row],[DueDate]],"Early","On Time")))</f>
        <v>Unpaid</v>
      </c>
    </row>
    <row r="841" spans="1:10" x14ac:dyDescent="0.3">
      <c r="A841" t="s">
        <v>862</v>
      </c>
      <c r="B841" t="s">
        <v>10</v>
      </c>
      <c r="C841" s="1">
        <v>45329</v>
      </c>
      <c r="D841" s="1">
        <v>45374</v>
      </c>
      <c r="E841" s="2">
        <v>5733.98</v>
      </c>
      <c r="F841" t="s">
        <v>19</v>
      </c>
      <c r="G841" t="s">
        <v>12</v>
      </c>
      <c r="I841" t="s">
        <v>13</v>
      </c>
      <c r="J841" t="str">
        <f>IF(ISBLANK(Table2[[#This Row],[ReceivedDate]]),"Unpaid",IF(Table2[[#This Row],[ReceivedDate]]&gt;Table2[[#This Row],[DueDate]],"Late",IF(Table2[[#This Row],[ReceivedDate]]&lt;Table2[[#This Row],[DueDate]],"Early","On Time")))</f>
        <v>Unpaid</v>
      </c>
    </row>
    <row r="842" spans="1:10" x14ac:dyDescent="0.3">
      <c r="A842" t="s">
        <v>863</v>
      </c>
      <c r="B842" t="s">
        <v>30</v>
      </c>
      <c r="C842" s="1">
        <v>45772</v>
      </c>
      <c r="D842" s="1">
        <v>45817</v>
      </c>
      <c r="E842" s="2">
        <v>3537.28</v>
      </c>
      <c r="F842" t="s">
        <v>11</v>
      </c>
      <c r="G842" t="s">
        <v>21</v>
      </c>
      <c r="H842" s="1">
        <v>45817</v>
      </c>
      <c r="I842" t="s">
        <v>13</v>
      </c>
      <c r="J842" t="str">
        <f>IF(ISBLANK(Table2[[#This Row],[ReceivedDate]]),"Unpaid",IF(Table2[[#This Row],[ReceivedDate]]&gt;Table2[[#This Row],[DueDate]],"Late",IF(Table2[[#This Row],[ReceivedDate]]&lt;Table2[[#This Row],[DueDate]],"Early","On Time")))</f>
        <v>On Time</v>
      </c>
    </row>
    <row r="843" spans="1:10" x14ac:dyDescent="0.3">
      <c r="A843" t="s">
        <v>864</v>
      </c>
      <c r="B843" t="s">
        <v>10</v>
      </c>
      <c r="C843" s="1">
        <v>45408</v>
      </c>
      <c r="D843" s="1">
        <v>45453</v>
      </c>
      <c r="E843" s="2">
        <v>2302.83</v>
      </c>
      <c r="F843" t="s">
        <v>16</v>
      </c>
      <c r="G843" t="s">
        <v>21</v>
      </c>
      <c r="H843" s="1">
        <v>45453</v>
      </c>
      <c r="I843" t="s">
        <v>13</v>
      </c>
      <c r="J843" t="str">
        <f>IF(ISBLANK(Table2[[#This Row],[ReceivedDate]]),"Unpaid",IF(Table2[[#This Row],[ReceivedDate]]&gt;Table2[[#This Row],[DueDate]],"Late",IF(Table2[[#This Row],[ReceivedDate]]&lt;Table2[[#This Row],[DueDate]],"Early","On Time")))</f>
        <v>On Time</v>
      </c>
    </row>
    <row r="844" spans="1:10" x14ac:dyDescent="0.3">
      <c r="A844" t="s">
        <v>865</v>
      </c>
      <c r="B844" t="s">
        <v>15</v>
      </c>
      <c r="C844" s="1">
        <v>45715</v>
      </c>
      <c r="D844" s="1">
        <v>45760</v>
      </c>
      <c r="E844" s="2">
        <v>6136.41</v>
      </c>
      <c r="F844" t="s">
        <v>26</v>
      </c>
      <c r="G844" t="s">
        <v>17</v>
      </c>
      <c r="I844" t="s">
        <v>13</v>
      </c>
      <c r="J844" t="str">
        <f>IF(ISBLANK(Table2[[#This Row],[ReceivedDate]]),"Unpaid",IF(Table2[[#This Row],[ReceivedDate]]&gt;Table2[[#This Row],[DueDate]],"Late",IF(Table2[[#This Row],[ReceivedDate]]&lt;Table2[[#This Row],[DueDate]],"Early","On Time")))</f>
        <v>Unpaid</v>
      </c>
    </row>
    <row r="845" spans="1:10" x14ac:dyDescent="0.3">
      <c r="A845" t="s">
        <v>866</v>
      </c>
      <c r="B845" t="s">
        <v>15</v>
      </c>
      <c r="C845" s="1">
        <v>45314</v>
      </c>
      <c r="D845" s="1">
        <v>45359</v>
      </c>
      <c r="E845" s="2">
        <v>679.54</v>
      </c>
      <c r="F845" t="s">
        <v>11</v>
      </c>
      <c r="G845" t="s">
        <v>17</v>
      </c>
      <c r="I845" t="s">
        <v>13</v>
      </c>
      <c r="J845" t="str">
        <f>IF(ISBLANK(Table2[[#This Row],[ReceivedDate]]),"Unpaid",IF(Table2[[#This Row],[ReceivedDate]]&gt;Table2[[#This Row],[DueDate]],"Late",IF(Table2[[#This Row],[ReceivedDate]]&lt;Table2[[#This Row],[DueDate]],"Early","On Time")))</f>
        <v>Unpaid</v>
      </c>
    </row>
    <row r="846" spans="1:10" x14ac:dyDescent="0.3">
      <c r="A846" t="s">
        <v>867</v>
      </c>
      <c r="B846" t="s">
        <v>23</v>
      </c>
      <c r="C846" s="1">
        <v>44966</v>
      </c>
      <c r="D846" s="1">
        <v>45011</v>
      </c>
      <c r="E846" s="2">
        <v>6397.31</v>
      </c>
      <c r="F846" t="s">
        <v>16</v>
      </c>
      <c r="G846" t="s">
        <v>12</v>
      </c>
      <c r="I846" t="s">
        <v>13</v>
      </c>
      <c r="J846" t="str">
        <f>IF(ISBLANK(Table2[[#This Row],[ReceivedDate]]),"Unpaid",IF(Table2[[#This Row],[ReceivedDate]]&gt;Table2[[#This Row],[DueDate]],"Late",IF(Table2[[#This Row],[ReceivedDate]]&lt;Table2[[#This Row],[DueDate]],"Early","On Time")))</f>
        <v>Unpaid</v>
      </c>
    </row>
    <row r="847" spans="1:10" x14ac:dyDescent="0.3">
      <c r="A847" t="s">
        <v>868</v>
      </c>
      <c r="B847" t="s">
        <v>30</v>
      </c>
      <c r="C847" s="1">
        <v>45773</v>
      </c>
      <c r="D847" s="1">
        <v>45818</v>
      </c>
      <c r="E847" s="2">
        <v>6130.22</v>
      </c>
      <c r="F847" t="s">
        <v>19</v>
      </c>
      <c r="G847" t="s">
        <v>21</v>
      </c>
      <c r="H847" s="1">
        <v>45818</v>
      </c>
      <c r="I847" t="s">
        <v>13</v>
      </c>
      <c r="J847" t="str">
        <f>IF(ISBLANK(Table2[[#This Row],[ReceivedDate]]),"Unpaid",IF(Table2[[#This Row],[ReceivedDate]]&gt;Table2[[#This Row],[DueDate]],"Late",IF(Table2[[#This Row],[ReceivedDate]]&lt;Table2[[#This Row],[DueDate]],"Early","On Time")))</f>
        <v>On Time</v>
      </c>
    </row>
    <row r="848" spans="1:10" x14ac:dyDescent="0.3">
      <c r="A848" t="s">
        <v>869</v>
      </c>
      <c r="B848" t="s">
        <v>25</v>
      </c>
      <c r="C848" s="1">
        <v>44940</v>
      </c>
      <c r="D848" s="1">
        <v>44985</v>
      </c>
      <c r="E848" s="2">
        <v>7832.04</v>
      </c>
      <c r="F848" t="s">
        <v>28</v>
      </c>
      <c r="G848" t="s">
        <v>21</v>
      </c>
      <c r="H848" s="1">
        <v>44985</v>
      </c>
      <c r="I848" t="s">
        <v>13</v>
      </c>
      <c r="J848" t="str">
        <f>IF(ISBLANK(Table2[[#This Row],[ReceivedDate]]),"Unpaid",IF(Table2[[#This Row],[ReceivedDate]]&gt;Table2[[#This Row],[DueDate]],"Late",IF(Table2[[#This Row],[ReceivedDate]]&lt;Table2[[#This Row],[DueDate]],"Early","On Time")))</f>
        <v>On Time</v>
      </c>
    </row>
    <row r="849" spans="1:10" x14ac:dyDescent="0.3">
      <c r="A849" t="s">
        <v>870</v>
      </c>
      <c r="B849" t="s">
        <v>15</v>
      </c>
      <c r="C849" s="1">
        <v>45588</v>
      </c>
      <c r="D849" s="1">
        <v>45633</v>
      </c>
      <c r="E849" s="2">
        <v>4671.99</v>
      </c>
      <c r="F849" t="s">
        <v>26</v>
      </c>
      <c r="G849" t="s">
        <v>12</v>
      </c>
      <c r="I849" t="s">
        <v>13</v>
      </c>
      <c r="J849" t="str">
        <f>IF(ISBLANK(Table2[[#This Row],[ReceivedDate]]),"Unpaid",IF(Table2[[#This Row],[ReceivedDate]]&gt;Table2[[#This Row],[DueDate]],"Late",IF(Table2[[#This Row],[ReceivedDate]]&lt;Table2[[#This Row],[DueDate]],"Early","On Time")))</f>
        <v>Unpaid</v>
      </c>
    </row>
    <row r="850" spans="1:10" x14ac:dyDescent="0.3">
      <c r="A850" t="s">
        <v>871</v>
      </c>
      <c r="B850" t="s">
        <v>10</v>
      </c>
      <c r="C850" s="1">
        <v>45305</v>
      </c>
      <c r="D850" s="1">
        <v>45350</v>
      </c>
      <c r="E850" s="2">
        <v>4213.26</v>
      </c>
      <c r="F850" t="s">
        <v>26</v>
      </c>
      <c r="G850" t="s">
        <v>12</v>
      </c>
      <c r="I850" t="s">
        <v>13</v>
      </c>
      <c r="J850" t="str">
        <f>IF(ISBLANK(Table2[[#This Row],[ReceivedDate]]),"Unpaid",IF(Table2[[#This Row],[ReceivedDate]]&gt;Table2[[#This Row],[DueDate]],"Late",IF(Table2[[#This Row],[ReceivedDate]]&lt;Table2[[#This Row],[DueDate]],"Early","On Time")))</f>
        <v>Unpaid</v>
      </c>
    </row>
    <row r="851" spans="1:10" x14ac:dyDescent="0.3">
      <c r="A851" t="s">
        <v>872</v>
      </c>
      <c r="B851" t="s">
        <v>30</v>
      </c>
      <c r="C851" s="1">
        <v>45047</v>
      </c>
      <c r="D851" s="1">
        <v>45092</v>
      </c>
      <c r="E851" s="2">
        <v>7245.84</v>
      </c>
      <c r="F851" t="s">
        <v>28</v>
      </c>
      <c r="G851" t="s">
        <v>12</v>
      </c>
      <c r="I851" t="s">
        <v>13</v>
      </c>
      <c r="J851" t="str">
        <f>IF(ISBLANK(Table2[[#This Row],[ReceivedDate]]),"Unpaid",IF(Table2[[#This Row],[ReceivedDate]]&gt;Table2[[#This Row],[DueDate]],"Late",IF(Table2[[#This Row],[ReceivedDate]]&lt;Table2[[#This Row],[DueDate]],"Early","On Time")))</f>
        <v>Unpaid</v>
      </c>
    </row>
    <row r="852" spans="1:10" x14ac:dyDescent="0.3">
      <c r="A852" t="s">
        <v>873</v>
      </c>
      <c r="B852" t="s">
        <v>10</v>
      </c>
      <c r="C852" s="1">
        <v>45155</v>
      </c>
      <c r="D852" s="1">
        <v>45200</v>
      </c>
      <c r="E852" s="2">
        <v>3490.61</v>
      </c>
      <c r="F852" t="s">
        <v>16</v>
      </c>
      <c r="G852" t="s">
        <v>12</v>
      </c>
      <c r="I852" t="s">
        <v>13</v>
      </c>
      <c r="J852" t="str">
        <f>IF(ISBLANK(Table2[[#This Row],[ReceivedDate]]),"Unpaid",IF(Table2[[#This Row],[ReceivedDate]]&gt;Table2[[#This Row],[DueDate]],"Late",IF(Table2[[#This Row],[ReceivedDate]]&lt;Table2[[#This Row],[DueDate]],"Early","On Time")))</f>
        <v>Unpaid</v>
      </c>
    </row>
    <row r="853" spans="1:10" x14ac:dyDescent="0.3">
      <c r="A853" t="s">
        <v>874</v>
      </c>
      <c r="B853" t="s">
        <v>23</v>
      </c>
      <c r="C853" s="1">
        <v>45256</v>
      </c>
      <c r="D853" s="1">
        <v>45301</v>
      </c>
      <c r="E853" s="2">
        <v>4514.91</v>
      </c>
      <c r="F853" t="s">
        <v>11</v>
      </c>
      <c r="G853" t="s">
        <v>17</v>
      </c>
      <c r="I853" t="s">
        <v>13</v>
      </c>
      <c r="J853" t="str">
        <f>IF(ISBLANK(Table2[[#This Row],[ReceivedDate]]),"Unpaid",IF(Table2[[#This Row],[ReceivedDate]]&gt;Table2[[#This Row],[DueDate]],"Late",IF(Table2[[#This Row],[ReceivedDate]]&lt;Table2[[#This Row],[DueDate]],"Early","On Time")))</f>
        <v>Unpaid</v>
      </c>
    </row>
    <row r="854" spans="1:10" x14ac:dyDescent="0.3">
      <c r="A854" t="s">
        <v>875</v>
      </c>
      <c r="B854" t="s">
        <v>23</v>
      </c>
      <c r="C854" s="1">
        <v>45340</v>
      </c>
      <c r="D854" s="1">
        <v>45385</v>
      </c>
      <c r="E854" s="2">
        <v>507</v>
      </c>
      <c r="F854" t="s">
        <v>19</v>
      </c>
      <c r="G854" t="s">
        <v>21</v>
      </c>
      <c r="H854" s="1">
        <v>45385</v>
      </c>
      <c r="I854" t="s">
        <v>13</v>
      </c>
      <c r="J854" t="str">
        <f>IF(ISBLANK(Table2[[#This Row],[ReceivedDate]]),"Unpaid",IF(Table2[[#This Row],[ReceivedDate]]&gt;Table2[[#This Row],[DueDate]],"Late",IF(Table2[[#This Row],[ReceivedDate]]&lt;Table2[[#This Row],[DueDate]],"Early","On Time")))</f>
        <v>On Time</v>
      </c>
    </row>
    <row r="855" spans="1:10" x14ac:dyDescent="0.3">
      <c r="A855" t="s">
        <v>876</v>
      </c>
      <c r="B855" t="s">
        <v>10</v>
      </c>
      <c r="C855" s="1">
        <v>44935</v>
      </c>
      <c r="D855" s="1">
        <v>44980</v>
      </c>
      <c r="E855" s="2">
        <v>860.68</v>
      </c>
      <c r="F855" t="s">
        <v>26</v>
      </c>
      <c r="G855" t="s">
        <v>17</v>
      </c>
      <c r="I855" t="s">
        <v>13</v>
      </c>
      <c r="J855" t="str">
        <f>IF(ISBLANK(Table2[[#This Row],[ReceivedDate]]),"Unpaid",IF(Table2[[#This Row],[ReceivedDate]]&gt;Table2[[#This Row],[DueDate]],"Late",IF(Table2[[#This Row],[ReceivedDate]]&lt;Table2[[#This Row],[DueDate]],"Early","On Time")))</f>
        <v>Unpaid</v>
      </c>
    </row>
    <row r="856" spans="1:10" x14ac:dyDescent="0.3">
      <c r="A856" t="s">
        <v>877</v>
      </c>
      <c r="B856" t="s">
        <v>30</v>
      </c>
      <c r="C856" s="1">
        <v>45794</v>
      </c>
      <c r="D856" s="1">
        <v>45839</v>
      </c>
      <c r="E856" s="2">
        <v>3179.28</v>
      </c>
      <c r="F856" t="s">
        <v>19</v>
      </c>
      <c r="G856" t="s">
        <v>17</v>
      </c>
      <c r="I856" t="s">
        <v>13</v>
      </c>
      <c r="J856" t="str">
        <f>IF(ISBLANK(Table2[[#This Row],[ReceivedDate]]),"Unpaid",IF(Table2[[#This Row],[ReceivedDate]]&gt;Table2[[#This Row],[DueDate]],"Late",IF(Table2[[#This Row],[ReceivedDate]]&lt;Table2[[#This Row],[DueDate]],"Early","On Time")))</f>
        <v>Unpaid</v>
      </c>
    </row>
    <row r="857" spans="1:10" x14ac:dyDescent="0.3">
      <c r="A857" t="s">
        <v>878</v>
      </c>
      <c r="B857" t="s">
        <v>23</v>
      </c>
      <c r="C857" s="1">
        <v>45184</v>
      </c>
      <c r="D857" s="1">
        <v>45229</v>
      </c>
      <c r="E857" s="2">
        <v>3603.83</v>
      </c>
      <c r="F857" t="s">
        <v>26</v>
      </c>
      <c r="G857" t="s">
        <v>21</v>
      </c>
      <c r="H857" s="1">
        <v>45229</v>
      </c>
      <c r="I857" t="s">
        <v>13</v>
      </c>
      <c r="J857" t="str">
        <f>IF(ISBLANK(Table2[[#This Row],[ReceivedDate]]),"Unpaid",IF(Table2[[#This Row],[ReceivedDate]]&gt;Table2[[#This Row],[DueDate]],"Late",IF(Table2[[#This Row],[ReceivedDate]]&lt;Table2[[#This Row],[DueDate]],"Early","On Time")))</f>
        <v>On Time</v>
      </c>
    </row>
    <row r="858" spans="1:10" x14ac:dyDescent="0.3">
      <c r="A858" t="s">
        <v>879</v>
      </c>
      <c r="B858" t="s">
        <v>25</v>
      </c>
      <c r="C858" s="1">
        <v>45258</v>
      </c>
      <c r="D858" s="1">
        <v>45303</v>
      </c>
      <c r="E858" s="2">
        <v>267.24</v>
      </c>
      <c r="F858" t="s">
        <v>28</v>
      </c>
      <c r="G858" t="s">
        <v>17</v>
      </c>
      <c r="I858" t="s">
        <v>13</v>
      </c>
      <c r="J858" t="str">
        <f>IF(ISBLANK(Table2[[#This Row],[ReceivedDate]]),"Unpaid",IF(Table2[[#This Row],[ReceivedDate]]&gt;Table2[[#This Row],[DueDate]],"Late",IF(Table2[[#This Row],[ReceivedDate]]&lt;Table2[[#This Row],[DueDate]],"Early","On Time")))</f>
        <v>Unpaid</v>
      </c>
    </row>
    <row r="859" spans="1:10" x14ac:dyDescent="0.3">
      <c r="A859" t="s">
        <v>880</v>
      </c>
      <c r="B859" t="s">
        <v>23</v>
      </c>
      <c r="C859" s="1">
        <v>45805</v>
      </c>
      <c r="D859" s="1">
        <v>45850</v>
      </c>
      <c r="E859" s="2">
        <v>6493.35</v>
      </c>
      <c r="F859" t="s">
        <v>28</v>
      </c>
      <c r="G859" t="s">
        <v>21</v>
      </c>
      <c r="H859" s="1">
        <v>45850</v>
      </c>
      <c r="I859" t="s">
        <v>13</v>
      </c>
      <c r="J859" t="str">
        <f>IF(ISBLANK(Table2[[#This Row],[ReceivedDate]]),"Unpaid",IF(Table2[[#This Row],[ReceivedDate]]&gt;Table2[[#This Row],[DueDate]],"Late",IF(Table2[[#This Row],[ReceivedDate]]&lt;Table2[[#This Row],[DueDate]],"Early","On Time")))</f>
        <v>On Time</v>
      </c>
    </row>
    <row r="860" spans="1:10" x14ac:dyDescent="0.3">
      <c r="A860" t="s">
        <v>881</v>
      </c>
      <c r="B860" t="s">
        <v>30</v>
      </c>
      <c r="C860" s="1">
        <v>45168</v>
      </c>
      <c r="D860" s="1">
        <v>45213</v>
      </c>
      <c r="E860" s="2">
        <v>5155.55</v>
      </c>
      <c r="F860" t="s">
        <v>26</v>
      </c>
      <c r="G860" t="s">
        <v>12</v>
      </c>
      <c r="I860" t="s">
        <v>13</v>
      </c>
      <c r="J860" t="str">
        <f>IF(ISBLANK(Table2[[#This Row],[ReceivedDate]]),"Unpaid",IF(Table2[[#This Row],[ReceivedDate]]&gt;Table2[[#This Row],[DueDate]],"Late",IF(Table2[[#This Row],[ReceivedDate]]&lt;Table2[[#This Row],[DueDate]],"Early","On Time")))</f>
        <v>Unpaid</v>
      </c>
    </row>
    <row r="861" spans="1:10" x14ac:dyDescent="0.3">
      <c r="A861" t="s">
        <v>882</v>
      </c>
      <c r="B861" t="s">
        <v>23</v>
      </c>
      <c r="C861" s="1">
        <v>45610</v>
      </c>
      <c r="D861" s="1">
        <v>45655</v>
      </c>
      <c r="E861" s="2">
        <v>5605.91</v>
      </c>
      <c r="F861" t="s">
        <v>11</v>
      </c>
      <c r="G861" t="s">
        <v>12</v>
      </c>
      <c r="I861" t="s">
        <v>13</v>
      </c>
      <c r="J861" t="str">
        <f>IF(ISBLANK(Table2[[#This Row],[ReceivedDate]]),"Unpaid",IF(Table2[[#This Row],[ReceivedDate]]&gt;Table2[[#This Row],[DueDate]],"Late",IF(Table2[[#This Row],[ReceivedDate]]&lt;Table2[[#This Row],[DueDate]],"Early","On Time")))</f>
        <v>Unpaid</v>
      </c>
    </row>
    <row r="862" spans="1:10" x14ac:dyDescent="0.3">
      <c r="A862" t="s">
        <v>883</v>
      </c>
      <c r="B862" t="s">
        <v>10</v>
      </c>
      <c r="C862" s="1">
        <v>45694</v>
      </c>
      <c r="D862" s="1">
        <v>45739</v>
      </c>
      <c r="E862" s="2">
        <v>6041.09</v>
      </c>
      <c r="F862" t="s">
        <v>16</v>
      </c>
      <c r="G862" t="s">
        <v>12</v>
      </c>
      <c r="I862" t="s">
        <v>13</v>
      </c>
      <c r="J862" t="str">
        <f>IF(ISBLANK(Table2[[#This Row],[ReceivedDate]]),"Unpaid",IF(Table2[[#This Row],[ReceivedDate]]&gt;Table2[[#This Row],[DueDate]],"Late",IF(Table2[[#This Row],[ReceivedDate]]&lt;Table2[[#This Row],[DueDate]],"Early","On Time")))</f>
        <v>Unpaid</v>
      </c>
    </row>
    <row r="863" spans="1:10" x14ac:dyDescent="0.3">
      <c r="A863" t="s">
        <v>884</v>
      </c>
      <c r="B863" t="s">
        <v>23</v>
      </c>
      <c r="C863" s="1">
        <v>44952</v>
      </c>
      <c r="D863" s="1">
        <v>44997</v>
      </c>
      <c r="E863" s="2">
        <v>4640.58</v>
      </c>
      <c r="F863" t="s">
        <v>19</v>
      </c>
      <c r="G863" t="s">
        <v>17</v>
      </c>
      <c r="I863" t="s">
        <v>13</v>
      </c>
      <c r="J863" t="str">
        <f>IF(ISBLANK(Table2[[#This Row],[ReceivedDate]]),"Unpaid",IF(Table2[[#This Row],[ReceivedDate]]&gt;Table2[[#This Row],[DueDate]],"Late",IF(Table2[[#This Row],[ReceivedDate]]&lt;Table2[[#This Row],[DueDate]],"Early","On Time")))</f>
        <v>Unpaid</v>
      </c>
    </row>
    <row r="864" spans="1:10" x14ac:dyDescent="0.3">
      <c r="A864" t="s">
        <v>885</v>
      </c>
      <c r="B864" t="s">
        <v>30</v>
      </c>
      <c r="C864" s="1">
        <v>44972</v>
      </c>
      <c r="D864" s="1">
        <v>45017</v>
      </c>
      <c r="E864" s="2">
        <v>733.3</v>
      </c>
      <c r="F864" t="s">
        <v>19</v>
      </c>
      <c r="G864" t="s">
        <v>12</v>
      </c>
      <c r="I864" t="s">
        <v>13</v>
      </c>
      <c r="J864" t="str">
        <f>IF(ISBLANK(Table2[[#This Row],[ReceivedDate]]),"Unpaid",IF(Table2[[#This Row],[ReceivedDate]]&gt;Table2[[#This Row],[DueDate]],"Late",IF(Table2[[#This Row],[ReceivedDate]]&lt;Table2[[#This Row],[DueDate]],"Early","On Time")))</f>
        <v>Unpaid</v>
      </c>
    </row>
    <row r="865" spans="1:10" x14ac:dyDescent="0.3">
      <c r="A865" t="s">
        <v>886</v>
      </c>
      <c r="B865" t="s">
        <v>30</v>
      </c>
      <c r="C865" s="1">
        <v>45073</v>
      </c>
      <c r="D865" s="1">
        <v>45118</v>
      </c>
      <c r="E865" s="2">
        <v>5029.3999999999996</v>
      </c>
      <c r="F865" t="s">
        <v>28</v>
      </c>
      <c r="G865" t="s">
        <v>21</v>
      </c>
      <c r="H865" s="1">
        <v>45118</v>
      </c>
      <c r="I865" t="s">
        <v>13</v>
      </c>
      <c r="J865" t="str">
        <f>IF(ISBLANK(Table2[[#This Row],[ReceivedDate]]),"Unpaid",IF(Table2[[#This Row],[ReceivedDate]]&gt;Table2[[#This Row],[DueDate]],"Late",IF(Table2[[#This Row],[ReceivedDate]]&lt;Table2[[#This Row],[DueDate]],"Early","On Time")))</f>
        <v>On Time</v>
      </c>
    </row>
    <row r="866" spans="1:10" x14ac:dyDescent="0.3">
      <c r="A866" t="s">
        <v>887</v>
      </c>
      <c r="B866" t="s">
        <v>15</v>
      </c>
      <c r="C866" s="1">
        <v>44934</v>
      </c>
      <c r="D866" s="1">
        <v>44979</v>
      </c>
      <c r="E866" s="2">
        <v>5824.57</v>
      </c>
      <c r="F866" t="s">
        <v>11</v>
      </c>
      <c r="G866" t="s">
        <v>21</v>
      </c>
      <c r="H866" s="1">
        <v>44979</v>
      </c>
      <c r="I866" t="s">
        <v>13</v>
      </c>
      <c r="J866" t="str">
        <f>IF(ISBLANK(Table2[[#This Row],[ReceivedDate]]),"Unpaid",IF(Table2[[#This Row],[ReceivedDate]]&gt;Table2[[#This Row],[DueDate]],"Late",IF(Table2[[#This Row],[ReceivedDate]]&lt;Table2[[#This Row],[DueDate]],"Early","On Time")))</f>
        <v>On Time</v>
      </c>
    </row>
    <row r="867" spans="1:10" x14ac:dyDescent="0.3">
      <c r="A867" t="s">
        <v>888</v>
      </c>
      <c r="B867" t="s">
        <v>23</v>
      </c>
      <c r="C867" s="1">
        <v>45124</v>
      </c>
      <c r="D867" s="1">
        <v>45169</v>
      </c>
      <c r="E867" s="2">
        <v>3219.89</v>
      </c>
      <c r="F867" t="s">
        <v>16</v>
      </c>
      <c r="G867" t="s">
        <v>17</v>
      </c>
      <c r="I867" t="s">
        <v>13</v>
      </c>
      <c r="J867" t="str">
        <f>IF(ISBLANK(Table2[[#This Row],[ReceivedDate]]),"Unpaid",IF(Table2[[#This Row],[ReceivedDate]]&gt;Table2[[#This Row],[DueDate]],"Late",IF(Table2[[#This Row],[ReceivedDate]]&lt;Table2[[#This Row],[DueDate]],"Early","On Time")))</f>
        <v>Unpaid</v>
      </c>
    </row>
    <row r="868" spans="1:10" x14ac:dyDescent="0.3">
      <c r="A868" t="s">
        <v>889</v>
      </c>
      <c r="B868" t="s">
        <v>30</v>
      </c>
      <c r="C868" s="1">
        <v>45534</v>
      </c>
      <c r="D868" s="1">
        <v>45579</v>
      </c>
      <c r="E868" s="2">
        <v>2856.82</v>
      </c>
      <c r="F868" t="s">
        <v>11</v>
      </c>
      <c r="G868" t="s">
        <v>17</v>
      </c>
      <c r="I868" t="s">
        <v>13</v>
      </c>
      <c r="J868" t="str">
        <f>IF(ISBLANK(Table2[[#This Row],[ReceivedDate]]),"Unpaid",IF(Table2[[#This Row],[ReceivedDate]]&gt;Table2[[#This Row],[DueDate]],"Late",IF(Table2[[#This Row],[ReceivedDate]]&lt;Table2[[#This Row],[DueDate]],"Early","On Time")))</f>
        <v>Unpaid</v>
      </c>
    </row>
    <row r="869" spans="1:10" x14ac:dyDescent="0.3">
      <c r="A869" t="s">
        <v>890</v>
      </c>
      <c r="B869" t="s">
        <v>15</v>
      </c>
      <c r="C869" s="1">
        <v>45564</v>
      </c>
      <c r="D869" s="1">
        <v>45609</v>
      </c>
      <c r="E869" s="2">
        <v>4095.19</v>
      </c>
      <c r="F869" t="s">
        <v>28</v>
      </c>
      <c r="G869" t="s">
        <v>12</v>
      </c>
      <c r="I869" t="s">
        <v>13</v>
      </c>
      <c r="J869" t="str">
        <f>IF(ISBLANK(Table2[[#This Row],[ReceivedDate]]),"Unpaid",IF(Table2[[#This Row],[ReceivedDate]]&gt;Table2[[#This Row],[DueDate]],"Late",IF(Table2[[#This Row],[ReceivedDate]]&lt;Table2[[#This Row],[DueDate]],"Early","On Time")))</f>
        <v>Unpaid</v>
      </c>
    </row>
    <row r="870" spans="1:10" x14ac:dyDescent="0.3">
      <c r="A870" t="s">
        <v>891</v>
      </c>
      <c r="B870" t="s">
        <v>30</v>
      </c>
      <c r="C870" s="1">
        <v>45224</v>
      </c>
      <c r="D870" s="1">
        <v>45269</v>
      </c>
      <c r="E870" s="2">
        <v>7507.98</v>
      </c>
      <c r="F870" t="s">
        <v>19</v>
      </c>
      <c r="G870" t="s">
        <v>17</v>
      </c>
      <c r="I870" t="s">
        <v>13</v>
      </c>
      <c r="J870" t="str">
        <f>IF(ISBLANK(Table2[[#This Row],[ReceivedDate]]),"Unpaid",IF(Table2[[#This Row],[ReceivedDate]]&gt;Table2[[#This Row],[DueDate]],"Late",IF(Table2[[#This Row],[ReceivedDate]]&lt;Table2[[#This Row],[DueDate]],"Early","On Time")))</f>
        <v>Unpaid</v>
      </c>
    </row>
    <row r="871" spans="1:10" x14ac:dyDescent="0.3">
      <c r="A871" t="s">
        <v>892</v>
      </c>
      <c r="B871" t="s">
        <v>25</v>
      </c>
      <c r="C871" s="1">
        <v>45706</v>
      </c>
      <c r="D871" s="1">
        <v>45751</v>
      </c>
      <c r="E871" s="2">
        <v>2271.23</v>
      </c>
      <c r="F871" t="s">
        <v>26</v>
      </c>
      <c r="G871" t="s">
        <v>17</v>
      </c>
      <c r="I871" t="s">
        <v>13</v>
      </c>
      <c r="J871" t="str">
        <f>IF(ISBLANK(Table2[[#This Row],[ReceivedDate]]),"Unpaid",IF(Table2[[#This Row],[ReceivedDate]]&gt;Table2[[#This Row],[DueDate]],"Late",IF(Table2[[#This Row],[ReceivedDate]]&lt;Table2[[#This Row],[DueDate]],"Early","On Time")))</f>
        <v>Unpaid</v>
      </c>
    </row>
    <row r="872" spans="1:10" x14ac:dyDescent="0.3">
      <c r="A872" t="s">
        <v>893</v>
      </c>
      <c r="B872" t="s">
        <v>25</v>
      </c>
      <c r="C872" s="1">
        <v>45077</v>
      </c>
      <c r="D872" s="1">
        <v>45122</v>
      </c>
      <c r="E872" s="2">
        <v>4290.32</v>
      </c>
      <c r="F872" t="s">
        <v>28</v>
      </c>
      <c r="G872" t="s">
        <v>12</v>
      </c>
      <c r="I872" t="s">
        <v>13</v>
      </c>
      <c r="J872" t="str">
        <f>IF(ISBLANK(Table2[[#This Row],[ReceivedDate]]),"Unpaid",IF(Table2[[#This Row],[ReceivedDate]]&gt;Table2[[#This Row],[DueDate]],"Late",IF(Table2[[#This Row],[ReceivedDate]]&lt;Table2[[#This Row],[DueDate]],"Early","On Time")))</f>
        <v>Unpaid</v>
      </c>
    </row>
    <row r="873" spans="1:10" x14ac:dyDescent="0.3">
      <c r="A873" t="s">
        <v>894</v>
      </c>
      <c r="B873" t="s">
        <v>25</v>
      </c>
      <c r="C873" s="1">
        <v>45166</v>
      </c>
      <c r="D873" s="1">
        <v>45211</v>
      </c>
      <c r="E873" s="2">
        <v>3562.01</v>
      </c>
      <c r="F873" t="s">
        <v>19</v>
      </c>
      <c r="G873" t="s">
        <v>17</v>
      </c>
      <c r="I873" t="s">
        <v>13</v>
      </c>
      <c r="J873" t="str">
        <f>IF(ISBLANK(Table2[[#This Row],[ReceivedDate]]),"Unpaid",IF(Table2[[#This Row],[ReceivedDate]]&gt;Table2[[#This Row],[DueDate]],"Late",IF(Table2[[#This Row],[ReceivedDate]]&lt;Table2[[#This Row],[DueDate]],"Early","On Time")))</f>
        <v>Unpaid</v>
      </c>
    </row>
    <row r="874" spans="1:10" x14ac:dyDescent="0.3">
      <c r="A874" t="s">
        <v>895</v>
      </c>
      <c r="B874" t="s">
        <v>23</v>
      </c>
      <c r="C874" s="1">
        <v>45047</v>
      </c>
      <c r="D874" s="1">
        <v>45092</v>
      </c>
      <c r="E874" s="2">
        <v>2117.4699999999998</v>
      </c>
      <c r="F874" t="s">
        <v>11</v>
      </c>
      <c r="G874" t="s">
        <v>17</v>
      </c>
      <c r="I874" t="s">
        <v>13</v>
      </c>
      <c r="J874" t="str">
        <f>IF(ISBLANK(Table2[[#This Row],[ReceivedDate]]),"Unpaid",IF(Table2[[#This Row],[ReceivedDate]]&gt;Table2[[#This Row],[DueDate]],"Late",IF(Table2[[#This Row],[ReceivedDate]]&lt;Table2[[#This Row],[DueDate]],"Early","On Time")))</f>
        <v>Unpaid</v>
      </c>
    </row>
    <row r="875" spans="1:10" x14ac:dyDescent="0.3">
      <c r="A875" t="s">
        <v>896</v>
      </c>
      <c r="B875" t="s">
        <v>15</v>
      </c>
      <c r="C875" s="1">
        <v>45265</v>
      </c>
      <c r="D875" s="1">
        <v>45310</v>
      </c>
      <c r="E875" s="2">
        <v>2865.09</v>
      </c>
      <c r="F875" t="s">
        <v>19</v>
      </c>
      <c r="G875" t="s">
        <v>21</v>
      </c>
      <c r="H875" s="1">
        <v>45310</v>
      </c>
      <c r="I875" t="s">
        <v>13</v>
      </c>
      <c r="J875" t="str">
        <f>IF(ISBLANK(Table2[[#This Row],[ReceivedDate]]),"Unpaid",IF(Table2[[#This Row],[ReceivedDate]]&gt;Table2[[#This Row],[DueDate]],"Late",IF(Table2[[#This Row],[ReceivedDate]]&lt;Table2[[#This Row],[DueDate]],"Early","On Time")))</f>
        <v>On Time</v>
      </c>
    </row>
    <row r="876" spans="1:10" x14ac:dyDescent="0.3">
      <c r="A876" t="s">
        <v>897</v>
      </c>
      <c r="B876" t="s">
        <v>10</v>
      </c>
      <c r="C876" s="1">
        <v>45630</v>
      </c>
      <c r="D876" s="1">
        <v>45675</v>
      </c>
      <c r="E876" s="2">
        <v>3933.4</v>
      </c>
      <c r="F876" t="s">
        <v>26</v>
      </c>
      <c r="G876" t="s">
        <v>12</v>
      </c>
      <c r="I876" t="s">
        <v>13</v>
      </c>
      <c r="J876" t="str">
        <f>IF(ISBLANK(Table2[[#This Row],[ReceivedDate]]),"Unpaid",IF(Table2[[#This Row],[ReceivedDate]]&gt;Table2[[#This Row],[DueDate]],"Late",IF(Table2[[#This Row],[ReceivedDate]]&lt;Table2[[#This Row],[DueDate]],"Early","On Time")))</f>
        <v>Unpaid</v>
      </c>
    </row>
    <row r="877" spans="1:10" x14ac:dyDescent="0.3">
      <c r="A877" t="s">
        <v>898</v>
      </c>
      <c r="B877" t="s">
        <v>15</v>
      </c>
      <c r="C877" s="1">
        <v>45216</v>
      </c>
      <c r="D877" s="1">
        <v>45261</v>
      </c>
      <c r="E877" s="2">
        <v>300.14</v>
      </c>
      <c r="F877" t="s">
        <v>11</v>
      </c>
      <c r="G877" t="s">
        <v>21</v>
      </c>
      <c r="H877" s="1">
        <v>45261</v>
      </c>
      <c r="I877" t="s">
        <v>13</v>
      </c>
      <c r="J877" t="str">
        <f>IF(ISBLANK(Table2[[#This Row],[ReceivedDate]]),"Unpaid",IF(Table2[[#This Row],[ReceivedDate]]&gt;Table2[[#This Row],[DueDate]],"Late",IF(Table2[[#This Row],[ReceivedDate]]&lt;Table2[[#This Row],[DueDate]],"Early","On Time")))</f>
        <v>On Time</v>
      </c>
    </row>
    <row r="878" spans="1:10" x14ac:dyDescent="0.3">
      <c r="A878" t="s">
        <v>899</v>
      </c>
      <c r="B878" t="s">
        <v>15</v>
      </c>
      <c r="C878" s="1">
        <v>45253</v>
      </c>
      <c r="D878" s="1">
        <v>45298</v>
      </c>
      <c r="E878" s="2">
        <v>3365.08</v>
      </c>
      <c r="F878" t="s">
        <v>11</v>
      </c>
      <c r="G878" t="s">
        <v>17</v>
      </c>
      <c r="I878" t="s">
        <v>13</v>
      </c>
      <c r="J878" t="str">
        <f>IF(ISBLANK(Table2[[#This Row],[ReceivedDate]]),"Unpaid",IF(Table2[[#This Row],[ReceivedDate]]&gt;Table2[[#This Row],[DueDate]],"Late",IF(Table2[[#This Row],[ReceivedDate]]&lt;Table2[[#This Row],[DueDate]],"Early","On Time")))</f>
        <v>Unpaid</v>
      </c>
    </row>
    <row r="879" spans="1:10" x14ac:dyDescent="0.3">
      <c r="A879" t="s">
        <v>900</v>
      </c>
      <c r="B879" t="s">
        <v>30</v>
      </c>
      <c r="C879" s="1">
        <v>45537</v>
      </c>
      <c r="D879" s="1">
        <v>45582</v>
      </c>
      <c r="E879" s="2">
        <v>7336.13</v>
      </c>
      <c r="F879" t="s">
        <v>19</v>
      </c>
      <c r="G879" t="s">
        <v>17</v>
      </c>
      <c r="I879" t="s">
        <v>13</v>
      </c>
      <c r="J879" t="str">
        <f>IF(ISBLANK(Table2[[#This Row],[ReceivedDate]]),"Unpaid",IF(Table2[[#This Row],[ReceivedDate]]&gt;Table2[[#This Row],[DueDate]],"Late",IF(Table2[[#This Row],[ReceivedDate]]&lt;Table2[[#This Row],[DueDate]],"Early","On Time")))</f>
        <v>Unpaid</v>
      </c>
    </row>
    <row r="880" spans="1:10" x14ac:dyDescent="0.3">
      <c r="A880" t="s">
        <v>901</v>
      </c>
      <c r="B880" t="s">
        <v>15</v>
      </c>
      <c r="C880" s="1">
        <v>45008</v>
      </c>
      <c r="D880" s="1">
        <v>45053</v>
      </c>
      <c r="E880" s="2">
        <v>5117.88</v>
      </c>
      <c r="F880" t="s">
        <v>26</v>
      </c>
      <c r="G880" t="s">
        <v>17</v>
      </c>
      <c r="I880" t="s">
        <v>13</v>
      </c>
      <c r="J880" t="str">
        <f>IF(ISBLANK(Table2[[#This Row],[ReceivedDate]]),"Unpaid",IF(Table2[[#This Row],[ReceivedDate]]&gt;Table2[[#This Row],[DueDate]],"Late",IF(Table2[[#This Row],[ReceivedDate]]&lt;Table2[[#This Row],[DueDate]],"Early","On Time")))</f>
        <v>Unpaid</v>
      </c>
    </row>
    <row r="881" spans="1:10" x14ac:dyDescent="0.3">
      <c r="A881" t="s">
        <v>902</v>
      </c>
      <c r="B881" t="s">
        <v>25</v>
      </c>
      <c r="C881" s="1">
        <v>44957</v>
      </c>
      <c r="D881" s="1">
        <v>45002</v>
      </c>
      <c r="E881" s="2">
        <v>6307.06</v>
      </c>
      <c r="F881" t="s">
        <v>26</v>
      </c>
      <c r="G881" t="s">
        <v>12</v>
      </c>
      <c r="I881" t="s">
        <v>13</v>
      </c>
      <c r="J881" t="str">
        <f>IF(ISBLANK(Table2[[#This Row],[ReceivedDate]]),"Unpaid",IF(Table2[[#This Row],[ReceivedDate]]&gt;Table2[[#This Row],[DueDate]],"Late",IF(Table2[[#This Row],[ReceivedDate]]&lt;Table2[[#This Row],[DueDate]],"Early","On Time")))</f>
        <v>Unpaid</v>
      </c>
    </row>
    <row r="882" spans="1:10" x14ac:dyDescent="0.3">
      <c r="A882" t="s">
        <v>903</v>
      </c>
      <c r="B882" t="s">
        <v>15</v>
      </c>
      <c r="C882" s="1">
        <v>45294</v>
      </c>
      <c r="D882" s="1">
        <v>45339</v>
      </c>
      <c r="E882" s="2">
        <v>7493.25</v>
      </c>
      <c r="F882" t="s">
        <v>11</v>
      </c>
      <c r="G882" t="s">
        <v>17</v>
      </c>
      <c r="I882" t="s">
        <v>13</v>
      </c>
      <c r="J882" t="str">
        <f>IF(ISBLANK(Table2[[#This Row],[ReceivedDate]]),"Unpaid",IF(Table2[[#This Row],[ReceivedDate]]&gt;Table2[[#This Row],[DueDate]],"Late",IF(Table2[[#This Row],[ReceivedDate]]&lt;Table2[[#This Row],[DueDate]],"Early","On Time")))</f>
        <v>Unpaid</v>
      </c>
    </row>
    <row r="883" spans="1:10" x14ac:dyDescent="0.3">
      <c r="A883" t="s">
        <v>904</v>
      </c>
      <c r="B883" t="s">
        <v>25</v>
      </c>
      <c r="C883" s="1">
        <v>45813</v>
      </c>
      <c r="D883" s="1">
        <v>45858</v>
      </c>
      <c r="E883" s="2">
        <v>1666.55</v>
      </c>
      <c r="F883" t="s">
        <v>19</v>
      </c>
      <c r="G883" t="s">
        <v>17</v>
      </c>
      <c r="I883" t="s">
        <v>13</v>
      </c>
      <c r="J883" t="str">
        <f>IF(ISBLANK(Table2[[#This Row],[ReceivedDate]]),"Unpaid",IF(Table2[[#This Row],[ReceivedDate]]&gt;Table2[[#This Row],[DueDate]],"Late",IF(Table2[[#This Row],[ReceivedDate]]&lt;Table2[[#This Row],[DueDate]],"Early","On Time")))</f>
        <v>Unpaid</v>
      </c>
    </row>
    <row r="884" spans="1:10" x14ac:dyDescent="0.3">
      <c r="A884" t="s">
        <v>905</v>
      </c>
      <c r="B884" t="s">
        <v>10</v>
      </c>
      <c r="C884" s="1">
        <v>45236</v>
      </c>
      <c r="D884" s="1">
        <v>45281</v>
      </c>
      <c r="E884" s="2">
        <v>7344.16</v>
      </c>
      <c r="F884" t="s">
        <v>26</v>
      </c>
      <c r="G884" t="s">
        <v>21</v>
      </c>
      <c r="H884" s="1">
        <v>45281</v>
      </c>
      <c r="I884" t="s">
        <v>13</v>
      </c>
      <c r="J884" t="str">
        <f>IF(ISBLANK(Table2[[#This Row],[ReceivedDate]]),"Unpaid",IF(Table2[[#This Row],[ReceivedDate]]&gt;Table2[[#This Row],[DueDate]],"Late",IF(Table2[[#This Row],[ReceivedDate]]&lt;Table2[[#This Row],[DueDate]],"Early","On Time")))</f>
        <v>On Time</v>
      </c>
    </row>
    <row r="885" spans="1:10" x14ac:dyDescent="0.3">
      <c r="A885" t="s">
        <v>906</v>
      </c>
      <c r="B885" t="s">
        <v>10</v>
      </c>
      <c r="C885" s="1">
        <v>45683</v>
      </c>
      <c r="D885" s="1">
        <v>45728</v>
      </c>
      <c r="E885" s="2">
        <v>231.22</v>
      </c>
      <c r="F885" t="s">
        <v>16</v>
      </c>
      <c r="G885" t="s">
        <v>21</v>
      </c>
      <c r="H885" s="1">
        <v>45728</v>
      </c>
      <c r="I885" t="s">
        <v>13</v>
      </c>
      <c r="J885" t="str">
        <f>IF(ISBLANK(Table2[[#This Row],[ReceivedDate]]),"Unpaid",IF(Table2[[#This Row],[ReceivedDate]]&gt;Table2[[#This Row],[DueDate]],"Late",IF(Table2[[#This Row],[ReceivedDate]]&lt;Table2[[#This Row],[DueDate]],"Early","On Time")))</f>
        <v>On Time</v>
      </c>
    </row>
    <row r="886" spans="1:10" x14ac:dyDescent="0.3">
      <c r="A886" t="s">
        <v>907</v>
      </c>
      <c r="B886" t="s">
        <v>30</v>
      </c>
      <c r="C886" s="1">
        <v>45393</v>
      </c>
      <c r="D886" s="1">
        <v>45438</v>
      </c>
      <c r="E886" s="2">
        <v>7661.86</v>
      </c>
      <c r="F886" t="s">
        <v>11</v>
      </c>
      <c r="G886" t="s">
        <v>12</v>
      </c>
      <c r="I886" t="s">
        <v>13</v>
      </c>
      <c r="J886" t="str">
        <f>IF(ISBLANK(Table2[[#This Row],[ReceivedDate]]),"Unpaid",IF(Table2[[#This Row],[ReceivedDate]]&gt;Table2[[#This Row],[DueDate]],"Late",IF(Table2[[#This Row],[ReceivedDate]]&lt;Table2[[#This Row],[DueDate]],"Early","On Time")))</f>
        <v>Unpaid</v>
      </c>
    </row>
    <row r="887" spans="1:10" x14ac:dyDescent="0.3">
      <c r="A887" t="s">
        <v>908</v>
      </c>
      <c r="B887" t="s">
        <v>25</v>
      </c>
      <c r="C887" s="1">
        <v>45261</v>
      </c>
      <c r="D887" s="1">
        <v>45306</v>
      </c>
      <c r="E887" s="2">
        <v>6954.59</v>
      </c>
      <c r="F887" t="s">
        <v>16</v>
      </c>
      <c r="G887" t="s">
        <v>21</v>
      </c>
      <c r="H887" s="1">
        <v>45306</v>
      </c>
      <c r="I887" t="s">
        <v>13</v>
      </c>
      <c r="J887" t="str">
        <f>IF(ISBLANK(Table2[[#This Row],[ReceivedDate]]),"Unpaid",IF(Table2[[#This Row],[ReceivedDate]]&gt;Table2[[#This Row],[DueDate]],"Late",IF(Table2[[#This Row],[ReceivedDate]]&lt;Table2[[#This Row],[DueDate]],"Early","On Time")))</f>
        <v>On Time</v>
      </c>
    </row>
    <row r="888" spans="1:10" x14ac:dyDescent="0.3">
      <c r="A888" t="s">
        <v>909</v>
      </c>
      <c r="B888" t="s">
        <v>15</v>
      </c>
      <c r="C888" s="1">
        <v>45741</v>
      </c>
      <c r="D888" s="1">
        <v>45786</v>
      </c>
      <c r="E888" s="2">
        <v>381.98</v>
      </c>
      <c r="F888" t="s">
        <v>16</v>
      </c>
      <c r="G888" t="s">
        <v>21</v>
      </c>
      <c r="H888" s="1">
        <v>45786</v>
      </c>
      <c r="I888" t="s">
        <v>13</v>
      </c>
      <c r="J888" t="str">
        <f>IF(ISBLANK(Table2[[#This Row],[ReceivedDate]]),"Unpaid",IF(Table2[[#This Row],[ReceivedDate]]&gt;Table2[[#This Row],[DueDate]],"Late",IF(Table2[[#This Row],[ReceivedDate]]&lt;Table2[[#This Row],[DueDate]],"Early","On Time")))</f>
        <v>On Time</v>
      </c>
    </row>
    <row r="889" spans="1:10" x14ac:dyDescent="0.3">
      <c r="A889" t="s">
        <v>910</v>
      </c>
      <c r="B889" t="s">
        <v>25</v>
      </c>
      <c r="C889" s="1">
        <v>44988</v>
      </c>
      <c r="D889" s="1">
        <v>45033</v>
      </c>
      <c r="E889" s="2">
        <v>7168.62</v>
      </c>
      <c r="F889" t="s">
        <v>11</v>
      </c>
      <c r="G889" t="s">
        <v>17</v>
      </c>
      <c r="I889" t="s">
        <v>13</v>
      </c>
      <c r="J889" t="str">
        <f>IF(ISBLANK(Table2[[#This Row],[ReceivedDate]]),"Unpaid",IF(Table2[[#This Row],[ReceivedDate]]&gt;Table2[[#This Row],[DueDate]],"Late",IF(Table2[[#This Row],[ReceivedDate]]&lt;Table2[[#This Row],[DueDate]],"Early","On Time")))</f>
        <v>Unpaid</v>
      </c>
    </row>
    <row r="890" spans="1:10" x14ac:dyDescent="0.3">
      <c r="A890" t="s">
        <v>911</v>
      </c>
      <c r="B890" t="s">
        <v>23</v>
      </c>
      <c r="C890" s="1">
        <v>45706</v>
      </c>
      <c r="D890" s="1">
        <v>45751</v>
      </c>
      <c r="E890" s="2">
        <v>1538.18</v>
      </c>
      <c r="F890" t="s">
        <v>19</v>
      </c>
      <c r="G890" t="s">
        <v>21</v>
      </c>
      <c r="H890" s="1">
        <v>45751</v>
      </c>
      <c r="I890" t="s">
        <v>13</v>
      </c>
      <c r="J890" t="str">
        <f>IF(ISBLANK(Table2[[#This Row],[ReceivedDate]]),"Unpaid",IF(Table2[[#This Row],[ReceivedDate]]&gt;Table2[[#This Row],[DueDate]],"Late",IF(Table2[[#This Row],[ReceivedDate]]&lt;Table2[[#This Row],[DueDate]],"Early","On Time")))</f>
        <v>On Time</v>
      </c>
    </row>
    <row r="891" spans="1:10" x14ac:dyDescent="0.3">
      <c r="A891" t="s">
        <v>912</v>
      </c>
      <c r="B891" t="s">
        <v>15</v>
      </c>
      <c r="C891" s="1">
        <v>45318</v>
      </c>
      <c r="D891" s="1">
        <v>45363</v>
      </c>
      <c r="E891" s="2">
        <v>4387.1099999999997</v>
      </c>
      <c r="F891" t="s">
        <v>19</v>
      </c>
      <c r="G891" t="s">
        <v>12</v>
      </c>
      <c r="I891" t="s">
        <v>13</v>
      </c>
      <c r="J891" t="str">
        <f>IF(ISBLANK(Table2[[#This Row],[ReceivedDate]]),"Unpaid",IF(Table2[[#This Row],[ReceivedDate]]&gt;Table2[[#This Row],[DueDate]],"Late",IF(Table2[[#This Row],[ReceivedDate]]&lt;Table2[[#This Row],[DueDate]],"Early","On Time")))</f>
        <v>Unpaid</v>
      </c>
    </row>
    <row r="892" spans="1:10" x14ac:dyDescent="0.3">
      <c r="A892" t="s">
        <v>913</v>
      </c>
      <c r="B892" t="s">
        <v>23</v>
      </c>
      <c r="C892" s="1">
        <v>44985</v>
      </c>
      <c r="D892" s="1">
        <v>45030</v>
      </c>
      <c r="E892" s="2">
        <v>5828.29</v>
      </c>
      <c r="F892" t="s">
        <v>16</v>
      </c>
      <c r="G892" t="s">
        <v>17</v>
      </c>
      <c r="I892" t="s">
        <v>13</v>
      </c>
      <c r="J892" t="str">
        <f>IF(ISBLANK(Table2[[#This Row],[ReceivedDate]]),"Unpaid",IF(Table2[[#This Row],[ReceivedDate]]&gt;Table2[[#This Row],[DueDate]],"Late",IF(Table2[[#This Row],[ReceivedDate]]&lt;Table2[[#This Row],[DueDate]],"Early","On Time")))</f>
        <v>Unpaid</v>
      </c>
    </row>
    <row r="893" spans="1:10" x14ac:dyDescent="0.3">
      <c r="A893" t="s">
        <v>914</v>
      </c>
      <c r="B893" t="s">
        <v>10</v>
      </c>
      <c r="C893" s="1">
        <v>45067</v>
      </c>
      <c r="D893" s="1">
        <v>45112</v>
      </c>
      <c r="E893" s="2">
        <v>5386.99</v>
      </c>
      <c r="F893" t="s">
        <v>26</v>
      </c>
      <c r="G893" t="s">
        <v>21</v>
      </c>
      <c r="H893" s="1">
        <v>45112</v>
      </c>
      <c r="I893" t="s">
        <v>13</v>
      </c>
      <c r="J893" t="str">
        <f>IF(ISBLANK(Table2[[#This Row],[ReceivedDate]]),"Unpaid",IF(Table2[[#This Row],[ReceivedDate]]&gt;Table2[[#This Row],[DueDate]],"Late",IF(Table2[[#This Row],[ReceivedDate]]&lt;Table2[[#This Row],[DueDate]],"Early","On Time")))</f>
        <v>On Time</v>
      </c>
    </row>
    <row r="894" spans="1:10" x14ac:dyDescent="0.3">
      <c r="A894" t="s">
        <v>915</v>
      </c>
      <c r="B894" t="s">
        <v>23</v>
      </c>
      <c r="C894" s="1">
        <v>45064</v>
      </c>
      <c r="D894" s="1">
        <v>45109</v>
      </c>
      <c r="E894" s="2">
        <v>1980.71</v>
      </c>
      <c r="F894" t="s">
        <v>28</v>
      </c>
      <c r="G894" t="s">
        <v>17</v>
      </c>
      <c r="I894" t="s">
        <v>13</v>
      </c>
      <c r="J894" t="str">
        <f>IF(ISBLANK(Table2[[#This Row],[ReceivedDate]]),"Unpaid",IF(Table2[[#This Row],[ReceivedDate]]&gt;Table2[[#This Row],[DueDate]],"Late",IF(Table2[[#This Row],[ReceivedDate]]&lt;Table2[[#This Row],[DueDate]],"Early","On Time")))</f>
        <v>Unpaid</v>
      </c>
    </row>
    <row r="895" spans="1:10" x14ac:dyDescent="0.3">
      <c r="A895" t="s">
        <v>916</v>
      </c>
      <c r="B895" t="s">
        <v>23</v>
      </c>
      <c r="C895" s="1">
        <v>45796</v>
      </c>
      <c r="D895" s="1">
        <v>45841</v>
      </c>
      <c r="E895" s="2">
        <v>4129.08</v>
      </c>
      <c r="F895" t="s">
        <v>16</v>
      </c>
      <c r="G895" t="s">
        <v>12</v>
      </c>
      <c r="I895" t="s">
        <v>13</v>
      </c>
      <c r="J895" t="str">
        <f>IF(ISBLANK(Table2[[#This Row],[ReceivedDate]]),"Unpaid",IF(Table2[[#This Row],[ReceivedDate]]&gt;Table2[[#This Row],[DueDate]],"Late",IF(Table2[[#This Row],[ReceivedDate]]&lt;Table2[[#This Row],[DueDate]],"Early","On Time")))</f>
        <v>Unpaid</v>
      </c>
    </row>
    <row r="896" spans="1:10" x14ac:dyDescent="0.3">
      <c r="A896" t="s">
        <v>917</v>
      </c>
      <c r="B896" t="s">
        <v>10</v>
      </c>
      <c r="C896" s="1">
        <v>45215</v>
      </c>
      <c r="D896" s="1">
        <v>45260</v>
      </c>
      <c r="E896" s="2">
        <v>6161.04</v>
      </c>
      <c r="F896" t="s">
        <v>16</v>
      </c>
      <c r="G896" t="s">
        <v>21</v>
      </c>
      <c r="H896" s="1">
        <v>45260</v>
      </c>
      <c r="I896" t="s">
        <v>13</v>
      </c>
      <c r="J896" t="str">
        <f>IF(ISBLANK(Table2[[#This Row],[ReceivedDate]]),"Unpaid",IF(Table2[[#This Row],[ReceivedDate]]&gt;Table2[[#This Row],[DueDate]],"Late",IF(Table2[[#This Row],[ReceivedDate]]&lt;Table2[[#This Row],[DueDate]],"Early","On Time")))</f>
        <v>On Time</v>
      </c>
    </row>
    <row r="897" spans="1:10" x14ac:dyDescent="0.3">
      <c r="A897" t="s">
        <v>918</v>
      </c>
      <c r="B897" t="s">
        <v>15</v>
      </c>
      <c r="C897" s="1">
        <v>45679</v>
      </c>
      <c r="D897" s="1">
        <v>45724</v>
      </c>
      <c r="E897" s="2">
        <v>2056.42</v>
      </c>
      <c r="F897" t="s">
        <v>28</v>
      </c>
      <c r="G897" t="s">
        <v>17</v>
      </c>
      <c r="I897" t="s">
        <v>13</v>
      </c>
      <c r="J897" t="str">
        <f>IF(ISBLANK(Table2[[#This Row],[ReceivedDate]]),"Unpaid",IF(Table2[[#This Row],[ReceivedDate]]&gt;Table2[[#This Row],[DueDate]],"Late",IF(Table2[[#This Row],[ReceivedDate]]&lt;Table2[[#This Row],[DueDate]],"Early","On Time")))</f>
        <v>Unpaid</v>
      </c>
    </row>
    <row r="898" spans="1:10" x14ac:dyDescent="0.3">
      <c r="A898" t="s">
        <v>919</v>
      </c>
      <c r="B898" t="s">
        <v>23</v>
      </c>
      <c r="C898" s="1">
        <v>45348</v>
      </c>
      <c r="D898" s="1">
        <v>45393</v>
      </c>
      <c r="E898" s="2">
        <v>1203.3</v>
      </c>
      <c r="F898" t="s">
        <v>11</v>
      </c>
      <c r="G898" t="s">
        <v>21</v>
      </c>
      <c r="H898" s="1">
        <v>45393</v>
      </c>
      <c r="I898" t="s">
        <v>13</v>
      </c>
      <c r="J898" t="str">
        <f>IF(ISBLANK(Table2[[#This Row],[ReceivedDate]]),"Unpaid",IF(Table2[[#This Row],[ReceivedDate]]&gt;Table2[[#This Row],[DueDate]],"Late",IF(Table2[[#This Row],[ReceivedDate]]&lt;Table2[[#This Row],[DueDate]],"Early","On Time")))</f>
        <v>On Time</v>
      </c>
    </row>
    <row r="899" spans="1:10" x14ac:dyDescent="0.3">
      <c r="A899" t="s">
        <v>920</v>
      </c>
      <c r="B899" t="s">
        <v>30</v>
      </c>
      <c r="C899" s="1">
        <v>45070</v>
      </c>
      <c r="D899" s="1">
        <v>45115</v>
      </c>
      <c r="E899" s="2">
        <v>3143.41</v>
      </c>
      <c r="F899" t="s">
        <v>11</v>
      </c>
      <c r="G899" t="s">
        <v>21</v>
      </c>
      <c r="H899" s="1">
        <v>45115</v>
      </c>
      <c r="I899" t="s">
        <v>13</v>
      </c>
      <c r="J899" t="str">
        <f>IF(ISBLANK(Table2[[#This Row],[ReceivedDate]]),"Unpaid",IF(Table2[[#This Row],[ReceivedDate]]&gt;Table2[[#This Row],[DueDate]],"Late",IF(Table2[[#This Row],[ReceivedDate]]&lt;Table2[[#This Row],[DueDate]],"Early","On Time")))</f>
        <v>On Time</v>
      </c>
    </row>
    <row r="900" spans="1:10" x14ac:dyDescent="0.3">
      <c r="A900" t="s">
        <v>921</v>
      </c>
      <c r="B900" t="s">
        <v>25</v>
      </c>
      <c r="C900" s="1">
        <v>45643</v>
      </c>
      <c r="D900" s="1">
        <v>45688</v>
      </c>
      <c r="E900" s="2">
        <v>3136.3</v>
      </c>
      <c r="F900" t="s">
        <v>19</v>
      </c>
      <c r="G900" t="s">
        <v>12</v>
      </c>
      <c r="I900" t="s">
        <v>13</v>
      </c>
      <c r="J900" t="str">
        <f>IF(ISBLANK(Table2[[#This Row],[ReceivedDate]]),"Unpaid",IF(Table2[[#This Row],[ReceivedDate]]&gt;Table2[[#This Row],[DueDate]],"Late",IF(Table2[[#This Row],[ReceivedDate]]&lt;Table2[[#This Row],[DueDate]],"Early","On Time")))</f>
        <v>Unpaid</v>
      </c>
    </row>
    <row r="901" spans="1:10" x14ac:dyDescent="0.3">
      <c r="A901" t="s">
        <v>922</v>
      </c>
      <c r="B901" t="s">
        <v>15</v>
      </c>
      <c r="C901" s="1">
        <v>45669</v>
      </c>
      <c r="D901" s="1">
        <v>45714</v>
      </c>
      <c r="E901" s="2">
        <v>2993.93</v>
      </c>
      <c r="F901" t="s">
        <v>16</v>
      </c>
      <c r="G901" t="s">
        <v>21</v>
      </c>
      <c r="H901" s="1">
        <v>45714</v>
      </c>
      <c r="I901" t="s">
        <v>13</v>
      </c>
      <c r="J901" t="str">
        <f>IF(ISBLANK(Table2[[#This Row],[ReceivedDate]]),"Unpaid",IF(Table2[[#This Row],[ReceivedDate]]&gt;Table2[[#This Row],[DueDate]],"Late",IF(Table2[[#This Row],[ReceivedDate]]&lt;Table2[[#This Row],[DueDate]],"Early","On Time")))</f>
        <v>On Time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5BD5D-CB0F-4F24-AC4F-7BA0C10FD8F3}">
  <dimension ref="A1:H49"/>
  <sheetViews>
    <sheetView topLeftCell="A2" workbookViewId="0">
      <selection activeCell="E8" sqref="E8"/>
    </sheetView>
  </sheetViews>
  <sheetFormatPr defaultRowHeight="14.4" x14ac:dyDescent="0.3"/>
  <cols>
    <col min="1" max="1" width="11" customWidth="1"/>
    <col min="2" max="2" width="10" bestFit="1" customWidth="1"/>
    <col min="3" max="3" width="9.33203125" customWidth="1"/>
    <col min="4" max="4" width="12.44140625" style="2" customWidth="1"/>
    <col min="5" max="5" width="13.44140625" customWidth="1"/>
    <col min="6" max="6" width="11.77734375" customWidth="1"/>
    <col min="7" max="7" width="13.77734375" customWidth="1"/>
    <col min="8" max="8" width="18.109375" style="6" customWidth="1"/>
  </cols>
  <sheetData>
    <row r="1" spans="1:8" x14ac:dyDescent="0.3">
      <c r="A1" s="3" t="s">
        <v>923</v>
      </c>
      <c r="B1" s="3" t="s">
        <v>924</v>
      </c>
      <c r="C1" s="3" t="s">
        <v>925</v>
      </c>
      <c r="D1" s="4" t="s">
        <v>926</v>
      </c>
      <c r="E1" s="4" t="s">
        <v>927</v>
      </c>
      <c r="F1" s="4" t="s">
        <v>928</v>
      </c>
      <c r="G1" s="4" t="s">
        <v>929</v>
      </c>
      <c r="H1" s="5" t="s">
        <v>1749</v>
      </c>
    </row>
    <row r="2" spans="1:8" x14ac:dyDescent="0.3">
      <c r="A2">
        <v>2024</v>
      </c>
      <c r="B2" t="s">
        <v>930</v>
      </c>
      <c r="C2">
        <v>1</v>
      </c>
      <c r="D2" s="2">
        <v>41215.19</v>
      </c>
      <c r="E2">
        <v>39758.93</v>
      </c>
      <c r="F2">
        <v>37613.910000000003</v>
      </c>
      <c r="G2">
        <v>-3601.28</v>
      </c>
      <c r="H2" s="6">
        <f>Table3[[#This Row],[VarianceUSD]]/Table3[[#This Row],[BudgetUSD]]</f>
        <v>-8.7377493589135463E-2</v>
      </c>
    </row>
    <row r="3" spans="1:8" x14ac:dyDescent="0.3">
      <c r="A3">
        <v>2024</v>
      </c>
      <c r="B3" t="s">
        <v>930</v>
      </c>
      <c r="C3">
        <v>2</v>
      </c>
      <c r="D3" s="2">
        <v>79918.89</v>
      </c>
      <c r="E3">
        <v>84614.59</v>
      </c>
      <c r="F3">
        <v>86720.13</v>
      </c>
      <c r="G3">
        <v>6801.24</v>
      </c>
      <c r="H3" s="6">
        <f>Table3[[#This Row],[VarianceUSD]]/Table3[[#This Row],[BudgetUSD]]</f>
        <v>8.5101782569802956E-2</v>
      </c>
    </row>
    <row r="4" spans="1:8" x14ac:dyDescent="0.3">
      <c r="A4">
        <v>2024</v>
      </c>
      <c r="B4" t="s">
        <v>930</v>
      </c>
      <c r="C4">
        <v>3</v>
      </c>
      <c r="D4" s="2">
        <v>92014.18</v>
      </c>
      <c r="E4">
        <v>100763.08</v>
      </c>
      <c r="F4">
        <v>105980.31</v>
      </c>
      <c r="G4">
        <v>13966.13</v>
      </c>
      <c r="H4" s="6">
        <f>Table3[[#This Row],[VarianceUSD]]/Table3[[#This Row],[BudgetUSD]]</f>
        <v>0.15178236658741076</v>
      </c>
    </row>
    <row r="5" spans="1:8" x14ac:dyDescent="0.3">
      <c r="A5">
        <v>2024</v>
      </c>
      <c r="B5" t="s">
        <v>930</v>
      </c>
      <c r="C5">
        <v>4</v>
      </c>
      <c r="D5" s="2">
        <v>117680.6</v>
      </c>
      <c r="E5">
        <v>106162.49</v>
      </c>
      <c r="F5">
        <v>96071.26</v>
      </c>
      <c r="G5">
        <v>-21609.34</v>
      </c>
      <c r="H5" s="6">
        <f>Table3[[#This Row],[VarianceUSD]]/Table3[[#This Row],[BudgetUSD]]</f>
        <v>-0.18362703793148571</v>
      </c>
    </row>
    <row r="6" spans="1:8" x14ac:dyDescent="0.3">
      <c r="A6">
        <v>2024</v>
      </c>
      <c r="B6" t="s">
        <v>931</v>
      </c>
      <c r="C6">
        <v>1</v>
      </c>
      <c r="D6" s="2">
        <v>32925.71</v>
      </c>
      <c r="E6">
        <v>30364.35</v>
      </c>
      <c r="F6">
        <v>30596.03</v>
      </c>
      <c r="G6">
        <v>-2329.6799999999998</v>
      </c>
      <c r="H6" s="6">
        <f>Table3[[#This Row],[VarianceUSD]]/Table3[[#This Row],[BudgetUSD]]</f>
        <v>-7.0755649612415344E-2</v>
      </c>
    </row>
    <row r="7" spans="1:8" x14ac:dyDescent="0.3">
      <c r="A7">
        <v>2024</v>
      </c>
      <c r="B7" t="s">
        <v>931</v>
      </c>
      <c r="C7">
        <v>2</v>
      </c>
      <c r="D7" s="2">
        <v>75074.820000000007</v>
      </c>
      <c r="E7">
        <v>68249.88</v>
      </c>
      <c r="F7">
        <v>68953.81</v>
      </c>
      <c r="G7">
        <v>-6121.01</v>
      </c>
      <c r="H7" s="6">
        <f>Table3[[#This Row],[VarianceUSD]]/Table3[[#This Row],[BudgetUSD]]</f>
        <v>-8.1532130213565604E-2</v>
      </c>
    </row>
    <row r="8" spans="1:8" x14ac:dyDescent="0.3">
      <c r="A8">
        <v>2024</v>
      </c>
      <c r="B8" t="s">
        <v>931</v>
      </c>
      <c r="C8">
        <v>3</v>
      </c>
      <c r="D8" s="2">
        <v>42503.06</v>
      </c>
      <c r="E8">
        <v>44444.3</v>
      </c>
      <c r="F8">
        <v>42652.11</v>
      </c>
      <c r="G8">
        <v>149.05000000000001</v>
      </c>
      <c r="H8" s="6">
        <f>Table3[[#This Row],[VarianceUSD]]/Table3[[#This Row],[BudgetUSD]]</f>
        <v>3.506806333473402E-3</v>
      </c>
    </row>
    <row r="9" spans="1:8" x14ac:dyDescent="0.3">
      <c r="A9">
        <v>2024</v>
      </c>
      <c r="B9" t="s">
        <v>931</v>
      </c>
      <c r="C9">
        <v>4</v>
      </c>
      <c r="D9" s="2">
        <v>31047.85</v>
      </c>
      <c r="E9">
        <v>32495.4</v>
      </c>
      <c r="F9">
        <v>33408.69</v>
      </c>
      <c r="G9">
        <v>2360.84</v>
      </c>
      <c r="H9" s="6">
        <f>Table3[[#This Row],[VarianceUSD]]/Table3[[#This Row],[BudgetUSD]]</f>
        <v>7.6038759527632352E-2</v>
      </c>
    </row>
    <row r="10" spans="1:8" x14ac:dyDescent="0.3">
      <c r="A10">
        <v>2024</v>
      </c>
      <c r="B10" t="s">
        <v>932</v>
      </c>
      <c r="C10">
        <v>1</v>
      </c>
      <c r="D10" s="2">
        <v>26040.63</v>
      </c>
      <c r="E10">
        <v>24585.53</v>
      </c>
      <c r="F10">
        <v>22752.02</v>
      </c>
      <c r="G10">
        <v>-3288.61</v>
      </c>
      <c r="H10" s="6">
        <f>Table3[[#This Row],[VarianceUSD]]/Table3[[#This Row],[BudgetUSD]]</f>
        <v>-0.1262876512588213</v>
      </c>
    </row>
    <row r="11" spans="1:8" x14ac:dyDescent="0.3">
      <c r="A11">
        <v>2024</v>
      </c>
      <c r="B11" t="s">
        <v>932</v>
      </c>
      <c r="C11">
        <v>2</v>
      </c>
      <c r="D11" s="2">
        <v>125902.24</v>
      </c>
      <c r="E11">
        <v>121557.94</v>
      </c>
      <c r="F11">
        <v>119490.08</v>
      </c>
      <c r="G11">
        <v>-6412.16</v>
      </c>
      <c r="H11" s="6">
        <f>Table3[[#This Row],[VarianceUSD]]/Table3[[#This Row],[BudgetUSD]]</f>
        <v>-5.0929673689681772E-2</v>
      </c>
    </row>
    <row r="12" spans="1:8" x14ac:dyDescent="0.3">
      <c r="A12">
        <v>2024</v>
      </c>
      <c r="B12" t="s">
        <v>932</v>
      </c>
      <c r="C12">
        <v>3</v>
      </c>
      <c r="D12" s="2">
        <v>100055.73</v>
      </c>
      <c r="E12">
        <v>92809.65</v>
      </c>
      <c r="F12">
        <v>94502.07</v>
      </c>
      <c r="G12">
        <v>-5553.66</v>
      </c>
      <c r="H12" s="6">
        <f>Table3[[#This Row],[VarianceUSD]]/Table3[[#This Row],[BudgetUSD]]</f>
        <v>-5.5505666691952574E-2</v>
      </c>
    </row>
    <row r="13" spans="1:8" x14ac:dyDescent="0.3">
      <c r="A13">
        <v>2024</v>
      </c>
      <c r="B13" t="s">
        <v>932</v>
      </c>
      <c r="C13">
        <v>4</v>
      </c>
      <c r="D13" s="2">
        <v>72786.960000000006</v>
      </c>
      <c r="E13">
        <v>70901.78</v>
      </c>
      <c r="F13">
        <v>72262.039999999994</v>
      </c>
      <c r="G13">
        <v>-524.91999999999996</v>
      </c>
      <c r="H13" s="6">
        <f>Table3[[#This Row],[VarianceUSD]]/Table3[[#This Row],[BudgetUSD]]</f>
        <v>-7.2117313320957475E-3</v>
      </c>
    </row>
    <row r="14" spans="1:8" x14ac:dyDescent="0.3">
      <c r="A14">
        <v>2024</v>
      </c>
      <c r="B14" t="s">
        <v>933</v>
      </c>
      <c r="C14">
        <v>1</v>
      </c>
      <c r="D14" s="2">
        <v>93664.65</v>
      </c>
      <c r="E14">
        <v>99038.18</v>
      </c>
      <c r="F14">
        <v>105900.34</v>
      </c>
      <c r="G14">
        <v>12235.69</v>
      </c>
      <c r="H14" s="6">
        <f>Table3[[#This Row],[VarianceUSD]]/Table3[[#This Row],[BudgetUSD]]</f>
        <v>0.13063295490881566</v>
      </c>
    </row>
    <row r="15" spans="1:8" x14ac:dyDescent="0.3">
      <c r="A15">
        <v>2024</v>
      </c>
      <c r="B15" t="s">
        <v>933</v>
      </c>
      <c r="C15">
        <v>2</v>
      </c>
      <c r="D15" s="2">
        <v>115140.75</v>
      </c>
      <c r="E15">
        <v>115151.74</v>
      </c>
      <c r="F15">
        <v>124609.39</v>
      </c>
      <c r="G15">
        <v>9468.64</v>
      </c>
      <c r="H15" s="6">
        <f>Table3[[#This Row],[VarianceUSD]]/Table3[[#This Row],[BudgetUSD]]</f>
        <v>8.223535108117673E-2</v>
      </c>
    </row>
    <row r="16" spans="1:8" x14ac:dyDescent="0.3">
      <c r="A16">
        <v>2024</v>
      </c>
      <c r="B16" t="s">
        <v>933</v>
      </c>
      <c r="C16">
        <v>3</v>
      </c>
      <c r="D16" s="2">
        <v>73898.42</v>
      </c>
      <c r="E16">
        <v>73799.149999999994</v>
      </c>
      <c r="F16">
        <v>78992.61</v>
      </c>
      <c r="G16">
        <v>5094.1899999999996</v>
      </c>
      <c r="H16" s="6">
        <f>Table3[[#This Row],[VarianceUSD]]/Table3[[#This Row],[BudgetUSD]]</f>
        <v>6.8935032711118852E-2</v>
      </c>
    </row>
    <row r="17" spans="1:8" x14ac:dyDescent="0.3">
      <c r="A17">
        <v>2024</v>
      </c>
      <c r="B17" t="s">
        <v>933</v>
      </c>
      <c r="C17">
        <v>4</v>
      </c>
      <c r="D17" s="2">
        <v>46637.67</v>
      </c>
      <c r="E17">
        <v>49635.65</v>
      </c>
      <c r="F17">
        <v>46802.25</v>
      </c>
      <c r="G17">
        <v>164.58</v>
      </c>
      <c r="H17" s="6">
        <f>Table3[[#This Row],[VarianceUSD]]/Table3[[#This Row],[BudgetUSD]]</f>
        <v>3.5289069972835267E-3</v>
      </c>
    </row>
    <row r="18" spans="1:8" x14ac:dyDescent="0.3">
      <c r="A18">
        <v>2024</v>
      </c>
      <c r="B18" t="s">
        <v>934</v>
      </c>
      <c r="C18">
        <v>1</v>
      </c>
      <c r="D18" s="2">
        <v>44332.15</v>
      </c>
      <c r="E18">
        <v>41613.82</v>
      </c>
      <c r="F18">
        <v>38572.49</v>
      </c>
      <c r="G18">
        <v>-5759.66</v>
      </c>
      <c r="H18" s="6">
        <f>Table3[[#This Row],[VarianceUSD]]/Table3[[#This Row],[BudgetUSD]]</f>
        <v>-0.12992061066291619</v>
      </c>
    </row>
    <row r="19" spans="1:8" x14ac:dyDescent="0.3">
      <c r="A19">
        <v>2024</v>
      </c>
      <c r="B19" t="s">
        <v>934</v>
      </c>
      <c r="C19">
        <v>2</v>
      </c>
      <c r="D19" s="2">
        <v>112743.3</v>
      </c>
      <c r="E19">
        <v>119526.72</v>
      </c>
      <c r="F19">
        <v>125960.5</v>
      </c>
      <c r="G19">
        <v>13217.2</v>
      </c>
      <c r="H19" s="6">
        <f>Table3[[#This Row],[VarianceUSD]]/Table3[[#This Row],[BudgetUSD]]</f>
        <v>0.1172326869978083</v>
      </c>
    </row>
    <row r="20" spans="1:8" x14ac:dyDescent="0.3">
      <c r="A20">
        <v>2024</v>
      </c>
      <c r="B20" t="s">
        <v>934</v>
      </c>
      <c r="C20">
        <v>3</v>
      </c>
      <c r="D20" s="2">
        <v>141475.81</v>
      </c>
      <c r="E20">
        <v>133345.42000000001</v>
      </c>
      <c r="F20">
        <v>140285.03</v>
      </c>
      <c r="G20">
        <v>-1190.78</v>
      </c>
      <c r="H20" s="6">
        <f>Table3[[#This Row],[VarianceUSD]]/Table3[[#This Row],[BudgetUSD]]</f>
        <v>-8.416845254322982E-3</v>
      </c>
    </row>
    <row r="21" spans="1:8" x14ac:dyDescent="0.3">
      <c r="A21">
        <v>2024</v>
      </c>
      <c r="B21" t="s">
        <v>934</v>
      </c>
      <c r="C21">
        <v>4</v>
      </c>
      <c r="D21" s="2">
        <v>102519.44</v>
      </c>
      <c r="E21">
        <v>107453.3</v>
      </c>
      <c r="F21">
        <v>115251.53</v>
      </c>
      <c r="G21">
        <v>12732.09</v>
      </c>
      <c r="H21" s="6">
        <f>Table3[[#This Row],[VarianceUSD]]/Table3[[#This Row],[BudgetUSD]]</f>
        <v>0.12419195813008732</v>
      </c>
    </row>
    <row r="22" spans="1:8" x14ac:dyDescent="0.3">
      <c r="A22">
        <v>2024</v>
      </c>
      <c r="B22" t="s">
        <v>935</v>
      </c>
      <c r="C22">
        <v>1</v>
      </c>
      <c r="D22" s="2">
        <v>100318.84</v>
      </c>
      <c r="E22">
        <v>99411.77</v>
      </c>
      <c r="F22">
        <v>102349.27</v>
      </c>
      <c r="G22">
        <v>2030.43</v>
      </c>
      <c r="H22" s="6">
        <f>Table3[[#This Row],[VarianceUSD]]/Table3[[#This Row],[BudgetUSD]]</f>
        <v>2.0239767525222583E-2</v>
      </c>
    </row>
    <row r="23" spans="1:8" x14ac:dyDescent="0.3">
      <c r="A23">
        <v>2024</v>
      </c>
      <c r="B23" t="s">
        <v>935</v>
      </c>
      <c r="C23">
        <v>2</v>
      </c>
      <c r="D23" s="2">
        <v>51361.43</v>
      </c>
      <c r="E23">
        <v>49600.67</v>
      </c>
      <c r="F23">
        <v>50515.69</v>
      </c>
      <c r="G23">
        <v>-845.74</v>
      </c>
      <c r="H23" s="6">
        <f>Table3[[#This Row],[VarianceUSD]]/Table3[[#This Row],[BudgetUSD]]</f>
        <v>-1.6466441841669906E-2</v>
      </c>
    </row>
    <row r="24" spans="1:8" x14ac:dyDescent="0.3">
      <c r="A24">
        <v>2024</v>
      </c>
      <c r="B24" t="s">
        <v>935</v>
      </c>
      <c r="C24">
        <v>3</v>
      </c>
      <c r="D24" s="2">
        <v>29263.69</v>
      </c>
      <c r="E24">
        <v>28094.51</v>
      </c>
      <c r="F24">
        <v>28496.35</v>
      </c>
      <c r="G24">
        <v>-767.34</v>
      </c>
      <c r="H24" s="6">
        <f>Table3[[#This Row],[VarianceUSD]]/Table3[[#This Row],[BudgetUSD]]</f>
        <v>-2.6221573560955575E-2</v>
      </c>
    </row>
    <row r="25" spans="1:8" x14ac:dyDescent="0.3">
      <c r="A25">
        <v>2024</v>
      </c>
      <c r="B25" t="s">
        <v>935</v>
      </c>
      <c r="C25">
        <v>4</v>
      </c>
      <c r="D25" s="2">
        <v>146937.60999999999</v>
      </c>
      <c r="E25">
        <v>139057.76</v>
      </c>
      <c r="F25">
        <v>147123.70000000001</v>
      </c>
      <c r="G25">
        <v>186.09</v>
      </c>
      <c r="H25" s="6">
        <f>Table3[[#This Row],[VarianceUSD]]/Table3[[#This Row],[BudgetUSD]]</f>
        <v>1.2664558787910053E-3</v>
      </c>
    </row>
    <row r="26" spans="1:8" x14ac:dyDescent="0.3">
      <c r="A26">
        <v>2025</v>
      </c>
      <c r="B26" t="s">
        <v>930</v>
      </c>
      <c r="C26">
        <v>1</v>
      </c>
      <c r="D26" s="2">
        <v>70700.52</v>
      </c>
      <c r="E26">
        <v>71487.460000000006</v>
      </c>
      <c r="F26">
        <v>70006.17</v>
      </c>
      <c r="G26">
        <v>-694.35</v>
      </c>
      <c r="H26" s="6">
        <f>Table3[[#This Row],[VarianceUSD]]/Table3[[#This Row],[BudgetUSD]]</f>
        <v>-9.8210027309558676E-3</v>
      </c>
    </row>
    <row r="27" spans="1:8" x14ac:dyDescent="0.3">
      <c r="A27">
        <v>2025</v>
      </c>
      <c r="B27" t="s">
        <v>930</v>
      </c>
      <c r="C27">
        <v>2</v>
      </c>
      <c r="D27" s="2">
        <v>61495.92</v>
      </c>
      <c r="E27">
        <v>56931.54</v>
      </c>
      <c r="F27">
        <v>61359.25</v>
      </c>
      <c r="G27">
        <v>-136.66999999999999</v>
      </c>
      <c r="H27" s="6">
        <f>Table3[[#This Row],[VarianceUSD]]/Table3[[#This Row],[BudgetUSD]]</f>
        <v>-2.2224238616155348E-3</v>
      </c>
    </row>
    <row r="28" spans="1:8" x14ac:dyDescent="0.3">
      <c r="A28">
        <v>2025</v>
      </c>
      <c r="B28" t="s">
        <v>930</v>
      </c>
      <c r="C28">
        <v>3</v>
      </c>
      <c r="D28" s="2">
        <v>55254.78</v>
      </c>
      <c r="E28">
        <v>57681.72</v>
      </c>
      <c r="F28">
        <v>57575</v>
      </c>
      <c r="G28">
        <v>2320.2199999999998</v>
      </c>
      <c r="H28" s="6">
        <f>Table3[[#This Row],[VarianceUSD]]/Table3[[#This Row],[BudgetUSD]]</f>
        <v>4.1991299214294217E-2</v>
      </c>
    </row>
    <row r="29" spans="1:8" x14ac:dyDescent="0.3">
      <c r="A29">
        <v>2025</v>
      </c>
      <c r="B29" t="s">
        <v>930</v>
      </c>
      <c r="C29">
        <v>4</v>
      </c>
      <c r="D29" s="2">
        <v>124523.7</v>
      </c>
      <c r="E29">
        <v>112740.47</v>
      </c>
      <c r="F29">
        <v>118711.72</v>
      </c>
      <c r="G29">
        <v>-5811.98</v>
      </c>
      <c r="H29" s="6">
        <f>Table3[[#This Row],[VarianceUSD]]/Table3[[#This Row],[BudgetUSD]]</f>
        <v>-4.6673685410889648E-2</v>
      </c>
    </row>
    <row r="30" spans="1:8" x14ac:dyDescent="0.3">
      <c r="A30">
        <v>2025</v>
      </c>
      <c r="B30" t="s">
        <v>931</v>
      </c>
      <c r="C30">
        <v>1</v>
      </c>
      <c r="D30" s="2">
        <v>81015.75</v>
      </c>
      <c r="E30">
        <v>81988.100000000006</v>
      </c>
      <c r="F30">
        <v>86451.22</v>
      </c>
      <c r="G30">
        <v>5435.47</v>
      </c>
      <c r="H30" s="6">
        <f>Table3[[#This Row],[VarianceUSD]]/Table3[[#This Row],[BudgetUSD]]</f>
        <v>6.709152232744868E-2</v>
      </c>
    </row>
    <row r="31" spans="1:8" x14ac:dyDescent="0.3">
      <c r="A31">
        <v>2025</v>
      </c>
      <c r="B31" t="s">
        <v>931</v>
      </c>
      <c r="C31">
        <v>2</v>
      </c>
      <c r="D31" s="2">
        <v>55099.41</v>
      </c>
      <c r="E31">
        <v>51780.92</v>
      </c>
      <c r="F31">
        <v>56227.09</v>
      </c>
      <c r="G31">
        <v>1127.68</v>
      </c>
      <c r="H31" s="6">
        <f>Table3[[#This Row],[VarianceUSD]]/Table3[[#This Row],[BudgetUSD]]</f>
        <v>2.0466280854912967E-2</v>
      </c>
    </row>
    <row r="32" spans="1:8" x14ac:dyDescent="0.3">
      <c r="A32">
        <v>2025</v>
      </c>
      <c r="B32" t="s">
        <v>931</v>
      </c>
      <c r="C32">
        <v>3</v>
      </c>
      <c r="D32" s="2">
        <v>120462.05</v>
      </c>
      <c r="E32">
        <v>127306.15</v>
      </c>
      <c r="F32">
        <v>128022.17</v>
      </c>
      <c r="G32">
        <v>7560.12</v>
      </c>
      <c r="H32" s="6">
        <f>Table3[[#This Row],[VarianceUSD]]/Table3[[#This Row],[BudgetUSD]]</f>
        <v>6.275935035141772E-2</v>
      </c>
    </row>
    <row r="33" spans="1:8" x14ac:dyDescent="0.3">
      <c r="A33">
        <v>2025</v>
      </c>
      <c r="B33" t="s">
        <v>931</v>
      </c>
      <c r="C33">
        <v>4</v>
      </c>
      <c r="D33" s="2">
        <v>90267.18</v>
      </c>
      <c r="E33">
        <v>85027.32</v>
      </c>
      <c r="F33">
        <v>88147.9</v>
      </c>
      <c r="G33">
        <v>-2119.2800000000002</v>
      </c>
      <c r="H33" s="6">
        <f>Table3[[#This Row],[VarianceUSD]]/Table3[[#This Row],[BudgetUSD]]</f>
        <v>-2.3477857622227705E-2</v>
      </c>
    </row>
    <row r="34" spans="1:8" x14ac:dyDescent="0.3">
      <c r="A34">
        <v>2025</v>
      </c>
      <c r="B34" t="s">
        <v>932</v>
      </c>
      <c r="C34">
        <v>1</v>
      </c>
      <c r="D34" s="2">
        <v>116604.87</v>
      </c>
      <c r="E34">
        <v>125973.73</v>
      </c>
      <c r="F34">
        <v>128463.24</v>
      </c>
      <c r="G34">
        <v>11858.37</v>
      </c>
      <c r="H34" s="6">
        <f>Table3[[#This Row],[VarianceUSD]]/Table3[[#This Row],[BudgetUSD]]</f>
        <v>0.10169703889726048</v>
      </c>
    </row>
    <row r="35" spans="1:8" x14ac:dyDescent="0.3">
      <c r="A35">
        <v>2025</v>
      </c>
      <c r="B35" t="s">
        <v>932</v>
      </c>
      <c r="C35">
        <v>2</v>
      </c>
      <c r="D35" s="2">
        <v>48595.51</v>
      </c>
      <c r="E35">
        <v>43972.66</v>
      </c>
      <c r="F35">
        <v>42981.29</v>
      </c>
      <c r="G35">
        <v>-5614.22</v>
      </c>
      <c r="H35" s="6">
        <f>Table3[[#This Row],[VarianceUSD]]/Table3[[#This Row],[BudgetUSD]]</f>
        <v>-0.11552960345513402</v>
      </c>
    </row>
    <row r="36" spans="1:8" x14ac:dyDescent="0.3">
      <c r="A36">
        <v>2025</v>
      </c>
      <c r="B36" t="s">
        <v>932</v>
      </c>
      <c r="C36">
        <v>3</v>
      </c>
      <c r="D36" s="2">
        <v>28599.200000000001</v>
      </c>
      <c r="E36">
        <v>28718.48</v>
      </c>
      <c r="F36">
        <v>30923.94</v>
      </c>
      <c r="G36">
        <v>2324.7399999999998</v>
      </c>
      <c r="H36" s="6">
        <f>Table3[[#This Row],[VarianceUSD]]/Table3[[#This Row],[BudgetUSD]]</f>
        <v>8.1286889143752261E-2</v>
      </c>
    </row>
    <row r="37" spans="1:8" x14ac:dyDescent="0.3">
      <c r="A37">
        <v>2025</v>
      </c>
      <c r="B37" t="s">
        <v>932</v>
      </c>
      <c r="C37">
        <v>4</v>
      </c>
      <c r="D37" s="2">
        <v>42077.120000000003</v>
      </c>
      <c r="E37">
        <v>39403.9</v>
      </c>
      <c r="F37">
        <v>39330.25</v>
      </c>
      <c r="G37">
        <v>-2746.87</v>
      </c>
      <c r="H37" s="6">
        <f>Table3[[#This Row],[VarianceUSD]]/Table3[[#This Row],[BudgetUSD]]</f>
        <v>-6.5281796853016549E-2</v>
      </c>
    </row>
    <row r="38" spans="1:8" x14ac:dyDescent="0.3">
      <c r="A38">
        <v>2025</v>
      </c>
      <c r="B38" t="s">
        <v>933</v>
      </c>
      <c r="C38">
        <v>1</v>
      </c>
      <c r="D38" s="2">
        <v>89482.9</v>
      </c>
      <c r="E38">
        <v>97911.07</v>
      </c>
      <c r="F38">
        <v>98559.24</v>
      </c>
      <c r="G38">
        <v>9076.34</v>
      </c>
      <c r="H38" s="6">
        <f>Table3[[#This Row],[VarianceUSD]]/Table3[[#This Row],[BudgetUSD]]</f>
        <v>0.10143099966585796</v>
      </c>
    </row>
    <row r="39" spans="1:8" x14ac:dyDescent="0.3">
      <c r="A39">
        <v>2025</v>
      </c>
      <c r="B39" t="s">
        <v>933</v>
      </c>
      <c r="C39">
        <v>2</v>
      </c>
      <c r="D39" s="2">
        <v>66730.62</v>
      </c>
      <c r="E39">
        <v>63717.279999999999</v>
      </c>
      <c r="F39">
        <v>67871.69</v>
      </c>
      <c r="G39">
        <v>1141.07</v>
      </c>
      <c r="H39" s="6">
        <f>Table3[[#This Row],[VarianceUSD]]/Table3[[#This Row],[BudgetUSD]]</f>
        <v>1.7099646309295492E-2</v>
      </c>
    </row>
    <row r="40" spans="1:8" x14ac:dyDescent="0.3">
      <c r="A40">
        <v>2025</v>
      </c>
      <c r="B40" t="s">
        <v>933</v>
      </c>
      <c r="C40">
        <v>3</v>
      </c>
      <c r="D40" s="2">
        <v>127969.04</v>
      </c>
      <c r="E40">
        <v>117894.18</v>
      </c>
      <c r="F40">
        <v>115938.14</v>
      </c>
      <c r="G40">
        <v>-12030.9</v>
      </c>
      <c r="H40" s="6">
        <f>Table3[[#This Row],[VarianceUSD]]/Table3[[#This Row],[BudgetUSD]]</f>
        <v>-9.4014145921544778E-2</v>
      </c>
    </row>
    <row r="41" spans="1:8" x14ac:dyDescent="0.3">
      <c r="A41">
        <v>2025</v>
      </c>
      <c r="B41" t="s">
        <v>933</v>
      </c>
      <c r="C41">
        <v>4</v>
      </c>
      <c r="D41" s="2">
        <v>98859.83</v>
      </c>
      <c r="E41">
        <v>100730.21</v>
      </c>
      <c r="F41">
        <v>97863.73</v>
      </c>
      <c r="G41">
        <v>-996.1</v>
      </c>
      <c r="H41" s="6">
        <f>Table3[[#This Row],[VarianceUSD]]/Table3[[#This Row],[BudgetUSD]]</f>
        <v>-1.0075882185919195E-2</v>
      </c>
    </row>
    <row r="42" spans="1:8" x14ac:dyDescent="0.3">
      <c r="A42">
        <v>2025</v>
      </c>
      <c r="B42" t="s">
        <v>934</v>
      </c>
      <c r="C42">
        <v>1</v>
      </c>
      <c r="D42" s="2">
        <v>75571.7</v>
      </c>
      <c r="E42">
        <v>80720.77</v>
      </c>
      <c r="F42">
        <v>86587.65</v>
      </c>
      <c r="G42">
        <v>11015.95</v>
      </c>
      <c r="H42" s="6">
        <f>Table3[[#This Row],[VarianceUSD]]/Table3[[#This Row],[BudgetUSD]]</f>
        <v>0.14576819100271665</v>
      </c>
    </row>
    <row r="43" spans="1:8" x14ac:dyDescent="0.3">
      <c r="A43">
        <v>2025</v>
      </c>
      <c r="B43" t="s">
        <v>934</v>
      </c>
      <c r="C43">
        <v>2</v>
      </c>
      <c r="D43" s="2">
        <v>130984.44</v>
      </c>
      <c r="E43">
        <v>142175.37</v>
      </c>
      <c r="F43">
        <v>145492.07</v>
      </c>
      <c r="G43">
        <v>14507.63</v>
      </c>
      <c r="H43" s="6">
        <f>Table3[[#This Row],[VarianceUSD]]/Table3[[#This Row],[BudgetUSD]]</f>
        <v>0.11075842290885848</v>
      </c>
    </row>
    <row r="44" spans="1:8" x14ac:dyDescent="0.3">
      <c r="A44">
        <v>2025</v>
      </c>
      <c r="B44" t="s">
        <v>934</v>
      </c>
      <c r="C44">
        <v>3</v>
      </c>
      <c r="D44" s="2">
        <v>89085.04</v>
      </c>
      <c r="E44">
        <v>89296.12</v>
      </c>
      <c r="F44">
        <v>88359.56</v>
      </c>
      <c r="G44">
        <v>-725.48</v>
      </c>
      <c r="H44" s="6">
        <f>Table3[[#This Row],[VarianceUSD]]/Table3[[#This Row],[BudgetUSD]]</f>
        <v>-8.1436793427942574E-3</v>
      </c>
    </row>
    <row r="45" spans="1:8" x14ac:dyDescent="0.3">
      <c r="A45">
        <v>2025</v>
      </c>
      <c r="B45" t="s">
        <v>934</v>
      </c>
      <c r="C45">
        <v>4</v>
      </c>
      <c r="D45" s="2">
        <v>116081.08</v>
      </c>
      <c r="E45">
        <v>119772.47</v>
      </c>
      <c r="F45">
        <v>112381.38</v>
      </c>
      <c r="G45">
        <v>-3699.7</v>
      </c>
      <c r="H45" s="6">
        <f>Table3[[#This Row],[VarianceUSD]]/Table3[[#This Row],[BudgetUSD]]</f>
        <v>-3.1871688306139123E-2</v>
      </c>
    </row>
    <row r="46" spans="1:8" x14ac:dyDescent="0.3">
      <c r="A46">
        <v>2025</v>
      </c>
      <c r="B46" t="s">
        <v>935</v>
      </c>
      <c r="C46">
        <v>1</v>
      </c>
      <c r="D46" s="2">
        <v>64640.45</v>
      </c>
      <c r="E46">
        <v>70051.16</v>
      </c>
      <c r="F46">
        <v>66350.81</v>
      </c>
      <c r="G46">
        <v>1710.36</v>
      </c>
      <c r="H46" s="6">
        <f>Table3[[#This Row],[VarianceUSD]]/Table3[[#This Row],[BudgetUSD]]</f>
        <v>2.6459593025729245E-2</v>
      </c>
    </row>
    <row r="47" spans="1:8" x14ac:dyDescent="0.3">
      <c r="A47">
        <v>2025</v>
      </c>
      <c r="B47" t="s">
        <v>935</v>
      </c>
      <c r="C47">
        <v>2</v>
      </c>
      <c r="D47" s="2">
        <v>21211.21</v>
      </c>
      <c r="E47">
        <v>22362.69</v>
      </c>
      <c r="F47">
        <v>22368.41</v>
      </c>
      <c r="G47">
        <v>1157.2</v>
      </c>
      <c r="H47" s="6">
        <f>Table3[[#This Row],[VarianceUSD]]/Table3[[#This Row],[BudgetUSD]]</f>
        <v>5.455605785808542E-2</v>
      </c>
    </row>
    <row r="48" spans="1:8" x14ac:dyDescent="0.3">
      <c r="A48">
        <v>2025</v>
      </c>
      <c r="B48" t="s">
        <v>935</v>
      </c>
      <c r="C48">
        <v>3</v>
      </c>
      <c r="D48" s="2">
        <v>37532.769999999997</v>
      </c>
      <c r="E48">
        <v>38564.660000000003</v>
      </c>
      <c r="F48">
        <v>37139</v>
      </c>
      <c r="G48">
        <v>-393.77</v>
      </c>
      <c r="H48" s="6">
        <f>Table3[[#This Row],[VarianceUSD]]/Table3[[#This Row],[BudgetUSD]]</f>
        <v>-1.0491365278928255E-2</v>
      </c>
    </row>
    <row r="49" spans="1:8" x14ac:dyDescent="0.3">
      <c r="A49">
        <v>2025</v>
      </c>
      <c r="B49" t="s">
        <v>935</v>
      </c>
      <c r="C49">
        <v>4</v>
      </c>
      <c r="D49" s="2">
        <v>28580.31</v>
      </c>
      <c r="E49">
        <v>29613.63</v>
      </c>
      <c r="F49">
        <v>28551.84</v>
      </c>
      <c r="G49">
        <v>-28.47</v>
      </c>
      <c r="H49" s="6">
        <f>Table3[[#This Row],[VarianceUSD]]/Table3[[#This Row],[BudgetUSD]]</f>
        <v>-9.9614034977227317E-4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zoomScale="82" workbookViewId="0">
      <selection activeCell="L22" sqref="L22"/>
    </sheetView>
  </sheetViews>
  <sheetFormatPr defaultRowHeight="14.4" x14ac:dyDescent="0.3"/>
  <cols>
    <col min="1" max="1" width="10.77734375" bestFit="1" customWidth="1"/>
    <col min="2" max="2" width="14.44140625" bestFit="1" customWidth="1"/>
    <col min="4" max="4" width="10.77734375" bestFit="1" customWidth="1"/>
    <col min="5" max="5" width="17.21875" bestFit="1" customWidth="1"/>
    <col min="6" max="6" width="16.44140625" bestFit="1" customWidth="1"/>
    <col min="7" max="7" width="18.5546875" bestFit="1" customWidth="1"/>
    <col min="9" max="9" width="12.44140625" bestFit="1" customWidth="1"/>
    <col min="10" max="10" width="14.44140625" bestFit="1" customWidth="1"/>
  </cols>
  <sheetData>
    <row r="1" spans="1:16" x14ac:dyDescent="0.3">
      <c r="A1" s="7" t="s">
        <v>937</v>
      </c>
      <c r="B1" t="s">
        <v>1752</v>
      </c>
    </row>
    <row r="2" spans="1:16" x14ac:dyDescent="0.3">
      <c r="A2" s="8" t="s">
        <v>946</v>
      </c>
      <c r="B2" s="2">
        <v>420885.48999999993</v>
      </c>
      <c r="D2" s="7" t="s">
        <v>924</v>
      </c>
      <c r="E2" t="s">
        <v>1756</v>
      </c>
      <c r="F2" t="s">
        <v>1757</v>
      </c>
      <c r="I2" s="7" t="s">
        <v>1750</v>
      </c>
      <c r="J2" t="s">
        <v>1752</v>
      </c>
    </row>
    <row r="3" spans="1:16" x14ac:dyDescent="0.3">
      <c r="A3" s="8" t="s">
        <v>940</v>
      </c>
      <c r="B3" s="2">
        <v>484927.82000000012</v>
      </c>
      <c r="D3" s="8" t="s">
        <v>930</v>
      </c>
      <c r="E3" s="2">
        <v>642803.77999999991</v>
      </c>
      <c r="F3" s="9">
        <v>634037.75</v>
      </c>
      <c r="I3" s="8" t="s">
        <v>23</v>
      </c>
      <c r="J3" s="2">
        <v>677873.5700000003</v>
      </c>
    </row>
    <row r="4" spans="1:16" x14ac:dyDescent="0.3">
      <c r="A4" s="8" t="s">
        <v>944</v>
      </c>
      <c r="B4" s="2">
        <v>387910.5199999999</v>
      </c>
      <c r="D4" s="8" t="s">
        <v>931</v>
      </c>
      <c r="E4" s="2">
        <v>528395.82999999996</v>
      </c>
      <c r="F4" s="9">
        <v>534459.02</v>
      </c>
      <c r="I4" s="8" t="s">
        <v>30</v>
      </c>
      <c r="J4" s="2">
        <v>802053.86999999988</v>
      </c>
    </row>
    <row r="5" spans="1:16" x14ac:dyDescent="0.3">
      <c r="A5" s="8" t="s">
        <v>962</v>
      </c>
      <c r="B5" s="2">
        <v>401098.65000000014</v>
      </c>
      <c r="D5" s="8" t="s">
        <v>932</v>
      </c>
      <c r="E5" s="2">
        <v>560662.26</v>
      </c>
      <c r="F5" s="9">
        <v>550704.92999999993</v>
      </c>
      <c r="I5" s="8" t="s">
        <v>25</v>
      </c>
      <c r="J5" s="2">
        <v>696434.71000000031</v>
      </c>
    </row>
    <row r="6" spans="1:16" x14ac:dyDescent="0.3">
      <c r="A6" s="8" t="s">
        <v>966</v>
      </c>
      <c r="B6" s="2">
        <v>392699.81000000017</v>
      </c>
      <c r="D6" s="8" t="s">
        <v>934</v>
      </c>
      <c r="E6" s="2">
        <v>812792.96000000008</v>
      </c>
      <c r="F6" s="9">
        <v>852890.21000000008</v>
      </c>
      <c r="I6" s="8" t="s">
        <v>10</v>
      </c>
      <c r="J6" s="2">
        <v>738944.2300000001</v>
      </c>
    </row>
    <row r="7" spans="1:16" x14ac:dyDescent="0.3">
      <c r="A7" s="8" t="s">
        <v>1751</v>
      </c>
      <c r="B7" s="2">
        <v>2087522.2900000005</v>
      </c>
      <c r="D7" s="8" t="s">
        <v>935</v>
      </c>
      <c r="E7" s="2">
        <v>479846.31</v>
      </c>
      <c r="F7" s="9">
        <v>482895.07</v>
      </c>
      <c r="I7" s="8" t="s">
        <v>15</v>
      </c>
      <c r="J7" s="2">
        <v>682955.90999999945</v>
      </c>
    </row>
    <row r="8" spans="1:16" x14ac:dyDescent="0.3">
      <c r="D8" s="8" t="s">
        <v>933</v>
      </c>
      <c r="E8" s="2">
        <v>712383.88</v>
      </c>
      <c r="F8" s="9">
        <v>736537.3899999999</v>
      </c>
      <c r="I8" s="8" t="s">
        <v>1751</v>
      </c>
      <c r="J8" s="2">
        <v>3598262.29</v>
      </c>
    </row>
    <row r="9" spans="1:16" x14ac:dyDescent="0.3">
      <c r="D9" s="8" t="s">
        <v>1751</v>
      </c>
      <c r="E9" s="2">
        <v>3736885.02</v>
      </c>
      <c r="F9" s="9">
        <v>3791524.37</v>
      </c>
    </row>
    <row r="12" spans="1:16" x14ac:dyDescent="0.3">
      <c r="A12" s="7" t="s">
        <v>1758</v>
      </c>
      <c r="B12" t="s">
        <v>1752</v>
      </c>
      <c r="I12" s="7" t="s">
        <v>1762</v>
      </c>
      <c r="J12" t="s">
        <v>1752</v>
      </c>
    </row>
    <row r="13" spans="1:16" x14ac:dyDescent="0.3">
      <c r="A13" s="8" t="s">
        <v>1753</v>
      </c>
      <c r="B13" s="2">
        <v>898843.97000000067</v>
      </c>
      <c r="I13" s="8" t="s">
        <v>1753</v>
      </c>
      <c r="J13" s="2">
        <v>1551709.9000000006</v>
      </c>
    </row>
    <row r="14" spans="1:16" x14ac:dyDescent="0.3">
      <c r="A14" s="8" t="s">
        <v>1754</v>
      </c>
      <c r="B14" s="2">
        <v>816909.18000000087</v>
      </c>
      <c r="I14" s="8" t="s">
        <v>1754</v>
      </c>
      <c r="J14" s="2">
        <v>1328714.1600000006</v>
      </c>
      <c r="N14" s="13"/>
      <c r="O14" s="13"/>
      <c r="P14" s="13"/>
    </row>
    <row r="15" spans="1:16" x14ac:dyDescent="0.3">
      <c r="A15" s="8" t="s">
        <v>1755</v>
      </c>
      <c r="B15" s="2">
        <v>371769.14000000007</v>
      </c>
      <c r="I15" s="8" t="s">
        <v>1755</v>
      </c>
      <c r="J15" s="2">
        <v>717838.22999999975</v>
      </c>
      <c r="N15" s="8"/>
      <c r="O15" s="2"/>
      <c r="P15" s="9"/>
    </row>
    <row r="16" spans="1:16" x14ac:dyDescent="0.3">
      <c r="A16" s="8" t="s">
        <v>1751</v>
      </c>
      <c r="B16" s="2">
        <v>2087522.2900000017</v>
      </c>
      <c r="I16" s="8" t="s">
        <v>1751</v>
      </c>
      <c r="J16" s="2">
        <v>3598262.290000001</v>
      </c>
      <c r="N16" s="8"/>
      <c r="O16" s="2"/>
      <c r="P16" s="9"/>
    </row>
    <row r="17" spans="1:16" x14ac:dyDescent="0.3">
      <c r="N17" s="8"/>
      <c r="O17" s="2"/>
      <c r="P17" s="9"/>
    </row>
    <row r="18" spans="1:16" x14ac:dyDescent="0.3">
      <c r="N18" s="8"/>
      <c r="O18" s="2"/>
      <c r="P18" s="9"/>
    </row>
    <row r="19" spans="1:16" x14ac:dyDescent="0.3">
      <c r="N19" s="8"/>
      <c r="O19" s="2"/>
      <c r="P19" s="9"/>
    </row>
    <row r="20" spans="1:16" x14ac:dyDescent="0.3">
      <c r="A20" s="7" t="s">
        <v>1759</v>
      </c>
      <c r="B20" t="s">
        <v>1752</v>
      </c>
      <c r="N20" s="8"/>
      <c r="O20" s="2"/>
      <c r="P20" s="9"/>
    </row>
    <row r="21" spans="1:16" x14ac:dyDescent="0.3">
      <c r="A21" s="8" t="s">
        <v>17</v>
      </c>
      <c r="B21" s="2">
        <v>668446.26999999979</v>
      </c>
      <c r="N21" s="14"/>
      <c r="O21" s="15"/>
      <c r="P21" s="16"/>
    </row>
    <row r="22" spans="1:16" x14ac:dyDescent="0.3">
      <c r="A22" s="8" t="s">
        <v>951</v>
      </c>
      <c r="B22" s="2">
        <v>668596.74000000057</v>
      </c>
    </row>
    <row r="23" spans="1:16" x14ac:dyDescent="0.3">
      <c r="A23" s="8" t="s">
        <v>12</v>
      </c>
      <c r="B23" s="2">
        <v>750479.28000000038</v>
      </c>
    </row>
    <row r="24" spans="1:16" x14ac:dyDescent="0.3">
      <c r="A24" s="8" t="s">
        <v>1751</v>
      </c>
      <c r="B24" s="2">
        <v>2087522.2900000005</v>
      </c>
    </row>
    <row r="27" spans="1:16" x14ac:dyDescent="0.3">
      <c r="A27" s="7" t="s">
        <v>1759</v>
      </c>
      <c r="B27" t="s">
        <v>1752</v>
      </c>
    </row>
    <row r="28" spans="1:16" x14ac:dyDescent="0.3">
      <c r="A28" s="8" t="s">
        <v>1760</v>
      </c>
      <c r="B28" s="2">
        <v>668596.74000000057</v>
      </c>
    </row>
    <row r="29" spans="1:16" x14ac:dyDescent="0.3">
      <c r="A29" s="8" t="s">
        <v>1761</v>
      </c>
      <c r="B29" s="2">
        <v>1418925.5500000014</v>
      </c>
    </row>
    <row r="30" spans="1:16" x14ac:dyDescent="0.3">
      <c r="A30" s="8" t="s">
        <v>1751</v>
      </c>
      <c r="B30" s="2">
        <v>2087522.2900000019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Accounts-Payable</vt:lpstr>
      <vt:lpstr>Accounts-Receivable</vt:lpstr>
      <vt:lpstr>Budget-Forcast</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Dhanush Narla</dc:creator>
  <cp:lastModifiedBy>Dhanush Narla</cp:lastModifiedBy>
  <dcterms:created xsi:type="dcterms:W3CDTF">2015-06-05T18:17:20Z</dcterms:created>
  <dcterms:modified xsi:type="dcterms:W3CDTF">2026-01-30T20:05:57Z</dcterms:modified>
</cp:coreProperties>
</file>